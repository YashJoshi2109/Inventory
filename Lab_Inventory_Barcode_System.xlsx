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4"/>
  </bookViews>
  <sheets>
    <sheet r:id="rId1" sheetId="1" name="Items_Master"/>
    <sheet r:id="rId2" sheetId="2" name="Transactions"/>
    <sheet r:id="rId3" sheetId="3" name="Inventory_Summary"/>
    <sheet r:id="rId4" sheetId="4" name="SKU_Finder"/>
    <sheet r:id="rId5" sheetId="5" name="Graph"/>
    <sheet r:id="rId6" sheetId="6" name="Labels_5161"/>
    <sheet r:id="rId7" sheetId="7" name="Dashboard"/>
  </sheets>
  <calcPr fullCalcOnLoad="1"/>
</workbook>
</file>

<file path=xl/sharedStrings.xml><?xml version="1.0" encoding="utf-8"?>
<sst xmlns="http://schemas.openxmlformats.org/spreadsheetml/2006/main" count="207" uniqueCount="110">
  <si>
    <t>📊 Inventory Dashboard</t>
  </si>
  <si>
    <t>Total SKUs</t>
  </si>
  <si>
    <t>Total On-Hand (All SKUs)</t>
  </si>
  <si>
    <t>Total Inventory Cost Value</t>
  </si>
  <si>
    <t>Total Inventory Sales Value</t>
  </si>
  <si>
    <t>Low Stock SKU Count</t>
  </si>
  <si>
    <t>Top 5 Most Scanned SKUs</t>
  </si>
  <si>
    <t>Rank</t>
  </si>
  <si>
    <t>SKU</t>
  </si>
  <si>
    <t>Description</t>
  </si>
  <si>
    <t>Scan Count</t>
  </si>
  <si>
    <t>Total On Hand</t>
  </si>
  <si>
    <t>How to use:</t>
  </si>
  <si>
    <t>1) Add/maintain SKUs in Items_Master.  2) Log IN/OUT in Transactions (scan or type SKU + qty + location).  3) Inventory_Summary auto-updates.  4) Use SKU_Finder to look up any item by barcode scan.  5) Python script (inventory_manager.py) reads/writes this file as a database.  6) Run app.py for web dashboard at http://localhost:5000</t>
  </si>
  <si>
    <t>Avery 5161 Labels (20 per page) — Apply barcode font (e.g. Code 128) to row 5/8/11… for scannable barcodes</t>
  </si>
  <si>
    <t>Left Column</t>
  </si>
  <si>
    <t>Right Column</t>
  </si>
  <si>
    <t>💡 To print barcodes: select the Barcode Text rows → change font to 'Free 3 of 9' or 'Code128'. Print on Avery 5161 sticker sheets.</t>
  </si>
  <si>
    <t>Total Qty</t>
  </si>
  <si>
    <t>Scan/Enter SKU:</t>
  </si>
  <si>
    <t>LAB-001</t>
  </si>
  <si>
    <t>Location 1</t>
  </si>
  <si>
    <t>Category</t>
  </si>
  <si>
    <t>Location 2</t>
  </si>
  <si>
    <t>Reorder Level</t>
  </si>
  <si>
    <t>Location 3</t>
  </si>
  <si>
    <t>Lead Time (days)</t>
  </si>
  <si>
    <t>Total</t>
  </si>
  <si>
    <t>Date Needed</t>
  </si>
  <si>
    <t>Unit Cost</t>
  </si>
  <si>
    <t>Sales Price</t>
  </si>
  <si>
    <t>Status:</t>
  </si>
  <si>
    <t>💡 Scan a barcode or type a SKU into cell B1 to instantly look up this item.</t>
  </si>
  <si>
    <t>Loc1 On Hand</t>
  </si>
  <si>
    <t>Loc2 On Hand</t>
  </si>
  <si>
    <t>Loc3 On Hand</t>
  </si>
  <si>
    <t>Status</t>
  </si>
  <si>
    <t>Total Cost Value</t>
  </si>
  <si>
    <t>Total Sales Value</t>
  </si>
  <si>
    <t>Date</t>
  </si>
  <si>
    <t>Type (IN/OUT)</t>
  </si>
  <si>
    <t>Qty</t>
  </si>
  <si>
    <t>Location (1-3)</t>
  </si>
  <si>
    <t>Notes</t>
  </si>
  <si>
    <t>In Qty</t>
  </si>
  <si>
    <t>Out Qty</t>
  </si>
  <si>
    <t>IN</t>
  </si>
  <si>
    <t>Initial stock receive</t>
  </si>
  <si>
    <t>LAB-002</t>
  </si>
  <si>
    <t>LAB-003</t>
  </si>
  <si>
    <t>LAB-004</t>
  </si>
  <si>
    <t>LAB-005</t>
  </si>
  <si>
    <t>LAB-006</t>
  </si>
  <si>
    <t>Secondary location stock</t>
  </si>
  <si>
    <t>LAB-007</t>
  </si>
  <si>
    <t>LAB-008</t>
  </si>
  <si>
    <t>LAB-009</t>
  </si>
  <si>
    <t>LAB-010</t>
  </si>
  <si>
    <t>OUT</t>
  </si>
  <si>
    <t>EXP-2024-001 buffer prep</t>
  </si>
  <si>
    <t>EXP-2024-002 sterilization</t>
  </si>
  <si>
    <t>Cell culture experiment</t>
  </si>
  <si>
    <t>Daily PPE issue</t>
  </si>
  <si>
    <t>EXP-2024-003</t>
  </si>
  <si>
    <t>PCR run</t>
  </si>
  <si>
    <t>Cryo storage session</t>
  </si>
  <si>
    <t>PO-2026-001 Fisher Scientific</t>
  </si>
  <si>
    <t>EXP-2024-005</t>
  </si>
  <si>
    <t>Sample prep</t>
  </si>
  <si>
    <t>2026-02-19</t>
  </si>
  <si>
    <t>Restocked Airgas delivery</t>
  </si>
  <si>
    <t>Cryo cell storage EXP-2026-001</t>
  </si>
  <si>
    <t>Loc1 Bin</t>
  </si>
  <si>
    <t>Loc2 Bin</t>
  </si>
  <si>
    <t>Loc3 Bin</t>
  </si>
  <si>
    <t>Barcode Text (SKU)</t>
  </si>
  <si>
    <t>Sodium Chloride (NaCl) 500g</t>
  </si>
  <si>
    <t>Reagents</t>
  </si>
  <si>
    <t>2026-03-01</t>
  </si>
  <si>
    <t>CHEM-01</t>
  </si>
  <si>
    <t>Ethanol 95% 1L</t>
  </si>
  <si>
    <t>2026-03-05</t>
  </si>
  <si>
    <t>CHEM-02</t>
  </si>
  <si>
    <t>50mL Falcon Tubes (pk/50)</t>
  </si>
  <si>
    <t>Plasticware</t>
  </si>
  <si>
    <t>2026-03-10</t>
  </si>
  <si>
    <t>CONS-01</t>
  </si>
  <si>
    <t>pH Meter Probe</t>
  </si>
  <si>
    <t>Equipment</t>
  </si>
  <si>
    <t>2026-03-15</t>
  </si>
  <si>
    <t>EQUIP-01</t>
  </si>
  <si>
    <t>Nitrile Gloves Medium (bx/100)</t>
  </si>
  <si>
    <t>Safety</t>
  </si>
  <si>
    <t>PPE-01</t>
  </si>
  <si>
    <t>Phosphate Buffer pH7 1L</t>
  </si>
  <si>
    <t>CHEM-03</t>
  </si>
  <si>
    <t>COLD-01</t>
  </si>
  <si>
    <t>Micropipette 100-1000uL</t>
  </si>
  <si>
    <t>2026-03-20</t>
  </si>
  <si>
    <t>EQUIP-02</t>
  </si>
  <si>
    <t>1.5mL Eppendorf Tubes (pk/500)</t>
  </si>
  <si>
    <t>CONS-02</t>
  </si>
  <si>
    <t>Liquid Nitrogen 10L Dewar</t>
  </si>
  <si>
    <t>2026-02-25</t>
  </si>
  <si>
    <t>CRYO-01</t>
  </si>
  <si>
    <t>Lab Coat Size L</t>
  </si>
  <si>
    <t>PPE-02</t>
  </si>
  <si>
    <t>LAB-011</t>
  </si>
  <si>
    <t>Acetone HPLC Grade 1L</t>
  </si>
  <si>
    <t>CHEM-04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</si>
</sst>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"/>
  </numFmts>
  <fonts count="12" x14ac:knownFonts="1">
    <font>
      <sz val="11"/>
      <color theme="1"/>
      <name val="Calibri"/>
      <family val="2"/>
      <scheme val="minor"/>
    </font>
    <font>
      <sz val="16"/>
      <color rgb="FFffffff"/>
      <name val="Calibri"/>
      <family val="2"/>
    </font>
    <font>
      <sz val="11"/>
      <color rgb="FFffffff"/>
      <name val="Calibri"/>
      <family val="2"/>
    </font>
    <font>
      <sz val="12"/>
      <color theme="1"/>
      <name val="Calibri"/>
      <family val="2"/>
    </font>
    <font>
      <sz val="12"/>
      <color rgb="FFffffff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  <font>
      <sz val="14"/>
      <color theme="1"/>
      <name val="Calibri"/>
      <family val="2"/>
    </font>
    <font>
      <sz val="10"/>
      <color rgb="FF555555"/>
      <name val="Calibri"/>
      <family val="2"/>
    </font>
    <font>
      <sz val="14"/>
      <color rgb="FF1f4e79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d6e4f0"/>
      </patternFill>
    </fill>
    <fill>
      <patternFill patternType="solid">
        <fgColor rgb="FFffff00"/>
      </patternFill>
    </fill>
  </fills>
  <borders count="5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/>
      <bottom/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</borders>
  <cellStyleXfs count="1">
    <xf numFmtId="0" fontId="0" fillId="0" borderId="0"/>
  </cellStyleXfs>
  <cellXfs count="58">
    <xf xfId="0" numFmtId="0" borderId="0" fontId="0" fillId="0"/>
    <xf xfId="0" numFmtId="3" applyNumberFormat="1" borderId="1" applyBorder="1" fontId="1" applyFont="1" fillId="2" applyFill="1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2" applyBorder="1" fontId="2" applyFont="1" fillId="3" applyFill="1" applyAlignment="1">
      <alignment horizontal="left"/>
    </xf>
    <xf xfId="0" numFmtId="3" applyNumberFormat="1" borderId="2" applyBorder="1" fontId="3" applyFont="1" fillId="4" applyFill="1" applyAlignment="1">
      <alignment horizontal="right"/>
    </xf>
    <xf xfId="0" numFmtId="7" applyNumberFormat="1" borderId="2" applyBorder="1" fontId="3" applyFont="1" fillId="4" applyFill="1" applyAlignment="1">
      <alignment horizontal="right"/>
    </xf>
    <xf xfId="0" numFmtId="3" applyNumberFormat="1" borderId="1" applyBorder="1" fontId="4" applyFont="1" fillId="2" applyFill="1" applyAlignment="1">
      <alignment horizontal="left"/>
    </xf>
    <xf xfId="0" numFmtId="0" borderId="0" fontId="0" fillId="0" applyAlignment="1">
      <alignment wrapText="1"/>
    </xf>
    <xf xfId="0" numFmtId="3" applyNumberFormat="1" borderId="2" applyBorder="1" fontId="2" applyFont="1" fillId="3" applyFill="1" applyAlignment="1">
      <alignment horizontal="center" wrapText="1"/>
    </xf>
    <xf xfId="0" numFmtId="0" borderId="2" applyBorder="1" fontId="2" applyFont="1" fillId="3" applyFill="1" applyAlignment="1">
      <alignment horizontal="center" wrapText="1"/>
    </xf>
    <xf xfId="0" numFmtId="3" applyNumberFormat="1" borderId="2" applyBorder="1" fontId="5" applyFont="1" fillId="0" applyAlignment="1">
      <alignment horizontal="center"/>
    </xf>
    <xf xfId="0" numFmtId="0" borderId="2" applyBorder="1" fontId="6" applyFont="1" fillId="0" applyAlignment="1">
      <alignment horizontal="left"/>
    </xf>
    <xf xfId="0" numFmtId="3" applyNumberFormat="1" borderId="2" applyBorder="1" fontId="6" applyFont="1" fillId="0" applyAlignment="1">
      <alignment horizontal="right"/>
    </xf>
    <xf xfId="0" numFmtId="3" applyNumberFormat="1" borderId="2" applyBorder="1" fontId="5" applyFont="1" fillId="5" applyFill="1" applyAlignment="1">
      <alignment horizontal="center"/>
    </xf>
    <xf xfId="0" numFmtId="0" borderId="2" applyBorder="1" fontId="6" applyFont="1" fillId="5" applyFill="1" applyAlignment="1">
      <alignment horizontal="left"/>
    </xf>
    <xf xfId="0" numFmtId="3" applyNumberFormat="1" borderId="2" applyBorder="1" fontId="6" applyFont="1" fillId="5" applyFill="1" applyAlignment="1">
      <alignment horizontal="right"/>
    </xf>
    <xf xfId="0" numFmtId="3" applyNumberFormat="1" borderId="1" applyBorder="1" fontId="2" applyFont="1" fillId="3" applyFill="1" applyAlignment="1">
      <alignment horizontal="left"/>
    </xf>
    <xf xfId="0" numFmtId="3" applyNumberFormat="1" borderId="3" applyBorder="1" fontId="7" applyFont="1" fillId="0" applyAlignment="1">
      <alignment horizontal="left" wrapText="1"/>
    </xf>
    <xf xfId="0" numFmtId="0" borderId="0" fontId="0" fillId="0" applyAlignment="1">
      <alignment horizontal="general" wrapText="1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1" applyBorder="1" fontId="2" applyFont="1" fillId="2" applyFill="1" applyAlignment="1">
      <alignment horizontal="left"/>
    </xf>
    <xf xfId="0" numFmtId="0" borderId="3" applyBorder="1" fontId="5" applyFont="1" fillId="0" applyAlignment="1">
      <alignment horizontal="left"/>
    </xf>
    <xf xfId="0" numFmtId="0" borderId="3" applyBorder="1" fontId="7" applyFont="1" fillId="0" applyAlignment="1">
      <alignment horizontal="center"/>
    </xf>
    <xf xfId="0" numFmtId="0" borderId="3" applyBorder="1" fontId="8" applyFont="1" fillId="0" applyAlignment="1">
      <alignment horizontal="center"/>
    </xf>
    <xf xfId="0" numFmtId="0" borderId="3" applyBorder="1" fontId="9" applyFont="1" fillId="0" applyAlignment="1">
      <alignment horizontal="center"/>
    </xf>
    <xf xfId="0" numFmtId="0" borderId="3" applyBorder="1" fontId="10" applyFont="1" fillId="0" applyAlignment="1">
      <alignment horizontal="left"/>
    </xf>
    <xf xfId="0" numFmtId="0" borderId="2" applyBorder="1" fontId="2" applyFont="1" fillId="2" applyFill="1" applyAlignment="1">
      <alignment horizontal="center" wrapText="1"/>
    </xf>
    <xf xfId="0" numFmtId="0" borderId="0" fontId="0" fillId="0" applyAlignment="1">
      <alignment horizontal="left"/>
    </xf>
    <xf xfId="0" numFmtId="0" borderId="0" fontId="0" fillId="0" applyAlignment="1">
      <alignment horizontal="right"/>
    </xf>
    <xf xfId="0" numFmtId="0" borderId="2" applyBorder="1" fontId="2" applyFont="1" fillId="2" applyFill="1" applyAlignment="1">
      <alignment horizontal="left"/>
    </xf>
    <xf xfId="0" numFmtId="0" borderId="4" applyBorder="1" fontId="11" applyFont="1" fillId="6" applyFill="1" applyAlignment="1">
      <alignment horizontal="center"/>
    </xf>
    <xf xfId="0" numFmtId="0" borderId="2" applyBorder="1" fontId="5" applyFont="1" fillId="0" applyAlignment="1">
      <alignment horizontal="left"/>
    </xf>
    <xf xfId="0" numFmtId="0" borderId="2" applyBorder="1" fontId="2" applyFont="1" fillId="2" applyFill="1" applyAlignment="1">
      <alignment horizontal="center"/>
    </xf>
    <xf xfId="0" numFmtId="3" applyNumberFormat="1" borderId="2" applyBorder="1" fontId="5" applyFont="1" fillId="0" applyAlignment="1">
      <alignment horizontal="right"/>
    </xf>
    <xf xfId="0" numFmtId="7" applyNumberFormat="1" borderId="2" applyBorder="1" fontId="5" applyFont="1" fillId="0" applyAlignment="1">
      <alignment horizontal="right"/>
    </xf>
    <xf xfId="0" numFmtId="0" borderId="2" applyBorder="1" fontId="3" applyFont="1" fillId="0" applyAlignment="1">
      <alignment horizontal="center"/>
    </xf>
    <xf xfId="0" numFmtId="0" borderId="2" applyBorder="1" fontId="6" applyFont="1" fillId="5" applyFill="1" applyAlignment="1">
      <alignment horizontal="center"/>
    </xf>
    <xf xfId="0" numFmtId="7" applyNumberFormat="1" borderId="2" applyBorder="1" fontId="6" applyFont="1" fillId="5" applyFill="1" applyAlignment="1">
      <alignment horizontal="right"/>
    </xf>
    <xf xfId="0" numFmtId="0" borderId="2" applyBorder="1" fontId="6" applyFont="1" fillId="0" applyAlignment="1">
      <alignment horizontal="center"/>
    </xf>
    <xf xfId="0" numFmtId="7" applyNumberFormat="1" borderId="2" applyBorder="1" fontId="6" applyFont="1" fillId="0" applyAlignment="1">
      <alignment horizontal="right"/>
    </xf>
    <xf xfId="0" numFmtId="0" borderId="0" fontId="0" fillId="0" applyAlignment="1">
      <alignment horizontal="center"/>
    </xf>
    <xf xfId="0" numFmtId="164" applyNumberFormat="1" borderId="2" applyBorder="1" fontId="2" applyFont="1" fillId="2" applyFill="1" applyAlignment="1">
      <alignment horizontal="center" wrapText="1"/>
    </xf>
    <xf xfId="0" numFmtId="3" applyNumberFormat="1" borderId="2" applyBorder="1" fontId="2" applyFont="1" fillId="2" applyFill="1" applyAlignment="1">
      <alignment horizontal="center" wrapText="1"/>
    </xf>
    <xf xfId="0" numFmtId="164" applyNumberFormat="1" borderId="2" applyBorder="1" fontId="5" applyFont="1" fillId="5" applyFill="1" applyAlignment="1">
      <alignment horizontal="left"/>
    </xf>
    <xf xfId="0" numFmtId="0" borderId="2" applyBorder="1" fontId="5" applyFont="1" fillId="5" applyFill="1" applyAlignment="1">
      <alignment horizontal="center"/>
    </xf>
    <xf xfId="0" numFmtId="0" borderId="2" applyBorder="1" fontId="5" applyFont="1" fillId="5" applyFill="1" applyAlignment="1">
      <alignment horizontal="left"/>
    </xf>
    <xf xfId="0" numFmtId="3" applyNumberFormat="1" borderId="2" applyBorder="1" fontId="5" applyFont="1" fillId="5" applyFill="1" applyAlignment="1">
      <alignment horizontal="right"/>
    </xf>
    <xf xfId="0" numFmtId="164" applyNumberFormat="1" borderId="2" applyBorder="1" fontId="5" applyFont="1" fillId="0" applyAlignment="1">
      <alignment horizontal="left"/>
    </xf>
    <xf xfId="0" numFmtId="0" borderId="2" applyBorder="1" fontId="5" applyFont="1" fillId="0" applyAlignment="1">
      <alignment horizontal="center"/>
    </xf>
    <xf xfId="0" numFmtId="0" borderId="2" applyBorder="1" fontId="5" applyFont="1" fillId="0" applyAlignment="1">
      <alignment horizontal="left"/>
    </xf>
    <xf xfId="0" numFmtId="164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7" applyNumberFormat="1" borderId="2" applyBorder="1" fontId="2" applyFont="1" fillId="2" applyFill="1" applyAlignment="1">
      <alignment horizontal="center" wrapText="1"/>
    </xf>
    <xf xfId="0" numFmtId="7" applyNumberFormat="1" borderId="2" applyBorder="1" fontId="5" applyFont="1" fillId="5" applyFill="1" applyAlignment="1">
      <alignment horizontal="right"/>
    </xf>
    <xf xfId="0" numFmtId="7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sharedStrings.xml" Type="http://schemas.openxmlformats.org/officeDocument/2006/relationships/sharedStrings" Id="rId8"/><Relationship Target="styles.xml" Type="http://schemas.openxmlformats.org/officeDocument/2006/relationships/styles" Id="rId9"/><Relationship Target="theme/theme1.xml" Type="http://schemas.openxmlformats.org/officeDocument/2006/relationships/theme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2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29" width="14.005" customWidth="1" bestFit="1"/>
    <col min="2" max="2" style="29" width="32.005" customWidth="1" bestFit="1"/>
    <col min="3" max="3" style="29" width="16.005" customWidth="1" bestFit="1"/>
    <col min="4" max="4" style="56" width="12.005" customWidth="1" bestFit="1"/>
    <col min="5" max="5" style="56" width="12.005" customWidth="1" bestFit="1"/>
    <col min="6" max="6" style="57" width="14.005" customWidth="1" bestFit="1"/>
    <col min="7" max="7" style="57" width="16.005" customWidth="1" bestFit="1"/>
    <col min="8" max="8" style="29" width="14.005" customWidth="1" bestFit="1"/>
    <col min="9" max="9" style="29" width="12.005" customWidth="1" bestFit="1"/>
    <col min="10" max="10" style="29" width="12.005" customWidth="1" bestFit="1"/>
    <col min="11" max="11" style="29" width="12.005" customWidth="1" bestFit="1"/>
    <col min="12" max="12" style="29" width="18.005" customWidth="1" bestFit="1"/>
  </cols>
  <sheetData>
    <row x14ac:dyDescent="0.25" r="1" customHeight="1" ht="28" customFormat="1" s="8">
      <c r="A1" s="28" t="s">
        <v>8</v>
      </c>
      <c r="B1" s="28" t="s">
        <v>9</v>
      </c>
      <c r="C1" s="28" t="s">
        <v>22</v>
      </c>
      <c r="D1" s="54" t="s">
        <v>29</v>
      </c>
      <c r="E1" s="54" t="s">
        <v>30</v>
      </c>
      <c r="F1" s="44" t="s">
        <v>24</v>
      </c>
      <c r="G1" s="44" t="s">
        <v>26</v>
      </c>
      <c r="H1" s="28" t="s">
        <v>28</v>
      </c>
      <c r="I1" s="28" t="s">
        <v>72</v>
      </c>
      <c r="J1" s="28" t="s">
        <v>73</v>
      </c>
      <c r="K1" s="28" t="s">
        <v>74</v>
      </c>
      <c r="L1" s="28" t="s">
        <v>75</v>
      </c>
    </row>
    <row x14ac:dyDescent="0.25" r="2" customHeight="1" ht="18.75">
      <c r="A2" s="47" t="s">
        <v>20</v>
      </c>
      <c r="B2" s="47" t="s">
        <v>76</v>
      </c>
      <c r="C2" s="47" t="s">
        <v>77</v>
      </c>
      <c r="D2" s="55">
        <v>0.05</v>
      </c>
      <c r="E2" s="55">
        <v>0.1</v>
      </c>
      <c r="F2" s="48">
        <v>100</v>
      </c>
      <c r="G2" s="48">
        <v>3</v>
      </c>
      <c r="H2" s="47" t="s">
        <v>78</v>
      </c>
      <c r="I2" s="47" t="s">
        <v>79</v>
      </c>
      <c r="J2" s="47"/>
      <c r="K2" s="47"/>
      <c r="L2" s="47" t="s">
        <v>20</v>
      </c>
    </row>
    <row x14ac:dyDescent="0.25" r="3" customHeight="1" ht="18.75">
      <c r="A3" s="51" t="s">
        <v>48</v>
      </c>
      <c r="B3" s="51" t="s">
        <v>80</v>
      </c>
      <c r="C3" s="51" t="s">
        <v>77</v>
      </c>
      <c r="D3" s="36">
        <v>0.08</v>
      </c>
      <c r="E3" s="36">
        <v>0.15</v>
      </c>
      <c r="F3" s="35">
        <v>500</v>
      </c>
      <c r="G3" s="35">
        <v>5</v>
      </c>
      <c r="H3" s="51" t="s">
        <v>81</v>
      </c>
      <c r="I3" s="51" t="s">
        <v>82</v>
      </c>
      <c r="J3" s="51"/>
      <c r="K3" s="51"/>
      <c r="L3" s="51" t="s">
        <v>48</v>
      </c>
    </row>
    <row x14ac:dyDescent="0.25" r="4" customHeight="1" ht="18.75">
      <c r="A4" s="47" t="s">
        <v>49</v>
      </c>
      <c r="B4" s="47" t="s">
        <v>83</v>
      </c>
      <c r="C4" s="47" t="s">
        <v>84</v>
      </c>
      <c r="D4" s="55">
        <v>0.45</v>
      </c>
      <c r="E4" s="55">
        <v>0.9</v>
      </c>
      <c r="F4" s="48">
        <v>50</v>
      </c>
      <c r="G4" s="48">
        <v>7</v>
      </c>
      <c r="H4" s="47" t="s">
        <v>85</v>
      </c>
      <c r="I4" s="47" t="s">
        <v>86</v>
      </c>
      <c r="J4" s="47"/>
      <c r="K4" s="47"/>
      <c r="L4" s="47" t="s">
        <v>49</v>
      </c>
    </row>
    <row x14ac:dyDescent="0.25" r="5" customHeight="1" ht="18.75">
      <c r="A5" s="51" t="s">
        <v>50</v>
      </c>
      <c r="B5" s="51" t="s">
        <v>87</v>
      </c>
      <c r="C5" s="51" t="s">
        <v>88</v>
      </c>
      <c r="D5" s="36">
        <v>125</v>
      </c>
      <c r="E5" s="36">
        <v>200</v>
      </c>
      <c r="F5" s="35">
        <v>1</v>
      </c>
      <c r="G5" s="35">
        <v>14</v>
      </c>
      <c r="H5" s="51" t="s">
        <v>89</v>
      </c>
      <c r="I5" s="51" t="s">
        <v>90</v>
      </c>
      <c r="J5" s="51"/>
      <c r="K5" s="51"/>
      <c r="L5" s="51" t="s">
        <v>50</v>
      </c>
    </row>
    <row x14ac:dyDescent="0.25" r="6" customHeight="1" ht="18.75">
      <c r="A6" s="47" t="s">
        <v>51</v>
      </c>
      <c r="B6" s="47" t="s">
        <v>91</v>
      </c>
      <c r="C6" s="47" t="s">
        <v>92</v>
      </c>
      <c r="D6" s="55">
        <v>8.5</v>
      </c>
      <c r="E6" s="55">
        <v>14</v>
      </c>
      <c r="F6" s="48">
        <v>5</v>
      </c>
      <c r="G6" s="48">
        <v>3</v>
      </c>
      <c r="H6" s="47" t="s">
        <v>78</v>
      </c>
      <c r="I6" s="47" t="s">
        <v>93</v>
      </c>
      <c r="J6" s="47"/>
      <c r="K6" s="47"/>
      <c r="L6" s="47" t="s">
        <v>51</v>
      </c>
    </row>
    <row x14ac:dyDescent="0.25" r="7" customHeight="1" ht="18.75">
      <c r="A7" s="51" t="s">
        <v>52</v>
      </c>
      <c r="B7" s="51" t="s">
        <v>94</v>
      </c>
      <c r="C7" s="51" t="s">
        <v>77</v>
      </c>
      <c r="D7" s="36">
        <v>0.12</v>
      </c>
      <c r="E7" s="36">
        <v>0.25</v>
      </c>
      <c r="F7" s="35">
        <v>200</v>
      </c>
      <c r="G7" s="35">
        <v>5</v>
      </c>
      <c r="H7" s="51" t="s">
        <v>81</v>
      </c>
      <c r="I7" s="51" t="s">
        <v>95</v>
      </c>
      <c r="J7" s="51" t="s">
        <v>96</v>
      </c>
      <c r="K7" s="51"/>
      <c r="L7" s="51" t="s">
        <v>52</v>
      </c>
    </row>
    <row x14ac:dyDescent="0.25" r="8" customHeight="1" ht="18.75">
      <c r="A8" s="47" t="s">
        <v>54</v>
      </c>
      <c r="B8" s="47" t="s">
        <v>97</v>
      </c>
      <c r="C8" s="47" t="s">
        <v>88</v>
      </c>
      <c r="D8" s="55">
        <v>285</v>
      </c>
      <c r="E8" s="55">
        <v>400</v>
      </c>
      <c r="F8" s="48">
        <v>1</v>
      </c>
      <c r="G8" s="48">
        <v>21</v>
      </c>
      <c r="H8" s="47" t="s">
        <v>98</v>
      </c>
      <c r="I8" s="47" t="s">
        <v>99</v>
      </c>
      <c r="J8" s="47"/>
      <c r="K8" s="47"/>
      <c r="L8" s="47" t="s">
        <v>54</v>
      </c>
    </row>
    <row x14ac:dyDescent="0.25" r="9" customHeight="1" ht="18.75">
      <c r="A9" s="51" t="s">
        <v>55</v>
      </c>
      <c r="B9" s="51" t="s">
        <v>100</v>
      </c>
      <c r="C9" s="51" t="s">
        <v>84</v>
      </c>
      <c r="D9" s="36">
        <v>0.15</v>
      </c>
      <c r="E9" s="36">
        <v>0.3</v>
      </c>
      <c r="F9" s="35">
        <v>200</v>
      </c>
      <c r="G9" s="35">
        <v>5</v>
      </c>
      <c r="H9" s="51" t="s">
        <v>85</v>
      </c>
      <c r="I9" s="51" t="s">
        <v>101</v>
      </c>
      <c r="J9" s="51"/>
      <c r="K9" s="51"/>
      <c r="L9" s="51" t="s">
        <v>55</v>
      </c>
    </row>
    <row x14ac:dyDescent="0.25" r="10" customHeight="1" ht="18.75">
      <c r="A10" s="47" t="s">
        <v>56</v>
      </c>
      <c r="B10" s="47" t="s">
        <v>102</v>
      </c>
      <c r="C10" s="47" t="s">
        <v>77</v>
      </c>
      <c r="D10" s="55">
        <v>1.2</v>
      </c>
      <c r="E10" s="55">
        <v>2.5</v>
      </c>
      <c r="F10" s="48">
        <v>20</v>
      </c>
      <c r="G10" s="48">
        <v>2</v>
      </c>
      <c r="H10" s="47" t="s">
        <v>103</v>
      </c>
      <c r="I10" s="47" t="s">
        <v>104</v>
      </c>
      <c r="J10" s="47"/>
      <c r="K10" s="47"/>
      <c r="L10" s="47" t="s">
        <v>56</v>
      </c>
    </row>
    <row x14ac:dyDescent="0.25" r="11" customHeight="1" ht="18.75">
      <c r="A11" s="51" t="s">
        <v>57</v>
      </c>
      <c r="B11" s="51" t="s">
        <v>105</v>
      </c>
      <c r="C11" s="51" t="s">
        <v>92</v>
      </c>
      <c r="D11" s="36">
        <v>22</v>
      </c>
      <c r="E11" s="36">
        <v>35</v>
      </c>
      <c r="F11" s="35">
        <v>2</v>
      </c>
      <c r="G11" s="35">
        <v>7</v>
      </c>
      <c r="H11" s="51" t="s">
        <v>81</v>
      </c>
      <c r="I11" s="51" t="s">
        <v>106</v>
      </c>
      <c r="J11" s="51"/>
      <c r="K11" s="51"/>
      <c r="L11" s="51" t="s">
        <v>57</v>
      </c>
    </row>
    <row x14ac:dyDescent="0.25" r="12" customHeight="1" ht="19.5">
      <c r="A12" s="47" t="s">
        <v>107</v>
      </c>
      <c r="B12" s="47" t="s">
        <v>108</v>
      </c>
      <c r="C12" s="47" t="s">
        <v>77</v>
      </c>
      <c r="D12" s="55">
        <v>8.5</v>
      </c>
      <c r="E12" s="55">
        <v>14</v>
      </c>
      <c r="F12" s="48">
        <v>3</v>
      </c>
      <c r="G12" s="48">
        <v>5</v>
      </c>
      <c r="H12" s="47" t="s">
        <v>69</v>
      </c>
      <c r="I12" s="47" t="s">
        <v>109</v>
      </c>
      <c r="J12" s="47"/>
      <c r="K12" s="47"/>
      <c r="L12" s="47" t="s">
        <v>107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5001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53" width="14.005" customWidth="1" bestFit="1"/>
    <col min="2" max="2" style="21" width="14.005" customWidth="1" bestFit="1"/>
    <col min="3" max="3" style="21" width="14.005" customWidth="1" bestFit="1"/>
    <col min="4" max="4" style="20" width="10.005" customWidth="1" bestFit="1"/>
    <col min="5" max="5" style="20" width="16.005" customWidth="1" bestFit="1"/>
    <col min="6" max="6" style="21" width="36.005" customWidth="1" bestFit="1"/>
    <col min="7" max="7" style="30" width="10.005" customWidth="1" bestFit="1"/>
    <col min="8" max="8" style="30" width="10.005" customWidth="1" bestFit="1"/>
  </cols>
  <sheetData>
    <row x14ac:dyDescent="0.25" r="1" customHeight="1" ht="28" customFormat="1" s="8">
      <c r="A1" s="43" t="s">
        <v>39</v>
      </c>
      <c r="B1" s="28" t="s">
        <v>40</v>
      </c>
      <c r="C1" s="28" t="s">
        <v>8</v>
      </c>
      <c r="D1" s="44" t="s">
        <v>41</v>
      </c>
      <c r="E1" s="44" t="s">
        <v>42</v>
      </c>
      <c r="F1" s="28" t="s">
        <v>43</v>
      </c>
      <c r="G1" s="28" t="s">
        <v>44</v>
      </c>
      <c r="H1" s="28" t="s">
        <v>45</v>
      </c>
    </row>
    <row x14ac:dyDescent="0.25" r="2" customHeight="1" ht="16">
      <c r="A2" s="45">
        <v>25568.750533032406</v>
      </c>
      <c r="B2" s="46" t="s">
        <v>46</v>
      </c>
      <c r="C2" s="47" t="s">
        <v>20</v>
      </c>
      <c r="D2" s="48">
        <v>500</v>
      </c>
      <c r="E2" s="14">
        <v>1</v>
      </c>
      <c r="F2" s="47" t="s">
        <v>47</v>
      </c>
      <c r="G2" s="16">
        <f>IF($B2="IN",$D2,0)</f>
      </c>
      <c r="H2" s="16">
        <f>IF($B2="OUT",$D2,0)</f>
      </c>
    </row>
    <row x14ac:dyDescent="0.25" r="3" customHeight="1" ht="16">
      <c r="A3" s="49">
        <v>25568.750533032406</v>
      </c>
      <c r="B3" s="50" t="s">
        <v>46</v>
      </c>
      <c r="C3" s="51" t="s">
        <v>48</v>
      </c>
      <c r="D3" s="35">
        <v>2000</v>
      </c>
      <c r="E3" s="11">
        <v>1</v>
      </c>
      <c r="F3" s="51" t="s">
        <v>47</v>
      </c>
      <c r="G3" s="13">
        <f>IF($B3="IN",$D3,0)</f>
      </c>
      <c r="H3" s="13">
        <f>IF($B3="OUT",$D3,0)</f>
      </c>
    </row>
    <row x14ac:dyDescent="0.25" r="4" customHeight="1" ht="16">
      <c r="A4" s="45">
        <v>25568.75053304398</v>
      </c>
      <c r="B4" s="46" t="s">
        <v>46</v>
      </c>
      <c r="C4" s="47" t="s">
        <v>49</v>
      </c>
      <c r="D4" s="48">
        <v>200</v>
      </c>
      <c r="E4" s="14">
        <v>1</v>
      </c>
      <c r="F4" s="47" t="s">
        <v>47</v>
      </c>
      <c r="G4" s="16">
        <f>IF($B4="IN",$D4,0)</f>
      </c>
      <c r="H4" s="16">
        <f>IF($B4="OUT",$D4,0)</f>
      </c>
    </row>
    <row x14ac:dyDescent="0.25" r="5" customHeight="1" ht="16">
      <c r="A5" s="49">
        <v>25568.75053304398</v>
      </c>
      <c r="B5" s="50" t="s">
        <v>46</v>
      </c>
      <c r="C5" s="51" t="s">
        <v>50</v>
      </c>
      <c r="D5" s="35">
        <v>3</v>
      </c>
      <c r="E5" s="11">
        <v>1</v>
      </c>
      <c r="F5" s="51" t="s">
        <v>47</v>
      </c>
      <c r="G5" s="13">
        <f>IF($B5="IN",$D5,0)</f>
      </c>
      <c r="H5" s="13">
        <f>IF($B5="OUT",$D5,0)</f>
      </c>
    </row>
    <row x14ac:dyDescent="0.25" r="6" customHeight="1" ht="16">
      <c r="A6" s="45">
        <v>25568.750533055554</v>
      </c>
      <c r="B6" s="46" t="s">
        <v>46</v>
      </c>
      <c r="C6" s="47" t="s">
        <v>51</v>
      </c>
      <c r="D6" s="48">
        <v>15</v>
      </c>
      <c r="E6" s="14">
        <v>1</v>
      </c>
      <c r="F6" s="47" t="s">
        <v>47</v>
      </c>
      <c r="G6" s="16">
        <f>IF($B6="IN",$D6,0)</f>
      </c>
      <c r="H6" s="16">
        <f>IF($B6="OUT",$D6,0)</f>
      </c>
    </row>
    <row x14ac:dyDescent="0.25" r="7" customHeight="1" ht="16">
      <c r="A7" s="49">
        <v>25568.750533055554</v>
      </c>
      <c r="B7" s="50" t="s">
        <v>46</v>
      </c>
      <c r="C7" s="51" t="s">
        <v>52</v>
      </c>
      <c r="D7" s="35">
        <v>800</v>
      </c>
      <c r="E7" s="11">
        <v>1</v>
      </c>
      <c r="F7" s="51" t="s">
        <v>47</v>
      </c>
      <c r="G7" s="13">
        <f>IF($B7="IN",$D7,0)</f>
      </c>
      <c r="H7" s="13">
        <f>IF($B7="OUT",$D7,0)</f>
      </c>
    </row>
    <row x14ac:dyDescent="0.25" r="8" customHeight="1" ht="16">
      <c r="A8" s="45">
        <v>25568.750533055554</v>
      </c>
      <c r="B8" s="46" t="s">
        <v>46</v>
      </c>
      <c r="C8" s="47" t="s">
        <v>52</v>
      </c>
      <c r="D8" s="48">
        <v>200</v>
      </c>
      <c r="E8" s="14">
        <v>2</v>
      </c>
      <c r="F8" s="47" t="s">
        <v>53</v>
      </c>
      <c r="G8" s="16">
        <f>IF($B8="IN",$D8,0)</f>
      </c>
      <c r="H8" s="16">
        <f>IF($B8="OUT",$D8,0)</f>
      </c>
    </row>
    <row x14ac:dyDescent="0.25" r="9" customHeight="1" ht="16">
      <c r="A9" s="49">
        <v>25568.75053306713</v>
      </c>
      <c r="B9" s="50" t="s">
        <v>46</v>
      </c>
      <c r="C9" s="51" t="s">
        <v>54</v>
      </c>
      <c r="D9" s="35">
        <v>4</v>
      </c>
      <c r="E9" s="11">
        <v>1</v>
      </c>
      <c r="F9" s="51" t="s">
        <v>47</v>
      </c>
      <c r="G9" s="13">
        <f>IF($B9="IN",$D9,0)</f>
      </c>
      <c r="H9" s="13">
        <f>IF($B9="OUT",$D9,0)</f>
      </c>
    </row>
    <row x14ac:dyDescent="0.25" r="10" customHeight="1" ht="16">
      <c r="A10" s="45">
        <v>25568.75053306713</v>
      </c>
      <c r="B10" s="46" t="s">
        <v>46</v>
      </c>
      <c r="C10" s="47" t="s">
        <v>55</v>
      </c>
      <c r="D10" s="48">
        <v>1000</v>
      </c>
      <c r="E10" s="14">
        <v>1</v>
      </c>
      <c r="F10" s="47" t="s">
        <v>47</v>
      </c>
      <c r="G10" s="16">
        <f>IF($B10="IN",$D10,0)</f>
      </c>
      <c r="H10" s="16">
        <f>IF($B10="OUT",$D10,0)</f>
      </c>
    </row>
    <row x14ac:dyDescent="0.25" r="11" customHeight="1" ht="16">
      <c r="A11" s="49">
        <v>25568.750533078703</v>
      </c>
      <c r="B11" s="50" t="s">
        <v>46</v>
      </c>
      <c r="C11" s="51" t="s">
        <v>56</v>
      </c>
      <c r="D11" s="35">
        <v>50</v>
      </c>
      <c r="E11" s="11">
        <v>1</v>
      </c>
      <c r="F11" s="51" t="s">
        <v>47</v>
      </c>
      <c r="G11" s="13">
        <f>IF($B11="IN",$D11,0)</f>
      </c>
      <c r="H11" s="13">
        <f>IF($B11="OUT",$D11,0)</f>
      </c>
    </row>
    <row x14ac:dyDescent="0.25" r="12" customHeight="1" ht="16">
      <c r="A12" s="45">
        <v>25568.750533078703</v>
      </c>
      <c r="B12" s="46" t="s">
        <v>46</v>
      </c>
      <c r="C12" s="47" t="s">
        <v>57</v>
      </c>
      <c r="D12" s="48">
        <v>8</v>
      </c>
      <c r="E12" s="14">
        <v>1</v>
      </c>
      <c r="F12" s="47" t="s">
        <v>47</v>
      </c>
      <c r="G12" s="16">
        <f>IF($B12="IN",$D12,0)</f>
      </c>
      <c r="H12" s="16">
        <f>IF($B12="OUT",$D12,0)</f>
      </c>
    </row>
    <row x14ac:dyDescent="0.25" r="13" customHeight="1" ht="16">
      <c r="A13" s="49">
        <v>25568.750533136576</v>
      </c>
      <c r="B13" s="50" t="s">
        <v>58</v>
      </c>
      <c r="C13" s="51" t="s">
        <v>20</v>
      </c>
      <c r="D13" s="35">
        <v>50</v>
      </c>
      <c r="E13" s="11">
        <v>1</v>
      </c>
      <c r="F13" s="51" t="s">
        <v>59</v>
      </c>
      <c r="G13" s="13">
        <f>IF($B13="IN",$D13,0)</f>
      </c>
      <c r="H13" s="13">
        <f>IF($B13="OUT",$D13,0)</f>
      </c>
    </row>
    <row x14ac:dyDescent="0.25" r="14" customHeight="1" ht="16">
      <c r="A14" s="45">
        <v>25568.750533148148</v>
      </c>
      <c r="B14" s="46" t="s">
        <v>58</v>
      </c>
      <c r="C14" s="47" t="s">
        <v>48</v>
      </c>
      <c r="D14" s="48">
        <v>200</v>
      </c>
      <c r="E14" s="14">
        <v>1</v>
      </c>
      <c r="F14" s="47" t="s">
        <v>60</v>
      </c>
      <c r="G14" s="16">
        <f>IF($B14="IN",$D14,0)</f>
      </c>
      <c r="H14" s="16">
        <f>IF($B14="OUT",$D14,0)</f>
      </c>
    </row>
    <row x14ac:dyDescent="0.25" r="15" customHeight="1" ht="16">
      <c r="A15" s="49">
        <v>25568.750533159724</v>
      </c>
      <c r="B15" s="50" t="s">
        <v>58</v>
      </c>
      <c r="C15" s="51" t="s">
        <v>49</v>
      </c>
      <c r="D15" s="35">
        <v>20</v>
      </c>
      <c r="E15" s="11">
        <v>1</v>
      </c>
      <c r="F15" s="51" t="s">
        <v>61</v>
      </c>
      <c r="G15" s="13">
        <f>IF($B15="IN",$D15,0)</f>
      </c>
      <c r="H15" s="13">
        <f>IF($B15="OUT",$D15,0)</f>
      </c>
    </row>
    <row x14ac:dyDescent="0.25" r="16" customHeight="1" ht="16">
      <c r="A16" s="45">
        <v>25568.750533171296</v>
      </c>
      <c r="B16" s="46" t="s">
        <v>58</v>
      </c>
      <c r="C16" s="47" t="s">
        <v>51</v>
      </c>
      <c r="D16" s="48">
        <v>2</v>
      </c>
      <c r="E16" s="14">
        <v>1</v>
      </c>
      <c r="F16" s="47" t="s">
        <v>62</v>
      </c>
      <c r="G16" s="16">
        <f>IF($B16="IN",$D16,0)</f>
      </c>
      <c r="H16" s="16">
        <f>IF($B16="OUT",$D16,0)</f>
      </c>
    </row>
    <row x14ac:dyDescent="0.25" r="17" customHeight="1" ht="16">
      <c r="A17" s="49">
        <v>25568.75053318287</v>
      </c>
      <c r="B17" s="50" t="s">
        <v>58</v>
      </c>
      <c r="C17" s="51" t="s">
        <v>52</v>
      </c>
      <c r="D17" s="35">
        <v>100</v>
      </c>
      <c r="E17" s="11">
        <v>1</v>
      </c>
      <c r="F17" s="51" t="s">
        <v>63</v>
      </c>
      <c r="G17" s="13">
        <f>IF($B17="IN",$D17,0)</f>
      </c>
      <c r="H17" s="13">
        <f>IF($B17="OUT",$D17,0)</f>
      </c>
    </row>
    <row x14ac:dyDescent="0.25" r="18" customHeight="1" ht="16">
      <c r="A18" s="45">
        <v>25568.750533194445</v>
      </c>
      <c r="B18" s="46" t="s">
        <v>58</v>
      </c>
      <c r="C18" s="47" t="s">
        <v>55</v>
      </c>
      <c r="D18" s="48">
        <v>100</v>
      </c>
      <c r="E18" s="14">
        <v>1</v>
      </c>
      <c r="F18" s="47" t="s">
        <v>64</v>
      </c>
      <c r="G18" s="16">
        <f>IF($B18="IN",$D18,0)</f>
      </c>
      <c r="H18" s="16">
        <f>IF($B18="OUT",$D18,0)</f>
      </c>
    </row>
    <row x14ac:dyDescent="0.25" r="19" customHeight="1" ht="16">
      <c r="A19" s="49">
        <v>25568.750533206017</v>
      </c>
      <c r="B19" s="50" t="s">
        <v>58</v>
      </c>
      <c r="C19" s="51" t="s">
        <v>56</v>
      </c>
      <c r="D19" s="35">
        <v>10</v>
      </c>
      <c r="E19" s="11">
        <v>1</v>
      </c>
      <c r="F19" s="51" t="s">
        <v>65</v>
      </c>
      <c r="G19" s="13">
        <f>IF($B19="IN",$D19,0)</f>
      </c>
      <c r="H19" s="13">
        <f>IF($B19="OUT",$D19,0)</f>
      </c>
    </row>
    <row x14ac:dyDescent="0.25" r="20" customHeight="1" ht="16">
      <c r="A20" s="45">
        <v>25568.750533217593</v>
      </c>
      <c r="B20" s="46" t="s">
        <v>46</v>
      </c>
      <c r="C20" s="47" t="s">
        <v>20</v>
      </c>
      <c r="D20" s="48">
        <v>200</v>
      </c>
      <c r="E20" s="14">
        <v>1</v>
      </c>
      <c r="F20" s="47" t="s">
        <v>66</v>
      </c>
      <c r="G20" s="16">
        <f>IF($B20="IN",$D20,0)</f>
      </c>
      <c r="H20" s="16">
        <f>IF($B20="OUT",$D20,0)</f>
      </c>
    </row>
    <row x14ac:dyDescent="0.25" r="21" customHeight="1" ht="16">
      <c r="A21" s="49">
        <v>25568.750533229166</v>
      </c>
      <c r="B21" s="50" t="s">
        <v>58</v>
      </c>
      <c r="C21" s="51" t="s">
        <v>20</v>
      </c>
      <c r="D21" s="35">
        <v>30</v>
      </c>
      <c r="E21" s="11">
        <v>1</v>
      </c>
      <c r="F21" s="51" t="s">
        <v>67</v>
      </c>
      <c r="G21" s="13">
        <f>IF($B21="IN",$D21,0)</f>
      </c>
      <c r="H21" s="13">
        <f>IF($B21="OUT",$D21,0)</f>
      </c>
    </row>
    <row x14ac:dyDescent="0.25" r="22" customHeight="1" ht="16">
      <c r="A22" s="45">
        <v>25568.750533229166</v>
      </c>
      <c r="B22" s="46" t="s">
        <v>58</v>
      </c>
      <c r="C22" s="47" t="s">
        <v>49</v>
      </c>
      <c r="D22" s="48">
        <v>10</v>
      </c>
      <c r="E22" s="14">
        <v>1</v>
      </c>
      <c r="F22" s="47" t="s">
        <v>68</v>
      </c>
      <c r="G22" s="16">
        <f>IF($B22="IN",$D22,0)</f>
      </c>
      <c r="H22" s="16">
        <f>IF($B22="OUT",$D22,0)</f>
      </c>
    </row>
    <row x14ac:dyDescent="0.25" r="23" customHeight="1" ht="17.25">
      <c r="A23" s="49" t="s">
        <v>69</v>
      </c>
      <c r="B23" s="50" t="s">
        <v>46</v>
      </c>
      <c r="C23" s="51" t="s">
        <v>56</v>
      </c>
      <c r="D23" s="35">
        <v>30</v>
      </c>
      <c r="E23" s="11">
        <v>1</v>
      </c>
      <c r="F23" s="51" t="s">
        <v>70</v>
      </c>
      <c r="G23" s="13">
        <f>IF($B23="IN",$D23,0)</f>
      </c>
      <c r="H23" s="13">
        <f>IF($B23="OUT",$D23,0)</f>
      </c>
    </row>
    <row x14ac:dyDescent="0.25" r="24" customHeight="1" ht="17.25">
      <c r="A24" s="45" t="s">
        <v>69</v>
      </c>
      <c r="B24" s="46" t="s">
        <v>58</v>
      </c>
      <c r="C24" s="47" t="s">
        <v>56</v>
      </c>
      <c r="D24" s="48">
        <v>5</v>
      </c>
      <c r="E24" s="14">
        <v>1</v>
      </c>
      <c r="F24" s="47" t="s">
        <v>71</v>
      </c>
      <c r="G24" s="13">
        <f>IF($B24="IN",$D24,0)</f>
      </c>
      <c r="H24" s="13">
        <f>IF($B24="OUT",$D24,0)</f>
      </c>
    </row>
    <row x14ac:dyDescent="0.25" r="25" customHeight="1" ht="17.25">
      <c r="A25" s="52"/>
      <c r="B25" s="2"/>
      <c r="C25" s="2"/>
      <c r="D25" s="3"/>
      <c r="E25" s="3"/>
      <c r="F25" s="2"/>
      <c r="G25" s="13">
        <f>IF($B25="IN",$D25,0)</f>
      </c>
      <c r="H25" s="13">
        <f>IF($B25="OUT",$D25,0)</f>
      </c>
    </row>
    <row x14ac:dyDescent="0.25" r="26" customHeight="1" ht="17.25">
      <c r="A26" s="52"/>
      <c r="B26" s="2"/>
      <c r="C26" s="2"/>
      <c r="D26" s="3"/>
      <c r="E26" s="3"/>
      <c r="F26" s="2"/>
      <c r="G26" s="13">
        <f>IF($B26="IN",$D26,0)</f>
      </c>
      <c r="H26" s="13">
        <f>IF($B26="OUT",$D26,0)</f>
      </c>
    </row>
    <row x14ac:dyDescent="0.25" r="27" customHeight="1" ht="17.25">
      <c r="A27" s="52"/>
      <c r="B27" s="2"/>
      <c r="C27" s="2"/>
      <c r="D27" s="3"/>
      <c r="E27" s="3"/>
      <c r="F27" s="2"/>
      <c r="G27" s="13">
        <f>IF($B27="IN",$D27,0)</f>
      </c>
      <c r="H27" s="13">
        <f>IF($B27="OUT",$D27,0)</f>
      </c>
    </row>
    <row x14ac:dyDescent="0.25" r="28" customHeight="1" ht="17.25">
      <c r="A28" s="52"/>
      <c r="B28" s="2"/>
      <c r="C28" s="2"/>
      <c r="D28" s="3"/>
      <c r="E28" s="3"/>
      <c r="F28" s="2"/>
      <c r="G28" s="13">
        <f>IF($B28="IN",$D28,0)</f>
      </c>
      <c r="H28" s="13">
        <f>IF($B28="OUT",$D28,0)</f>
      </c>
    </row>
    <row x14ac:dyDescent="0.25" r="29" customHeight="1" ht="17.25">
      <c r="A29" s="52"/>
      <c r="B29" s="2"/>
      <c r="C29" s="2"/>
      <c r="D29" s="3"/>
      <c r="E29" s="3"/>
      <c r="F29" s="2"/>
      <c r="G29" s="13">
        <f>IF($B29="IN",$D29,0)</f>
      </c>
      <c r="H29" s="13">
        <f>IF($B29="OUT",$D29,0)</f>
      </c>
    </row>
    <row x14ac:dyDescent="0.25" r="30" customHeight="1" ht="17.25">
      <c r="A30" s="52"/>
      <c r="B30" s="2"/>
      <c r="C30" s="2"/>
      <c r="D30" s="3"/>
      <c r="E30" s="3"/>
      <c r="F30" s="2"/>
      <c r="G30" s="13">
        <f>IF($B30="IN",$D30,0)</f>
      </c>
      <c r="H30" s="13">
        <f>IF($B30="OUT",$D30,0)</f>
      </c>
    </row>
    <row x14ac:dyDescent="0.25" r="31" customHeight="1" ht="17.25">
      <c r="A31" s="52"/>
      <c r="B31" s="2"/>
      <c r="C31" s="2"/>
      <c r="D31" s="3"/>
      <c r="E31" s="3"/>
      <c r="F31" s="2"/>
      <c r="G31" s="13">
        <f>IF($B31="IN",$D31,0)</f>
      </c>
      <c r="H31" s="13">
        <f>IF($B31="OUT",$D31,0)</f>
      </c>
    </row>
    <row x14ac:dyDescent="0.25" r="32" customHeight="1" ht="17.25">
      <c r="A32" s="52"/>
      <c r="B32" s="2"/>
      <c r="C32" s="2"/>
      <c r="D32" s="3"/>
      <c r="E32" s="3"/>
      <c r="F32" s="2"/>
      <c r="G32" s="13">
        <f>IF($B32="IN",$D32,0)</f>
      </c>
      <c r="H32" s="13">
        <f>IF($B32="OUT",$D32,0)</f>
      </c>
    </row>
    <row x14ac:dyDescent="0.25" r="33" customHeight="1" ht="17.25">
      <c r="A33" s="52"/>
      <c r="B33" s="2"/>
      <c r="C33" s="2"/>
      <c r="D33" s="3"/>
      <c r="E33" s="3"/>
      <c r="F33" s="2"/>
      <c r="G33" s="13">
        <f>IF($B33="IN",$D33,0)</f>
      </c>
      <c r="H33" s="13">
        <f>IF($B33="OUT",$D33,0)</f>
      </c>
    </row>
    <row x14ac:dyDescent="0.25" r="34" customHeight="1" ht="17.25">
      <c r="A34" s="52"/>
      <c r="B34" s="2"/>
      <c r="C34" s="2"/>
      <c r="D34" s="3"/>
      <c r="E34" s="3"/>
      <c r="F34" s="2"/>
      <c r="G34" s="13">
        <f>IF($B34="IN",$D34,0)</f>
      </c>
      <c r="H34" s="13">
        <f>IF($B34="OUT",$D34,0)</f>
      </c>
    </row>
    <row x14ac:dyDescent="0.25" r="35" customHeight="1" ht="17.25">
      <c r="A35" s="52"/>
      <c r="B35" s="2"/>
      <c r="C35" s="2"/>
      <c r="D35" s="3"/>
      <c r="E35" s="3"/>
      <c r="F35" s="2"/>
      <c r="G35" s="13">
        <f>IF($B35="IN",$D35,0)</f>
      </c>
      <c r="H35" s="13">
        <f>IF($B35="OUT",$D35,0)</f>
      </c>
    </row>
    <row x14ac:dyDescent="0.25" r="36" customHeight="1" ht="17.25">
      <c r="A36" s="52"/>
      <c r="B36" s="2"/>
      <c r="C36" s="2"/>
      <c r="D36" s="3"/>
      <c r="E36" s="3"/>
      <c r="F36" s="2"/>
      <c r="G36" s="13">
        <f>IF($B36="IN",$D36,0)</f>
      </c>
      <c r="H36" s="13">
        <f>IF($B36="OUT",$D36,0)</f>
      </c>
    </row>
    <row x14ac:dyDescent="0.25" r="37" customHeight="1" ht="17.25">
      <c r="A37" s="52"/>
      <c r="B37" s="2"/>
      <c r="C37" s="2"/>
      <c r="D37" s="3"/>
      <c r="E37" s="3"/>
      <c r="F37" s="2"/>
      <c r="G37" s="13">
        <f>IF($B37="IN",$D37,0)</f>
      </c>
      <c r="H37" s="13">
        <f>IF($B37="OUT",$D37,0)</f>
      </c>
    </row>
    <row x14ac:dyDescent="0.25" r="38" customHeight="1" ht="17.25">
      <c r="A38" s="52"/>
      <c r="B38" s="2"/>
      <c r="C38" s="2"/>
      <c r="D38" s="3"/>
      <c r="E38" s="3"/>
      <c r="F38" s="2"/>
      <c r="G38" s="13">
        <f>IF($B38="IN",$D38,0)</f>
      </c>
      <c r="H38" s="13">
        <f>IF($B38="OUT",$D38,0)</f>
      </c>
    </row>
    <row x14ac:dyDescent="0.25" r="39" customHeight="1" ht="17.25">
      <c r="A39" s="52"/>
      <c r="B39" s="2"/>
      <c r="C39" s="2"/>
      <c r="D39" s="3"/>
      <c r="E39" s="3"/>
      <c r="F39" s="2"/>
      <c r="G39" s="13">
        <f>IF($B39="IN",$D39,0)</f>
      </c>
      <c r="H39" s="13">
        <f>IF($B39="OUT",$D39,0)</f>
      </c>
    </row>
    <row x14ac:dyDescent="0.25" r="40" customHeight="1" ht="17.25">
      <c r="A40" s="52"/>
      <c r="B40" s="2"/>
      <c r="C40" s="2"/>
      <c r="D40" s="3"/>
      <c r="E40" s="3"/>
      <c r="F40" s="2"/>
      <c r="G40" s="13">
        <f>IF($B40="IN",$D40,0)</f>
      </c>
      <c r="H40" s="13">
        <f>IF($B40="OUT",$D40,0)</f>
      </c>
    </row>
    <row x14ac:dyDescent="0.25" r="41" customHeight="1" ht="17.25">
      <c r="A41" s="52"/>
      <c r="B41" s="2"/>
      <c r="C41" s="2"/>
      <c r="D41" s="3"/>
      <c r="E41" s="3"/>
      <c r="F41" s="2"/>
      <c r="G41" s="13">
        <f>IF($B41="IN",$D41,0)</f>
      </c>
      <c r="H41" s="13">
        <f>IF($B41="OUT",$D41,0)</f>
      </c>
    </row>
    <row x14ac:dyDescent="0.25" r="42" customHeight="1" ht="17.25">
      <c r="A42" s="52"/>
      <c r="B42" s="2"/>
      <c r="C42" s="2"/>
      <c r="D42" s="3"/>
      <c r="E42" s="3"/>
      <c r="F42" s="2"/>
      <c r="G42" s="13">
        <f>IF($B42="IN",$D42,0)</f>
      </c>
      <c r="H42" s="13">
        <f>IF($B42="OUT",$D42,0)</f>
      </c>
    </row>
    <row x14ac:dyDescent="0.25" r="43" customHeight="1" ht="17.25">
      <c r="A43" s="52"/>
      <c r="B43" s="2"/>
      <c r="C43" s="2"/>
      <c r="D43" s="3"/>
      <c r="E43" s="3"/>
      <c r="F43" s="2"/>
      <c r="G43" s="13">
        <f>IF($B43="IN",$D43,0)</f>
      </c>
      <c r="H43" s="13">
        <f>IF($B43="OUT",$D43,0)</f>
      </c>
    </row>
    <row x14ac:dyDescent="0.25" r="44" customHeight="1" ht="17.25">
      <c r="A44" s="52"/>
      <c r="B44" s="2"/>
      <c r="C44" s="2"/>
      <c r="D44" s="3"/>
      <c r="E44" s="3"/>
      <c r="F44" s="2"/>
      <c r="G44" s="13">
        <f>IF($B44="IN",$D44,0)</f>
      </c>
      <c r="H44" s="13">
        <f>IF($B44="OUT",$D44,0)</f>
      </c>
    </row>
    <row x14ac:dyDescent="0.25" r="45" customHeight="1" ht="17.25">
      <c r="A45" s="52"/>
      <c r="B45" s="2"/>
      <c r="C45" s="2"/>
      <c r="D45" s="3"/>
      <c r="E45" s="3"/>
      <c r="F45" s="2"/>
      <c r="G45" s="13">
        <f>IF($B45="IN",$D45,0)</f>
      </c>
      <c r="H45" s="13">
        <f>IF($B45="OUT",$D45,0)</f>
      </c>
    </row>
    <row x14ac:dyDescent="0.25" r="46" customHeight="1" ht="17.25">
      <c r="A46" s="52"/>
      <c r="B46" s="2"/>
      <c r="C46" s="2"/>
      <c r="D46" s="3"/>
      <c r="E46" s="3"/>
      <c r="F46" s="2"/>
      <c r="G46" s="13">
        <f>IF($B46="IN",$D46,0)</f>
      </c>
      <c r="H46" s="13">
        <f>IF($B46="OUT",$D46,0)</f>
      </c>
    </row>
    <row x14ac:dyDescent="0.25" r="47" customHeight="1" ht="17.25">
      <c r="A47" s="52"/>
      <c r="B47" s="2"/>
      <c r="C47" s="2"/>
      <c r="D47" s="3"/>
      <c r="E47" s="3"/>
      <c r="F47" s="2"/>
      <c r="G47" s="13">
        <f>IF($B47="IN",$D47,0)</f>
      </c>
      <c r="H47" s="13">
        <f>IF($B47="OUT",$D47,0)</f>
      </c>
    </row>
    <row x14ac:dyDescent="0.25" r="48" customHeight="1" ht="17.25">
      <c r="A48" s="52"/>
      <c r="B48" s="2"/>
      <c r="C48" s="2"/>
      <c r="D48" s="3"/>
      <c r="E48" s="3"/>
      <c r="F48" s="2"/>
      <c r="G48" s="13">
        <f>IF($B48="IN",$D48,0)</f>
      </c>
      <c r="H48" s="13">
        <f>IF($B48="OUT",$D48,0)</f>
      </c>
    </row>
    <row x14ac:dyDescent="0.25" r="49" customHeight="1" ht="17.25">
      <c r="A49" s="52"/>
      <c r="B49" s="2"/>
      <c r="C49" s="2"/>
      <c r="D49" s="3"/>
      <c r="E49" s="3"/>
      <c r="F49" s="2"/>
      <c r="G49" s="13">
        <f>IF($B49="IN",$D49,0)</f>
      </c>
      <c r="H49" s="13">
        <f>IF($B49="OUT",$D49,0)</f>
      </c>
    </row>
    <row x14ac:dyDescent="0.25" r="50" customHeight="1" ht="17.25">
      <c r="A50" s="52"/>
      <c r="B50" s="2"/>
      <c r="C50" s="2"/>
      <c r="D50" s="3"/>
      <c r="E50" s="3"/>
      <c r="F50" s="2"/>
      <c r="G50" s="13">
        <f>IF($B50="IN",$D50,0)</f>
      </c>
      <c r="H50" s="13">
        <f>IF($B50="OUT",$D50,0)</f>
      </c>
    </row>
    <row x14ac:dyDescent="0.25" r="51" customHeight="1" ht="17.25">
      <c r="A51" s="52"/>
      <c r="B51" s="2"/>
      <c r="C51" s="2"/>
      <c r="D51" s="3"/>
      <c r="E51" s="3"/>
      <c r="F51" s="2"/>
      <c r="G51" s="13">
        <f>IF($B51="IN",$D51,0)</f>
      </c>
      <c r="H51" s="13">
        <f>IF($B51="OUT",$D51,0)</f>
      </c>
    </row>
    <row x14ac:dyDescent="0.25" r="52" customHeight="1" ht="17.25">
      <c r="A52" s="52"/>
      <c r="B52" s="2"/>
      <c r="C52" s="2"/>
      <c r="D52" s="3"/>
      <c r="E52" s="3"/>
      <c r="F52" s="2"/>
      <c r="G52" s="13">
        <f>IF($B52="IN",$D52,0)</f>
      </c>
      <c r="H52" s="13">
        <f>IF($B52="OUT",$D52,0)</f>
      </c>
    </row>
    <row x14ac:dyDescent="0.25" r="53" customHeight="1" ht="17.25">
      <c r="A53" s="52"/>
      <c r="B53" s="2"/>
      <c r="C53" s="2"/>
      <c r="D53" s="3"/>
      <c r="E53" s="3"/>
      <c r="F53" s="2"/>
      <c r="G53" s="13">
        <f>IF($B53="IN",$D53,0)</f>
      </c>
      <c r="H53" s="13">
        <f>IF($B53="OUT",$D53,0)</f>
      </c>
    </row>
    <row x14ac:dyDescent="0.25" r="54" customHeight="1" ht="17.25">
      <c r="A54" s="52"/>
      <c r="B54" s="2"/>
      <c r="C54" s="2"/>
      <c r="D54" s="3"/>
      <c r="E54" s="3"/>
      <c r="F54" s="2"/>
      <c r="G54" s="13">
        <f>IF($B54="IN",$D54,0)</f>
      </c>
      <c r="H54" s="13">
        <f>IF($B54="OUT",$D54,0)</f>
      </c>
    </row>
    <row x14ac:dyDescent="0.25" r="55" customHeight="1" ht="17.25">
      <c r="A55" s="52"/>
      <c r="B55" s="2"/>
      <c r="C55" s="2"/>
      <c r="D55" s="3"/>
      <c r="E55" s="3"/>
      <c r="F55" s="2"/>
      <c r="G55" s="13">
        <f>IF($B55="IN",$D55,0)</f>
      </c>
      <c r="H55" s="13">
        <f>IF($B55="OUT",$D55,0)</f>
      </c>
    </row>
    <row x14ac:dyDescent="0.25" r="56" customHeight="1" ht="17.25">
      <c r="A56" s="52"/>
      <c r="B56" s="2"/>
      <c r="C56" s="2"/>
      <c r="D56" s="3"/>
      <c r="E56" s="3"/>
      <c r="F56" s="2"/>
      <c r="G56" s="13">
        <f>IF($B56="IN",$D56,0)</f>
      </c>
      <c r="H56" s="13">
        <f>IF($B56="OUT",$D56,0)</f>
      </c>
    </row>
    <row x14ac:dyDescent="0.25" r="57" customHeight="1" ht="17.25">
      <c r="A57" s="52"/>
      <c r="B57" s="2"/>
      <c r="C57" s="2"/>
      <c r="D57" s="3"/>
      <c r="E57" s="3"/>
      <c r="F57" s="2"/>
      <c r="G57" s="13">
        <f>IF($B57="IN",$D57,0)</f>
      </c>
      <c r="H57" s="13">
        <f>IF($B57="OUT",$D57,0)</f>
      </c>
    </row>
    <row x14ac:dyDescent="0.25" r="58" customHeight="1" ht="17.25">
      <c r="A58" s="52"/>
      <c r="B58" s="2"/>
      <c r="C58" s="2"/>
      <c r="D58" s="3"/>
      <c r="E58" s="3"/>
      <c r="F58" s="2"/>
      <c r="G58" s="13">
        <f>IF($B58="IN",$D58,0)</f>
      </c>
      <c r="H58" s="13">
        <f>IF($B58="OUT",$D58,0)</f>
      </c>
    </row>
    <row x14ac:dyDescent="0.25" r="59" customHeight="1" ht="17.25">
      <c r="A59" s="52"/>
      <c r="B59" s="2"/>
      <c r="C59" s="2"/>
      <c r="D59" s="3"/>
      <c r="E59" s="3"/>
      <c r="F59" s="2"/>
      <c r="G59" s="13">
        <f>IF($B59="IN",$D59,0)</f>
      </c>
      <c r="H59" s="13">
        <f>IF($B59="OUT",$D59,0)</f>
      </c>
    </row>
    <row x14ac:dyDescent="0.25" r="60" customHeight="1" ht="17.25">
      <c r="A60" s="52"/>
      <c r="B60" s="2"/>
      <c r="C60" s="2"/>
      <c r="D60" s="3"/>
      <c r="E60" s="3"/>
      <c r="F60" s="2"/>
      <c r="G60" s="13">
        <f>IF($B60="IN",$D60,0)</f>
      </c>
      <c r="H60" s="13">
        <f>IF($B60="OUT",$D60,0)</f>
      </c>
    </row>
    <row x14ac:dyDescent="0.25" r="61" customHeight="1" ht="17.25">
      <c r="A61" s="52"/>
      <c r="B61" s="2"/>
      <c r="C61" s="2"/>
      <c r="D61" s="3"/>
      <c r="E61" s="3"/>
      <c r="F61" s="2"/>
      <c r="G61" s="13">
        <f>IF($B61="IN",$D61,0)</f>
      </c>
      <c r="H61" s="13">
        <f>IF($B61="OUT",$D61,0)</f>
      </c>
    </row>
    <row x14ac:dyDescent="0.25" r="62" customHeight="1" ht="17.25">
      <c r="A62" s="52"/>
      <c r="B62" s="2"/>
      <c r="C62" s="2"/>
      <c r="D62" s="3"/>
      <c r="E62" s="3"/>
      <c r="F62" s="2"/>
      <c r="G62" s="13">
        <f>IF($B62="IN",$D62,0)</f>
      </c>
      <c r="H62" s="13">
        <f>IF($B62="OUT",$D62,0)</f>
      </c>
    </row>
    <row x14ac:dyDescent="0.25" r="63" customHeight="1" ht="17.25">
      <c r="A63" s="52"/>
      <c r="B63" s="2"/>
      <c r="C63" s="2"/>
      <c r="D63" s="3"/>
      <c r="E63" s="3"/>
      <c r="F63" s="2"/>
      <c r="G63" s="13">
        <f>IF($B63="IN",$D63,0)</f>
      </c>
      <c r="H63" s="13">
        <f>IF($B63="OUT",$D63,0)</f>
      </c>
    </row>
    <row x14ac:dyDescent="0.25" r="64" customHeight="1" ht="17.25">
      <c r="A64" s="52"/>
      <c r="B64" s="2"/>
      <c r="C64" s="2"/>
      <c r="D64" s="3"/>
      <c r="E64" s="3"/>
      <c r="F64" s="2"/>
      <c r="G64" s="13">
        <f>IF($B64="IN",$D64,0)</f>
      </c>
      <c r="H64" s="13">
        <f>IF($B64="OUT",$D64,0)</f>
      </c>
    </row>
    <row x14ac:dyDescent="0.25" r="65" customHeight="1" ht="17.25">
      <c r="A65" s="52"/>
      <c r="B65" s="2"/>
      <c r="C65" s="2"/>
      <c r="D65" s="3"/>
      <c r="E65" s="3"/>
      <c r="F65" s="2"/>
      <c r="G65" s="13">
        <f>IF($B65="IN",$D65,0)</f>
      </c>
      <c r="H65" s="13">
        <f>IF($B65="OUT",$D65,0)</f>
      </c>
    </row>
    <row x14ac:dyDescent="0.25" r="66" customHeight="1" ht="17.25">
      <c r="A66" s="52"/>
      <c r="B66" s="2"/>
      <c r="C66" s="2"/>
      <c r="D66" s="3"/>
      <c r="E66" s="3"/>
      <c r="F66" s="2"/>
      <c r="G66" s="13">
        <f>IF($B66="IN",$D66,0)</f>
      </c>
      <c r="H66" s="13">
        <f>IF($B66="OUT",$D66,0)</f>
      </c>
    </row>
    <row x14ac:dyDescent="0.25" r="67" customHeight="1" ht="17.25">
      <c r="A67" s="52"/>
      <c r="B67" s="2"/>
      <c r="C67" s="2"/>
      <c r="D67" s="3"/>
      <c r="E67" s="3"/>
      <c r="F67" s="2"/>
      <c r="G67" s="13">
        <f>IF($B67="IN",$D67,0)</f>
      </c>
      <c r="H67" s="13">
        <f>IF($B67="OUT",$D67,0)</f>
      </c>
    </row>
    <row x14ac:dyDescent="0.25" r="68" customHeight="1" ht="17.25">
      <c r="A68" s="52"/>
      <c r="B68" s="2"/>
      <c r="C68" s="2"/>
      <c r="D68" s="3"/>
      <c r="E68" s="3"/>
      <c r="F68" s="2"/>
      <c r="G68" s="13">
        <f>IF($B68="IN",$D68,0)</f>
      </c>
      <c r="H68" s="13">
        <f>IF($B68="OUT",$D68,0)</f>
      </c>
    </row>
    <row x14ac:dyDescent="0.25" r="69" customHeight="1" ht="17.25">
      <c r="A69" s="52"/>
      <c r="B69" s="2"/>
      <c r="C69" s="2"/>
      <c r="D69" s="3"/>
      <c r="E69" s="3"/>
      <c r="F69" s="2"/>
      <c r="G69" s="13">
        <f>IF($B69="IN",$D69,0)</f>
      </c>
      <c r="H69" s="13">
        <f>IF($B69="OUT",$D69,0)</f>
      </c>
    </row>
    <row x14ac:dyDescent="0.25" r="70" customHeight="1" ht="17.25">
      <c r="A70" s="52"/>
      <c r="B70" s="2"/>
      <c r="C70" s="2"/>
      <c r="D70" s="3"/>
      <c r="E70" s="3"/>
      <c r="F70" s="2"/>
      <c r="G70" s="13">
        <f>IF($B70="IN",$D70,0)</f>
      </c>
      <c r="H70" s="13">
        <f>IF($B70="OUT",$D70,0)</f>
      </c>
    </row>
    <row x14ac:dyDescent="0.25" r="71" customHeight="1" ht="17.25">
      <c r="A71" s="52"/>
      <c r="B71" s="2"/>
      <c r="C71" s="2"/>
      <c r="D71" s="3"/>
      <c r="E71" s="3"/>
      <c r="F71" s="2"/>
      <c r="G71" s="13">
        <f>IF($B71="IN",$D71,0)</f>
      </c>
      <c r="H71" s="13">
        <f>IF($B71="OUT",$D71,0)</f>
      </c>
    </row>
    <row x14ac:dyDescent="0.25" r="72" customHeight="1" ht="17.25">
      <c r="A72" s="52"/>
      <c r="B72" s="2"/>
      <c r="C72" s="2"/>
      <c r="D72" s="3"/>
      <c r="E72" s="3"/>
      <c r="F72" s="2"/>
      <c r="G72" s="13">
        <f>IF($B72="IN",$D72,0)</f>
      </c>
      <c r="H72" s="13">
        <f>IF($B72="OUT",$D72,0)</f>
      </c>
    </row>
    <row x14ac:dyDescent="0.25" r="73" customHeight="1" ht="17.25">
      <c r="A73" s="52"/>
      <c r="B73" s="2"/>
      <c r="C73" s="2"/>
      <c r="D73" s="3"/>
      <c r="E73" s="3"/>
      <c r="F73" s="2"/>
      <c r="G73" s="13">
        <f>IF($B73="IN",$D73,0)</f>
      </c>
      <c r="H73" s="13">
        <f>IF($B73="OUT",$D73,0)</f>
      </c>
    </row>
    <row x14ac:dyDescent="0.25" r="74" customHeight="1" ht="17.25">
      <c r="A74" s="52"/>
      <c r="B74" s="2"/>
      <c r="C74" s="2"/>
      <c r="D74" s="3"/>
      <c r="E74" s="3"/>
      <c r="F74" s="2"/>
      <c r="G74" s="13">
        <f>IF($B74="IN",$D74,0)</f>
      </c>
      <c r="H74" s="13">
        <f>IF($B74="OUT",$D74,0)</f>
      </c>
    </row>
    <row x14ac:dyDescent="0.25" r="75" customHeight="1" ht="17.25">
      <c r="A75" s="52"/>
      <c r="B75" s="2"/>
      <c r="C75" s="2"/>
      <c r="D75" s="3"/>
      <c r="E75" s="3"/>
      <c r="F75" s="2"/>
      <c r="G75" s="13">
        <f>IF($B75="IN",$D75,0)</f>
      </c>
      <c r="H75" s="13">
        <f>IF($B75="OUT",$D75,0)</f>
      </c>
    </row>
    <row x14ac:dyDescent="0.25" r="76" customHeight="1" ht="17.25">
      <c r="A76" s="52"/>
      <c r="B76" s="2"/>
      <c r="C76" s="2"/>
      <c r="D76" s="3"/>
      <c r="E76" s="3"/>
      <c r="F76" s="2"/>
      <c r="G76" s="13">
        <f>IF($B76="IN",$D76,0)</f>
      </c>
      <c r="H76" s="13">
        <f>IF($B76="OUT",$D76,0)</f>
      </c>
    </row>
    <row x14ac:dyDescent="0.25" r="77" customHeight="1" ht="17.25">
      <c r="A77" s="52"/>
      <c r="B77" s="2"/>
      <c r="C77" s="2"/>
      <c r="D77" s="3"/>
      <c r="E77" s="3"/>
      <c r="F77" s="2"/>
      <c r="G77" s="13">
        <f>IF($B77="IN",$D77,0)</f>
      </c>
      <c r="H77" s="13">
        <f>IF($B77="OUT",$D77,0)</f>
      </c>
    </row>
    <row x14ac:dyDescent="0.25" r="78" customHeight="1" ht="17.25">
      <c r="A78" s="52"/>
      <c r="B78" s="2"/>
      <c r="C78" s="2"/>
      <c r="D78" s="3"/>
      <c r="E78" s="3"/>
      <c r="F78" s="2"/>
      <c r="G78" s="13">
        <f>IF($B78="IN",$D78,0)</f>
      </c>
      <c r="H78" s="13">
        <f>IF($B78="OUT",$D78,0)</f>
      </c>
    </row>
    <row x14ac:dyDescent="0.25" r="79" customHeight="1" ht="17.25">
      <c r="A79" s="52"/>
      <c r="B79" s="2"/>
      <c r="C79" s="2"/>
      <c r="D79" s="3"/>
      <c r="E79" s="3"/>
      <c r="F79" s="2"/>
      <c r="G79" s="13">
        <f>IF($B79="IN",$D79,0)</f>
      </c>
      <c r="H79" s="13">
        <f>IF($B79="OUT",$D79,0)</f>
      </c>
    </row>
    <row x14ac:dyDescent="0.25" r="80" customHeight="1" ht="17.25">
      <c r="A80" s="52"/>
      <c r="B80" s="2"/>
      <c r="C80" s="2"/>
      <c r="D80" s="3"/>
      <c r="E80" s="3"/>
      <c r="F80" s="2"/>
      <c r="G80" s="13">
        <f>IF($B80="IN",$D80,0)</f>
      </c>
      <c r="H80" s="13">
        <f>IF($B80="OUT",$D80,0)</f>
      </c>
    </row>
    <row x14ac:dyDescent="0.25" r="81" customHeight="1" ht="17.25">
      <c r="A81" s="52"/>
      <c r="B81" s="2"/>
      <c r="C81" s="2"/>
      <c r="D81" s="3"/>
      <c r="E81" s="3"/>
      <c r="F81" s="2"/>
      <c r="G81" s="13">
        <f>IF($B81="IN",$D81,0)</f>
      </c>
      <c r="H81" s="13">
        <f>IF($B81="OUT",$D81,0)</f>
      </c>
    </row>
    <row x14ac:dyDescent="0.25" r="82" customHeight="1" ht="17.25">
      <c r="A82" s="52"/>
      <c r="B82" s="2"/>
      <c r="C82" s="2"/>
      <c r="D82" s="3"/>
      <c r="E82" s="3"/>
      <c r="F82" s="2"/>
      <c r="G82" s="13">
        <f>IF($B82="IN",$D82,0)</f>
      </c>
      <c r="H82" s="13">
        <f>IF($B82="OUT",$D82,0)</f>
      </c>
    </row>
    <row x14ac:dyDescent="0.25" r="83" customHeight="1" ht="17.25">
      <c r="A83" s="52"/>
      <c r="B83" s="2"/>
      <c r="C83" s="2"/>
      <c r="D83" s="3"/>
      <c r="E83" s="3"/>
      <c r="F83" s="2"/>
      <c r="G83" s="13">
        <f>IF($B83="IN",$D83,0)</f>
      </c>
      <c r="H83" s="13">
        <f>IF($B83="OUT",$D83,0)</f>
      </c>
    </row>
    <row x14ac:dyDescent="0.25" r="84" customHeight="1" ht="17.25">
      <c r="A84" s="52"/>
      <c r="B84" s="2"/>
      <c r="C84" s="2"/>
      <c r="D84" s="3"/>
      <c r="E84" s="3"/>
      <c r="F84" s="2"/>
      <c r="G84" s="13">
        <f>IF($B84="IN",$D84,0)</f>
      </c>
      <c r="H84" s="13">
        <f>IF($B84="OUT",$D84,0)</f>
      </c>
    </row>
    <row x14ac:dyDescent="0.25" r="85" customHeight="1" ht="17.25">
      <c r="A85" s="52"/>
      <c r="B85" s="2"/>
      <c r="C85" s="2"/>
      <c r="D85" s="3"/>
      <c r="E85" s="3"/>
      <c r="F85" s="2"/>
      <c r="G85" s="13">
        <f>IF($B85="IN",$D85,0)</f>
      </c>
      <c r="H85" s="13">
        <f>IF($B85="OUT",$D85,0)</f>
      </c>
    </row>
    <row x14ac:dyDescent="0.25" r="86" customHeight="1" ht="17.25">
      <c r="A86" s="52"/>
      <c r="B86" s="2"/>
      <c r="C86" s="2"/>
      <c r="D86" s="3"/>
      <c r="E86" s="3"/>
      <c r="F86" s="2"/>
      <c r="G86" s="13">
        <f>IF($B86="IN",$D86,0)</f>
      </c>
      <c r="H86" s="13">
        <f>IF($B86="OUT",$D86,0)</f>
      </c>
    </row>
    <row x14ac:dyDescent="0.25" r="87" customHeight="1" ht="17.25">
      <c r="A87" s="52"/>
      <c r="B87" s="2"/>
      <c r="C87" s="2"/>
      <c r="D87" s="3"/>
      <c r="E87" s="3"/>
      <c r="F87" s="2"/>
      <c r="G87" s="13">
        <f>IF($B87="IN",$D87,0)</f>
      </c>
      <c r="H87" s="13">
        <f>IF($B87="OUT",$D87,0)</f>
      </c>
    </row>
    <row x14ac:dyDescent="0.25" r="88" customHeight="1" ht="17.25">
      <c r="A88" s="52"/>
      <c r="B88" s="2"/>
      <c r="C88" s="2"/>
      <c r="D88" s="3"/>
      <c r="E88" s="3"/>
      <c r="F88" s="2"/>
      <c r="G88" s="13">
        <f>IF($B88="IN",$D88,0)</f>
      </c>
      <c r="H88" s="13">
        <f>IF($B88="OUT",$D88,0)</f>
      </c>
    </row>
    <row x14ac:dyDescent="0.25" r="89" customHeight="1" ht="17.25">
      <c r="A89" s="52"/>
      <c r="B89" s="2"/>
      <c r="C89" s="2"/>
      <c r="D89" s="3"/>
      <c r="E89" s="3"/>
      <c r="F89" s="2"/>
      <c r="G89" s="13">
        <f>IF($B89="IN",$D89,0)</f>
      </c>
      <c r="H89" s="13">
        <f>IF($B89="OUT",$D89,0)</f>
      </c>
    </row>
    <row x14ac:dyDescent="0.25" r="90" customHeight="1" ht="17.25">
      <c r="A90" s="52"/>
      <c r="B90" s="2"/>
      <c r="C90" s="2"/>
      <c r="D90" s="3"/>
      <c r="E90" s="3"/>
      <c r="F90" s="2"/>
      <c r="G90" s="13">
        <f>IF($B90="IN",$D90,0)</f>
      </c>
      <c r="H90" s="13">
        <f>IF($B90="OUT",$D90,0)</f>
      </c>
    </row>
    <row x14ac:dyDescent="0.25" r="91" customHeight="1" ht="17.25">
      <c r="A91" s="52"/>
      <c r="B91" s="2"/>
      <c r="C91" s="2"/>
      <c r="D91" s="3"/>
      <c r="E91" s="3"/>
      <c r="F91" s="2"/>
      <c r="G91" s="13">
        <f>IF($B91="IN",$D91,0)</f>
      </c>
      <c r="H91" s="13">
        <f>IF($B91="OUT",$D91,0)</f>
      </c>
    </row>
    <row x14ac:dyDescent="0.25" r="92" customHeight="1" ht="17.25">
      <c r="A92" s="52"/>
      <c r="B92" s="2"/>
      <c r="C92" s="2"/>
      <c r="D92" s="3"/>
      <c r="E92" s="3"/>
      <c r="F92" s="2"/>
      <c r="G92" s="13">
        <f>IF($B92="IN",$D92,0)</f>
      </c>
      <c r="H92" s="13">
        <f>IF($B92="OUT",$D92,0)</f>
      </c>
    </row>
    <row x14ac:dyDescent="0.25" r="93" customHeight="1" ht="17.25">
      <c r="A93" s="52"/>
      <c r="B93" s="2"/>
      <c r="C93" s="2"/>
      <c r="D93" s="3"/>
      <c r="E93" s="3"/>
      <c r="F93" s="2"/>
      <c r="G93" s="13">
        <f>IF($B93="IN",$D93,0)</f>
      </c>
      <c r="H93" s="13">
        <f>IF($B93="OUT",$D93,0)</f>
      </c>
    </row>
    <row x14ac:dyDescent="0.25" r="94" customHeight="1" ht="17.25">
      <c r="A94" s="52"/>
      <c r="B94" s="2"/>
      <c r="C94" s="2"/>
      <c r="D94" s="3"/>
      <c r="E94" s="3"/>
      <c r="F94" s="2"/>
      <c r="G94" s="13">
        <f>IF($B94="IN",$D94,0)</f>
      </c>
      <c r="H94" s="13">
        <f>IF($B94="OUT",$D94,0)</f>
      </c>
    </row>
    <row x14ac:dyDescent="0.25" r="95" customHeight="1" ht="17.25">
      <c r="A95" s="52"/>
      <c r="B95" s="2"/>
      <c r="C95" s="2"/>
      <c r="D95" s="3"/>
      <c r="E95" s="3"/>
      <c r="F95" s="2"/>
      <c r="G95" s="13">
        <f>IF($B95="IN",$D95,0)</f>
      </c>
      <c r="H95" s="13">
        <f>IF($B95="OUT",$D95,0)</f>
      </c>
    </row>
    <row x14ac:dyDescent="0.25" r="96" customHeight="1" ht="17.25">
      <c r="A96" s="52"/>
      <c r="B96" s="2"/>
      <c r="C96" s="2"/>
      <c r="D96" s="3"/>
      <c r="E96" s="3"/>
      <c r="F96" s="2"/>
      <c r="G96" s="13">
        <f>IF($B96="IN",$D96,0)</f>
      </c>
      <c r="H96" s="13">
        <f>IF($B96="OUT",$D96,0)</f>
      </c>
    </row>
    <row x14ac:dyDescent="0.25" r="97" customHeight="1" ht="17.25">
      <c r="A97" s="52"/>
      <c r="B97" s="2"/>
      <c r="C97" s="2"/>
      <c r="D97" s="3"/>
      <c r="E97" s="3"/>
      <c r="F97" s="2"/>
      <c r="G97" s="13">
        <f>IF($B97="IN",$D97,0)</f>
      </c>
      <c r="H97" s="13">
        <f>IF($B97="OUT",$D97,0)</f>
      </c>
    </row>
    <row x14ac:dyDescent="0.25" r="98" customHeight="1" ht="17.25">
      <c r="A98" s="52"/>
      <c r="B98" s="2"/>
      <c r="C98" s="2"/>
      <c r="D98" s="3"/>
      <c r="E98" s="3"/>
      <c r="F98" s="2"/>
      <c r="G98" s="13">
        <f>IF($B98="IN",$D98,0)</f>
      </c>
      <c r="H98" s="13">
        <f>IF($B98="OUT",$D98,0)</f>
      </c>
    </row>
    <row x14ac:dyDescent="0.25" r="99" customHeight="1" ht="17.25">
      <c r="A99" s="52"/>
      <c r="B99" s="2"/>
      <c r="C99" s="2"/>
      <c r="D99" s="3"/>
      <c r="E99" s="3"/>
      <c r="F99" s="2"/>
      <c r="G99" s="13">
        <f>IF($B99="IN",$D99,0)</f>
      </c>
      <c r="H99" s="13">
        <f>IF($B99="OUT",$D99,0)</f>
      </c>
    </row>
    <row x14ac:dyDescent="0.25" r="100" customHeight="1" ht="17.25">
      <c r="A100" s="52"/>
      <c r="B100" s="2"/>
      <c r="C100" s="2"/>
      <c r="D100" s="3"/>
      <c r="E100" s="3"/>
      <c r="F100" s="2"/>
      <c r="G100" s="13">
        <f>IF($B100="IN",$D100,0)</f>
      </c>
      <c r="H100" s="13">
        <f>IF($B100="OUT",$D100,0)</f>
      </c>
    </row>
    <row x14ac:dyDescent="0.25" r="101" customHeight="1" ht="17.25">
      <c r="A101" s="52"/>
      <c r="B101" s="2"/>
      <c r="C101" s="2"/>
      <c r="D101" s="3"/>
      <c r="E101" s="3"/>
      <c r="F101" s="2"/>
      <c r="G101" s="13">
        <f>IF($B101="IN",$D101,0)</f>
      </c>
      <c r="H101" s="13">
        <f>IF($B101="OUT",$D101,0)</f>
      </c>
    </row>
    <row x14ac:dyDescent="0.25" r="102" customHeight="1" ht="17.25">
      <c r="A102" s="52"/>
      <c r="B102" s="2"/>
      <c r="C102" s="2"/>
      <c r="D102" s="3"/>
      <c r="E102" s="3"/>
      <c r="F102" s="2"/>
      <c r="G102" s="13">
        <f>IF($B102="IN",$D102,0)</f>
      </c>
      <c r="H102" s="13">
        <f>IF($B102="OUT",$D102,0)</f>
      </c>
    </row>
    <row x14ac:dyDescent="0.25" r="103" customHeight="1" ht="17.25">
      <c r="A103" s="52"/>
      <c r="B103" s="2"/>
      <c r="C103" s="2"/>
      <c r="D103" s="3"/>
      <c r="E103" s="3"/>
      <c r="F103" s="2"/>
      <c r="G103" s="13">
        <f>IF($B103="IN",$D103,0)</f>
      </c>
      <c r="H103" s="13">
        <f>IF($B103="OUT",$D103,0)</f>
      </c>
    </row>
    <row x14ac:dyDescent="0.25" r="104" customHeight="1" ht="17.25">
      <c r="A104" s="52"/>
      <c r="B104" s="2"/>
      <c r="C104" s="2"/>
      <c r="D104" s="3"/>
      <c r="E104" s="3"/>
      <c r="F104" s="2"/>
      <c r="G104" s="13">
        <f>IF($B104="IN",$D104,0)</f>
      </c>
      <c r="H104" s="13">
        <f>IF($B104="OUT",$D104,0)</f>
      </c>
    </row>
    <row x14ac:dyDescent="0.25" r="105" customHeight="1" ht="17.25">
      <c r="A105" s="52"/>
      <c r="B105" s="2"/>
      <c r="C105" s="2"/>
      <c r="D105" s="3"/>
      <c r="E105" s="3"/>
      <c r="F105" s="2"/>
      <c r="G105" s="13">
        <f>IF($B105="IN",$D105,0)</f>
      </c>
      <c r="H105" s="13">
        <f>IF($B105="OUT",$D105,0)</f>
      </c>
    </row>
    <row x14ac:dyDescent="0.25" r="106" customHeight="1" ht="17.25">
      <c r="A106" s="52"/>
      <c r="B106" s="2"/>
      <c r="C106" s="2"/>
      <c r="D106" s="3"/>
      <c r="E106" s="3"/>
      <c r="F106" s="2"/>
      <c r="G106" s="13">
        <f>IF($B106="IN",$D106,0)</f>
      </c>
      <c r="H106" s="13">
        <f>IF($B106="OUT",$D106,0)</f>
      </c>
    </row>
    <row x14ac:dyDescent="0.25" r="107" customHeight="1" ht="17.25">
      <c r="A107" s="52"/>
      <c r="B107" s="2"/>
      <c r="C107" s="2"/>
      <c r="D107" s="3"/>
      <c r="E107" s="3"/>
      <c r="F107" s="2"/>
      <c r="G107" s="13">
        <f>IF($B107="IN",$D107,0)</f>
      </c>
      <c r="H107" s="13">
        <f>IF($B107="OUT",$D107,0)</f>
      </c>
    </row>
    <row x14ac:dyDescent="0.25" r="108" customHeight="1" ht="17.25">
      <c r="A108" s="52"/>
      <c r="B108" s="2"/>
      <c r="C108" s="2"/>
      <c r="D108" s="3"/>
      <c r="E108" s="3"/>
      <c r="F108" s="2"/>
      <c r="G108" s="13">
        <f>IF($B108="IN",$D108,0)</f>
      </c>
      <c r="H108" s="13">
        <f>IF($B108="OUT",$D108,0)</f>
      </c>
    </row>
    <row x14ac:dyDescent="0.25" r="109" customHeight="1" ht="17.25">
      <c r="A109" s="52"/>
      <c r="B109" s="2"/>
      <c r="C109" s="2"/>
      <c r="D109" s="3"/>
      <c r="E109" s="3"/>
      <c r="F109" s="2"/>
      <c r="G109" s="13">
        <f>IF($B109="IN",$D109,0)</f>
      </c>
      <c r="H109" s="13">
        <f>IF($B109="OUT",$D109,0)</f>
      </c>
    </row>
    <row x14ac:dyDescent="0.25" r="110" customHeight="1" ht="17.25">
      <c r="A110" s="52"/>
      <c r="B110" s="2"/>
      <c r="C110" s="2"/>
      <c r="D110" s="3"/>
      <c r="E110" s="3"/>
      <c r="F110" s="2"/>
      <c r="G110" s="13">
        <f>IF($B110="IN",$D110,0)</f>
      </c>
      <c r="H110" s="13">
        <f>IF($B110="OUT",$D110,0)</f>
      </c>
    </row>
    <row x14ac:dyDescent="0.25" r="111" customHeight="1" ht="17.25">
      <c r="A111" s="52"/>
      <c r="B111" s="2"/>
      <c r="C111" s="2"/>
      <c r="D111" s="3"/>
      <c r="E111" s="3"/>
      <c r="F111" s="2"/>
      <c r="G111" s="13">
        <f>IF($B111="IN",$D111,0)</f>
      </c>
      <c r="H111" s="13">
        <f>IF($B111="OUT",$D111,0)</f>
      </c>
    </row>
    <row x14ac:dyDescent="0.25" r="112" customHeight="1" ht="17.25">
      <c r="A112" s="52"/>
      <c r="B112" s="2"/>
      <c r="C112" s="2"/>
      <c r="D112" s="3"/>
      <c r="E112" s="3"/>
      <c r="F112" s="2"/>
      <c r="G112" s="13">
        <f>IF($B112="IN",$D112,0)</f>
      </c>
      <c r="H112" s="13">
        <f>IF($B112="OUT",$D112,0)</f>
      </c>
    </row>
    <row x14ac:dyDescent="0.25" r="113" customHeight="1" ht="17.25">
      <c r="A113" s="52"/>
      <c r="B113" s="2"/>
      <c r="C113" s="2"/>
      <c r="D113" s="3"/>
      <c r="E113" s="3"/>
      <c r="F113" s="2"/>
      <c r="G113" s="13">
        <f>IF($B113="IN",$D113,0)</f>
      </c>
      <c r="H113" s="13">
        <f>IF($B113="OUT",$D113,0)</f>
      </c>
    </row>
    <row x14ac:dyDescent="0.25" r="114" customHeight="1" ht="17.25">
      <c r="A114" s="52"/>
      <c r="B114" s="2"/>
      <c r="C114" s="2"/>
      <c r="D114" s="3"/>
      <c r="E114" s="3"/>
      <c r="F114" s="2"/>
      <c r="G114" s="13">
        <f>IF($B114="IN",$D114,0)</f>
      </c>
      <c r="H114" s="13">
        <f>IF($B114="OUT",$D114,0)</f>
      </c>
    </row>
    <row x14ac:dyDescent="0.25" r="115" customHeight="1" ht="17.25">
      <c r="A115" s="52"/>
      <c r="B115" s="2"/>
      <c r="C115" s="2"/>
      <c r="D115" s="3"/>
      <c r="E115" s="3"/>
      <c r="F115" s="2"/>
      <c r="G115" s="13">
        <f>IF($B115="IN",$D115,0)</f>
      </c>
      <c r="H115" s="13">
        <f>IF($B115="OUT",$D115,0)</f>
      </c>
    </row>
    <row x14ac:dyDescent="0.25" r="116" customHeight="1" ht="17.25">
      <c r="A116" s="52"/>
      <c r="B116" s="2"/>
      <c r="C116" s="2"/>
      <c r="D116" s="3"/>
      <c r="E116" s="3"/>
      <c r="F116" s="2"/>
      <c r="G116" s="13">
        <f>IF($B116="IN",$D116,0)</f>
      </c>
      <c r="H116" s="13">
        <f>IF($B116="OUT",$D116,0)</f>
      </c>
    </row>
    <row x14ac:dyDescent="0.25" r="117" customHeight="1" ht="17.25">
      <c r="A117" s="52"/>
      <c r="B117" s="2"/>
      <c r="C117" s="2"/>
      <c r="D117" s="3"/>
      <c r="E117" s="3"/>
      <c r="F117" s="2"/>
      <c r="G117" s="13">
        <f>IF($B117="IN",$D117,0)</f>
      </c>
      <c r="H117" s="13">
        <f>IF($B117="OUT",$D117,0)</f>
      </c>
    </row>
    <row x14ac:dyDescent="0.25" r="118" customHeight="1" ht="17.25">
      <c r="A118" s="52"/>
      <c r="B118" s="2"/>
      <c r="C118" s="2"/>
      <c r="D118" s="3"/>
      <c r="E118" s="3"/>
      <c r="F118" s="2"/>
      <c r="G118" s="13">
        <f>IF($B118="IN",$D118,0)</f>
      </c>
      <c r="H118" s="13">
        <f>IF($B118="OUT",$D118,0)</f>
      </c>
    </row>
    <row x14ac:dyDescent="0.25" r="119" customHeight="1" ht="17.25">
      <c r="A119" s="52"/>
      <c r="B119" s="2"/>
      <c r="C119" s="2"/>
      <c r="D119" s="3"/>
      <c r="E119" s="3"/>
      <c r="F119" s="2"/>
      <c r="G119" s="13">
        <f>IF($B119="IN",$D119,0)</f>
      </c>
      <c r="H119" s="13">
        <f>IF($B119="OUT",$D119,0)</f>
      </c>
    </row>
    <row x14ac:dyDescent="0.25" r="120" customHeight="1" ht="17.25">
      <c r="A120" s="52"/>
      <c r="B120" s="2"/>
      <c r="C120" s="2"/>
      <c r="D120" s="3"/>
      <c r="E120" s="3"/>
      <c r="F120" s="2"/>
      <c r="G120" s="13">
        <f>IF($B120="IN",$D120,0)</f>
      </c>
      <c r="H120" s="13">
        <f>IF($B120="OUT",$D120,0)</f>
      </c>
    </row>
    <row x14ac:dyDescent="0.25" r="121" customHeight="1" ht="17.25">
      <c r="A121" s="52"/>
      <c r="B121" s="2"/>
      <c r="C121" s="2"/>
      <c r="D121" s="3"/>
      <c r="E121" s="3"/>
      <c r="F121" s="2"/>
      <c r="G121" s="13">
        <f>IF($B121="IN",$D121,0)</f>
      </c>
      <c r="H121" s="13">
        <f>IF($B121="OUT",$D121,0)</f>
      </c>
    </row>
    <row x14ac:dyDescent="0.25" r="122" customHeight="1" ht="17.25">
      <c r="A122" s="52"/>
      <c r="B122" s="2"/>
      <c r="C122" s="2"/>
      <c r="D122" s="3"/>
      <c r="E122" s="3"/>
      <c r="F122" s="2"/>
      <c r="G122" s="13">
        <f>IF($B122="IN",$D122,0)</f>
      </c>
      <c r="H122" s="13">
        <f>IF($B122="OUT",$D122,0)</f>
      </c>
    </row>
    <row x14ac:dyDescent="0.25" r="123" customHeight="1" ht="17.25">
      <c r="A123" s="52"/>
      <c r="B123" s="2"/>
      <c r="C123" s="2"/>
      <c r="D123" s="3"/>
      <c r="E123" s="3"/>
      <c r="F123" s="2"/>
      <c r="G123" s="13">
        <f>IF($B123="IN",$D123,0)</f>
      </c>
      <c r="H123" s="13">
        <f>IF($B123="OUT",$D123,0)</f>
      </c>
    </row>
    <row x14ac:dyDescent="0.25" r="124" customHeight="1" ht="17.25">
      <c r="A124" s="52"/>
      <c r="B124" s="2"/>
      <c r="C124" s="2"/>
      <c r="D124" s="3"/>
      <c r="E124" s="3"/>
      <c r="F124" s="2"/>
      <c r="G124" s="13">
        <f>IF($B124="IN",$D124,0)</f>
      </c>
      <c r="H124" s="13">
        <f>IF($B124="OUT",$D124,0)</f>
      </c>
    </row>
    <row x14ac:dyDescent="0.25" r="125" customHeight="1" ht="17.25">
      <c r="A125" s="52"/>
      <c r="B125" s="2"/>
      <c r="C125" s="2"/>
      <c r="D125" s="3"/>
      <c r="E125" s="3"/>
      <c r="F125" s="2"/>
      <c r="G125" s="13">
        <f>IF($B125="IN",$D125,0)</f>
      </c>
      <c r="H125" s="13">
        <f>IF($B125="OUT",$D125,0)</f>
      </c>
    </row>
    <row x14ac:dyDescent="0.25" r="126" customHeight="1" ht="17.25">
      <c r="A126" s="52"/>
      <c r="B126" s="2"/>
      <c r="C126" s="2"/>
      <c r="D126" s="3"/>
      <c r="E126" s="3"/>
      <c r="F126" s="2"/>
      <c r="G126" s="13">
        <f>IF($B126="IN",$D126,0)</f>
      </c>
      <c r="H126" s="13">
        <f>IF($B126="OUT",$D126,0)</f>
      </c>
    </row>
    <row x14ac:dyDescent="0.25" r="127" customHeight="1" ht="17.25">
      <c r="A127" s="52"/>
      <c r="B127" s="2"/>
      <c r="C127" s="2"/>
      <c r="D127" s="3"/>
      <c r="E127" s="3"/>
      <c r="F127" s="2"/>
      <c r="G127" s="13">
        <f>IF($B127="IN",$D127,0)</f>
      </c>
      <c r="H127" s="13">
        <f>IF($B127="OUT",$D127,0)</f>
      </c>
    </row>
    <row x14ac:dyDescent="0.25" r="128" customHeight="1" ht="17.25">
      <c r="A128" s="52"/>
      <c r="B128" s="2"/>
      <c r="C128" s="2"/>
      <c r="D128" s="3"/>
      <c r="E128" s="3"/>
      <c r="F128" s="2"/>
      <c r="G128" s="13">
        <f>IF($B128="IN",$D128,0)</f>
      </c>
      <c r="H128" s="13">
        <f>IF($B128="OUT",$D128,0)</f>
      </c>
    </row>
    <row x14ac:dyDescent="0.25" r="129" customHeight="1" ht="17.25">
      <c r="A129" s="52"/>
      <c r="B129" s="2"/>
      <c r="C129" s="2"/>
      <c r="D129" s="3"/>
      <c r="E129" s="3"/>
      <c r="F129" s="2"/>
      <c r="G129" s="13">
        <f>IF($B129="IN",$D129,0)</f>
      </c>
      <c r="H129" s="13">
        <f>IF($B129="OUT",$D129,0)</f>
      </c>
    </row>
    <row x14ac:dyDescent="0.25" r="130" customHeight="1" ht="17.25">
      <c r="A130" s="52"/>
      <c r="B130" s="2"/>
      <c r="C130" s="2"/>
      <c r="D130" s="3"/>
      <c r="E130" s="3"/>
      <c r="F130" s="2"/>
      <c r="G130" s="13">
        <f>IF($B130="IN",$D130,0)</f>
      </c>
      <c r="H130" s="13">
        <f>IF($B130="OUT",$D130,0)</f>
      </c>
    </row>
    <row x14ac:dyDescent="0.25" r="131" customHeight="1" ht="17.25">
      <c r="A131" s="52"/>
      <c r="B131" s="2"/>
      <c r="C131" s="2"/>
      <c r="D131" s="3"/>
      <c r="E131" s="3"/>
      <c r="F131" s="2"/>
      <c r="G131" s="13">
        <f>IF($B131="IN",$D131,0)</f>
      </c>
      <c r="H131" s="13">
        <f>IF($B131="OUT",$D131,0)</f>
      </c>
    </row>
    <row x14ac:dyDescent="0.25" r="132" customHeight="1" ht="17.25">
      <c r="A132" s="52"/>
      <c r="B132" s="2"/>
      <c r="C132" s="2"/>
      <c r="D132" s="3"/>
      <c r="E132" s="3"/>
      <c r="F132" s="2"/>
      <c r="G132" s="13">
        <f>IF($B132="IN",$D132,0)</f>
      </c>
      <c r="H132" s="13">
        <f>IF($B132="OUT",$D132,0)</f>
      </c>
    </row>
    <row x14ac:dyDescent="0.25" r="133" customHeight="1" ht="17.25">
      <c r="A133" s="52"/>
      <c r="B133" s="2"/>
      <c r="C133" s="2"/>
      <c r="D133" s="3"/>
      <c r="E133" s="3"/>
      <c r="F133" s="2"/>
      <c r="G133" s="13">
        <f>IF($B133="IN",$D133,0)</f>
      </c>
      <c r="H133" s="13">
        <f>IF($B133="OUT",$D133,0)</f>
      </c>
    </row>
    <row x14ac:dyDescent="0.25" r="134" customHeight="1" ht="17.25">
      <c r="A134" s="52"/>
      <c r="B134" s="2"/>
      <c r="C134" s="2"/>
      <c r="D134" s="3"/>
      <c r="E134" s="3"/>
      <c r="F134" s="2"/>
      <c r="G134" s="13">
        <f>IF($B134="IN",$D134,0)</f>
      </c>
      <c r="H134" s="13">
        <f>IF($B134="OUT",$D134,0)</f>
      </c>
    </row>
    <row x14ac:dyDescent="0.25" r="135" customHeight="1" ht="17.25">
      <c r="A135" s="52"/>
      <c r="B135" s="2"/>
      <c r="C135" s="2"/>
      <c r="D135" s="3"/>
      <c r="E135" s="3"/>
      <c r="F135" s="2"/>
      <c r="G135" s="13">
        <f>IF($B135="IN",$D135,0)</f>
      </c>
      <c r="H135" s="13">
        <f>IF($B135="OUT",$D135,0)</f>
      </c>
    </row>
    <row x14ac:dyDescent="0.25" r="136" customHeight="1" ht="17.25">
      <c r="A136" s="52"/>
      <c r="B136" s="2"/>
      <c r="C136" s="2"/>
      <c r="D136" s="3"/>
      <c r="E136" s="3"/>
      <c r="F136" s="2"/>
      <c r="G136" s="13">
        <f>IF($B136="IN",$D136,0)</f>
      </c>
      <c r="H136" s="13">
        <f>IF($B136="OUT",$D136,0)</f>
      </c>
    </row>
    <row x14ac:dyDescent="0.25" r="137" customHeight="1" ht="17.25">
      <c r="A137" s="52"/>
      <c r="B137" s="2"/>
      <c r="C137" s="2"/>
      <c r="D137" s="3"/>
      <c r="E137" s="3"/>
      <c r="F137" s="2"/>
      <c r="G137" s="13">
        <f>IF($B137="IN",$D137,0)</f>
      </c>
      <c r="H137" s="13">
        <f>IF($B137="OUT",$D137,0)</f>
      </c>
    </row>
    <row x14ac:dyDescent="0.25" r="138" customHeight="1" ht="17.25">
      <c r="A138" s="52"/>
      <c r="B138" s="2"/>
      <c r="C138" s="2"/>
      <c r="D138" s="3"/>
      <c r="E138" s="3"/>
      <c r="F138" s="2"/>
      <c r="G138" s="13">
        <f>IF($B138="IN",$D138,0)</f>
      </c>
      <c r="H138" s="13">
        <f>IF($B138="OUT",$D138,0)</f>
      </c>
    </row>
    <row x14ac:dyDescent="0.25" r="139" customHeight="1" ht="17.25">
      <c r="A139" s="52"/>
      <c r="B139" s="2"/>
      <c r="C139" s="2"/>
      <c r="D139" s="3"/>
      <c r="E139" s="3"/>
      <c r="F139" s="2"/>
      <c r="G139" s="13">
        <f>IF($B139="IN",$D139,0)</f>
      </c>
      <c r="H139" s="13">
        <f>IF($B139="OUT",$D139,0)</f>
      </c>
    </row>
    <row x14ac:dyDescent="0.25" r="140" customHeight="1" ht="17.25">
      <c r="A140" s="52"/>
      <c r="B140" s="2"/>
      <c r="C140" s="2"/>
      <c r="D140" s="3"/>
      <c r="E140" s="3"/>
      <c r="F140" s="2"/>
      <c r="G140" s="13">
        <f>IF($B140="IN",$D140,0)</f>
      </c>
      <c r="H140" s="13">
        <f>IF($B140="OUT",$D140,0)</f>
      </c>
    </row>
    <row x14ac:dyDescent="0.25" r="141" customHeight="1" ht="17.25">
      <c r="A141" s="52"/>
      <c r="B141" s="2"/>
      <c r="C141" s="2"/>
      <c r="D141" s="3"/>
      <c r="E141" s="3"/>
      <c r="F141" s="2"/>
      <c r="G141" s="13">
        <f>IF($B141="IN",$D141,0)</f>
      </c>
      <c r="H141" s="13">
        <f>IF($B141="OUT",$D141,0)</f>
      </c>
    </row>
    <row x14ac:dyDescent="0.25" r="142" customHeight="1" ht="17.25">
      <c r="A142" s="52"/>
      <c r="B142" s="2"/>
      <c r="C142" s="2"/>
      <c r="D142" s="3"/>
      <c r="E142" s="3"/>
      <c r="F142" s="2"/>
      <c r="G142" s="13">
        <f>IF($B142="IN",$D142,0)</f>
      </c>
      <c r="H142" s="13">
        <f>IF($B142="OUT",$D142,0)</f>
      </c>
    </row>
    <row x14ac:dyDescent="0.25" r="143" customHeight="1" ht="17.25">
      <c r="A143" s="52"/>
      <c r="B143" s="2"/>
      <c r="C143" s="2"/>
      <c r="D143" s="3"/>
      <c r="E143" s="3"/>
      <c r="F143" s="2"/>
      <c r="G143" s="13">
        <f>IF($B143="IN",$D143,0)</f>
      </c>
      <c r="H143" s="13">
        <f>IF($B143="OUT",$D143,0)</f>
      </c>
    </row>
    <row x14ac:dyDescent="0.25" r="144" customHeight="1" ht="17.25">
      <c r="A144" s="52"/>
      <c r="B144" s="2"/>
      <c r="C144" s="2"/>
      <c r="D144" s="3"/>
      <c r="E144" s="3"/>
      <c r="F144" s="2"/>
      <c r="G144" s="13">
        <f>IF($B144="IN",$D144,0)</f>
      </c>
      <c r="H144" s="13">
        <f>IF($B144="OUT",$D144,0)</f>
      </c>
    </row>
    <row x14ac:dyDescent="0.25" r="145" customHeight="1" ht="17.25">
      <c r="A145" s="52"/>
      <c r="B145" s="2"/>
      <c r="C145" s="2"/>
      <c r="D145" s="3"/>
      <c r="E145" s="3"/>
      <c r="F145" s="2"/>
      <c r="G145" s="13">
        <f>IF($B145="IN",$D145,0)</f>
      </c>
      <c r="H145" s="13">
        <f>IF($B145="OUT",$D145,0)</f>
      </c>
    </row>
    <row x14ac:dyDescent="0.25" r="146" customHeight="1" ht="17.25">
      <c r="A146" s="52"/>
      <c r="B146" s="2"/>
      <c r="C146" s="2"/>
      <c r="D146" s="3"/>
      <c r="E146" s="3"/>
      <c r="F146" s="2"/>
      <c r="G146" s="13">
        <f>IF($B146="IN",$D146,0)</f>
      </c>
      <c r="H146" s="13">
        <f>IF($B146="OUT",$D146,0)</f>
      </c>
    </row>
    <row x14ac:dyDescent="0.25" r="147" customHeight="1" ht="17.25">
      <c r="A147" s="52"/>
      <c r="B147" s="2"/>
      <c r="C147" s="2"/>
      <c r="D147" s="3"/>
      <c r="E147" s="3"/>
      <c r="F147" s="2"/>
      <c r="G147" s="13">
        <f>IF($B147="IN",$D147,0)</f>
      </c>
      <c r="H147" s="13">
        <f>IF($B147="OUT",$D147,0)</f>
      </c>
    </row>
    <row x14ac:dyDescent="0.25" r="148" customHeight="1" ht="17.25">
      <c r="A148" s="52"/>
      <c r="B148" s="2"/>
      <c r="C148" s="2"/>
      <c r="D148" s="3"/>
      <c r="E148" s="3"/>
      <c r="F148" s="2"/>
      <c r="G148" s="13">
        <f>IF($B148="IN",$D148,0)</f>
      </c>
      <c r="H148" s="13">
        <f>IF($B148="OUT",$D148,0)</f>
      </c>
    </row>
    <row x14ac:dyDescent="0.25" r="149" customHeight="1" ht="17.25">
      <c r="A149" s="52"/>
      <c r="B149" s="2"/>
      <c r="C149" s="2"/>
      <c r="D149" s="3"/>
      <c r="E149" s="3"/>
      <c r="F149" s="2"/>
      <c r="G149" s="13">
        <f>IF($B149="IN",$D149,0)</f>
      </c>
      <c r="H149" s="13">
        <f>IF($B149="OUT",$D149,0)</f>
      </c>
    </row>
    <row x14ac:dyDescent="0.25" r="150" customHeight="1" ht="17.25">
      <c r="A150" s="52"/>
      <c r="B150" s="2"/>
      <c r="C150" s="2"/>
      <c r="D150" s="3"/>
      <c r="E150" s="3"/>
      <c r="F150" s="2"/>
      <c r="G150" s="13">
        <f>IF($B150="IN",$D150,0)</f>
      </c>
      <c r="H150" s="13">
        <f>IF($B150="OUT",$D150,0)</f>
      </c>
    </row>
    <row x14ac:dyDescent="0.25" r="151" customHeight="1" ht="17.25">
      <c r="A151" s="52"/>
      <c r="B151" s="2"/>
      <c r="C151" s="2"/>
      <c r="D151" s="3"/>
      <c r="E151" s="3"/>
      <c r="F151" s="2"/>
      <c r="G151" s="13">
        <f>IF($B151="IN",$D151,0)</f>
      </c>
      <c r="H151" s="13">
        <f>IF($B151="OUT",$D151,0)</f>
      </c>
    </row>
    <row x14ac:dyDescent="0.25" r="152" customHeight="1" ht="17.25">
      <c r="A152" s="52"/>
      <c r="B152" s="2"/>
      <c r="C152" s="2"/>
      <c r="D152" s="3"/>
      <c r="E152" s="3"/>
      <c r="F152" s="2"/>
      <c r="G152" s="13">
        <f>IF($B152="IN",$D152,0)</f>
      </c>
      <c r="H152" s="13">
        <f>IF($B152="OUT",$D152,0)</f>
      </c>
    </row>
    <row x14ac:dyDescent="0.25" r="153" customHeight="1" ht="17.25">
      <c r="A153" s="52"/>
      <c r="B153" s="2"/>
      <c r="C153" s="2"/>
      <c r="D153" s="3"/>
      <c r="E153" s="3"/>
      <c r="F153" s="2"/>
      <c r="G153" s="13">
        <f>IF($B153="IN",$D153,0)</f>
      </c>
      <c r="H153" s="13">
        <f>IF($B153="OUT",$D153,0)</f>
      </c>
    </row>
    <row x14ac:dyDescent="0.25" r="154" customHeight="1" ht="17.25">
      <c r="A154" s="52"/>
      <c r="B154" s="2"/>
      <c r="C154" s="2"/>
      <c r="D154" s="3"/>
      <c r="E154" s="3"/>
      <c r="F154" s="2"/>
      <c r="G154" s="13">
        <f>IF($B154="IN",$D154,0)</f>
      </c>
      <c r="H154" s="13">
        <f>IF($B154="OUT",$D154,0)</f>
      </c>
    </row>
    <row x14ac:dyDescent="0.25" r="155" customHeight="1" ht="17.25">
      <c r="A155" s="52"/>
      <c r="B155" s="2"/>
      <c r="C155" s="2"/>
      <c r="D155" s="3"/>
      <c r="E155" s="3"/>
      <c r="F155" s="2"/>
      <c r="G155" s="13">
        <f>IF($B155="IN",$D155,0)</f>
      </c>
      <c r="H155" s="13">
        <f>IF($B155="OUT",$D155,0)</f>
      </c>
    </row>
    <row x14ac:dyDescent="0.25" r="156" customHeight="1" ht="17.25">
      <c r="A156" s="52"/>
      <c r="B156" s="2"/>
      <c r="C156" s="2"/>
      <c r="D156" s="3"/>
      <c r="E156" s="3"/>
      <c r="F156" s="2"/>
      <c r="G156" s="13">
        <f>IF($B156="IN",$D156,0)</f>
      </c>
      <c r="H156" s="13">
        <f>IF($B156="OUT",$D156,0)</f>
      </c>
    </row>
    <row x14ac:dyDescent="0.25" r="157" customHeight="1" ht="17.25">
      <c r="A157" s="52"/>
      <c r="B157" s="2"/>
      <c r="C157" s="2"/>
      <c r="D157" s="3"/>
      <c r="E157" s="3"/>
      <c r="F157" s="2"/>
      <c r="G157" s="13">
        <f>IF($B157="IN",$D157,0)</f>
      </c>
      <c r="H157" s="13">
        <f>IF($B157="OUT",$D157,0)</f>
      </c>
    </row>
    <row x14ac:dyDescent="0.25" r="158" customHeight="1" ht="17.25">
      <c r="A158" s="52"/>
      <c r="B158" s="2"/>
      <c r="C158" s="2"/>
      <c r="D158" s="3"/>
      <c r="E158" s="3"/>
      <c r="F158" s="2"/>
      <c r="G158" s="13">
        <f>IF($B158="IN",$D158,0)</f>
      </c>
      <c r="H158" s="13">
        <f>IF($B158="OUT",$D158,0)</f>
      </c>
    </row>
    <row x14ac:dyDescent="0.25" r="159" customHeight="1" ht="17.25">
      <c r="A159" s="52"/>
      <c r="B159" s="2"/>
      <c r="C159" s="2"/>
      <c r="D159" s="3"/>
      <c r="E159" s="3"/>
      <c r="F159" s="2"/>
      <c r="G159" s="13">
        <f>IF($B159="IN",$D159,0)</f>
      </c>
      <c r="H159" s="13">
        <f>IF($B159="OUT",$D159,0)</f>
      </c>
    </row>
    <row x14ac:dyDescent="0.25" r="160" customHeight="1" ht="17.25">
      <c r="A160" s="52"/>
      <c r="B160" s="2"/>
      <c r="C160" s="2"/>
      <c r="D160" s="3"/>
      <c r="E160" s="3"/>
      <c r="F160" s="2"/>
      <c r="G160" s="13">
        <f>IF($B160="IN",$D160,0)</f>
      </c>
      <c r="H160" s="13">
        <f>IF($B160="OUT",$D160,0)</f>
      </c>
    </row>
    <row x14ac:dyDescent="0.25" r="161" customHeight="1" ht="17.25">
      <c r="A161" s="52"/>
      <c r="B161" s="2"/>
      <c r="C161" s="2"/>
      <c r="D161" s="3"/>
      <c r="E161" s="3"/>
      <c r="F161" s="2"/>
      <c r="G161" s="13">
        <f>IF($B161="IN",$D161,0)</f>
      </c>
      <c r="H161" s="13">
        <f>IF($B161="OUT",$D161,0)</f>
      </c>
    </row>
    <row x14ac:dyDescent="0.25" r="162" customHeight="1" ht="17.25">
      <c r="A162" s="52"/>
      <c r="B162" s="2"/>
      <c r="C162" s="2"/>
      <c r="D162" s="3"/>
      <c r="E162" s="3"/>
      <c r="F162" s="2"/>
      <c r="G162" s="13">
        <f>IF($B162="IN",$D162,0)</f>
      </c>
      <c r="H162" s="13">
        <f>IF($B162="OUT",$D162,0)</f>
      </c>
    </row>
    <row x14ac:dyDescent="0.25" r="163" customHeight="1" ht="17.25">
      <c r="A163" s="52"/>
      <c r="B163" s="2"/>
      <c r="C163" s="2"/>
      <c r="D163" s="3"/>
      <c r="E163" s="3"/>
      <c r="F163" s="2"/>
      <c r="G163" s="13">
        <f>IF($B163="IN",$D163,0)</f>
      </c>
      <c r="H163" s="13">
        <f>IF($B163="OUT",$D163,0)</f>
      </c>
    </row>
    <row x14ac:dyDescent="0.25" r="164" customHeight="1" ht="17.25">
      <c r="A164" s="52"/>
      <c r="B164" s="2"/>
      <c r="C164" s="2"/>
      <c r="D164" s="3"/>
      <c r="E164" s="3"/>
      <c r="F164" s="2"/>
      <c r="G164" s="13">
        <f>IF($B164="IN",$D164,0)</f>
      </c>
      <c r="H164" s="13">
        <f>IF($B164="OUT",$D164,0)</f>
      </c>
    </row>
    <row x14ac:dyDescent="0.25" r="165" customHeight="1" ht="17.25">
      <c r="A165" s="52"/>
      <c r="B165" s="2"/>
      <c r="C165" s="2"/>
      <c r="D165" s="3"/>
      <c r="E165" s="3"/>
      <c r="F165" s="2"/>
      <c r="G165" s="13">
        <f>IF($B165="IN",$D165,0)</f>
      </c>
      <c r="H165" s="13">
        <f>IF($B165="OUT",$D165,0)</f>
      </c>
    </row>
    <row x14ac:dyDescent="0.25" r="166" customHeight="1" ht="17.25">
      <c r="A166" s="52"/>
      <c r="B166" s="2"/>
      <c r="C166" s="2"/>
      <c r="D166" s="3"/>
      <c r="E166" s="3"/>
      <c r="F166" s="2"/>
      <c r="G166" s="13">
        <f>IF($B166="IN",$D166,0)</f>
      </c>
      <c r="H166" s="13">
        <f>IF($B166="OUT",$D166,0)</f>
      </c>
    </row>
    <row x14ac:dyDescent="0.25" r="167" customHeight="1" ht="17.25">
      <c r="A167" s="52"/>
      <c r="B167" s="2"/>
      <c r="C167" s="2"/>
      <c r="D167" s="3"/>
      <c r="E167" s="3"/>
      <c r="F167" s="2"/>
      <c r="G167" s="13">
        <f>IF($B167="IN",$D167,0)</f>
      </c>
      <c r="H167" s="13">
        <f>IF($B167="OUT",$D167,0)</f>
      </c>
    </row>
    <row x14ac:dyDescent="0.25" r="168" customHeight="1" ht="17.25">
      <c r="A168" s="52"/>
      <c r="B168" s="2"/>
      <c r="C168" s="2"/>
      <c r="D168" s="3"/>
      <c r="E168" s="3"/>
      <c r="F168" s="2"/>
      <c r="G168" s="13">
        <f>IF($B168="IN",$D168,0)</f>
      </c>
      <c r="H168" s="13">
        <f>IF($B168="OUT",$D168,0)</f>
      </c>
    </row>
    <row x14ac:dyDescent="0.25" r="169" customHeight="1" ht="17.25">
      <c r="A169" s="52"/>
      <c r="B169" s="2"/>
      <c r="C169" s="2"/>
      <c r="D169" s="3"/>
      <c r="E169" s="3"/>
      <c r="F169" s="2"/>
      <c r="G169" s="13">
        <f>IF($B169="IN",$D169,0)</f>
      </c>
      <c r="H169" s="13">
        <f>IF($B169="OUT",$D169,0)</f>
      </c>
    </row>
    <row x14ac:dyDescent="0.25" r="170" customHeight="1" ht="17.25">
      <c r="A170" s="52"/>
      <c r="B170" s="2"/>
      <c r="C170" s="2"/>
      <c r="D170" s="3"/>
      <c r="E170" s="3"/>
      <c r="F170" s="2"/>
      <c r="G170" s="13">
        <f>IF($B170="IN",$D170,0)</f>
      </c>
      <c r="H170" s="13">
        <f>IF($B170="OUT",$D170,0)</f>
      </c>
    </row>
    <row x14ac:dyDescent="0.25" r="171" customHeight="1" ht="17.25">
      <c r="A171" s="52"/>
      <c r="B171" s="2"/>
      <c r="C171" s="2"/>
      <c r="D171" s="3"/>
      <c r="E171" s="3"/>
      <c r="F171" s="2"/>
      <c r="G171" s="13">
        <f>IF($B171="IN",$D171,0)</f>
      </c>
      <c r="H171" s="13">
        <f>IF($B171="OUT",$D171,0)</f>
      </c>
    </row>
    <row x14ac:dyDescent="0.25" r="172" customHeight="1" ht="17.25">
      <c r="A172" s="52"/>
      <c r="B172" s="2"/>
      <c r="C172" s="2"/>
      <c r="D172" s="3"/>
      <c r="E172" s="3"/>
      <c r="F172" s="2"/>
      <c r="G172" s="13">
        <f>IF($B172="IN",$D172,0)</f>
      </c>
      <c r="H172" s="13">
        <f>IF($B172="OUT",$D172,0)</f>
      </c>
    </row>
    <row x14ac:dyDescent="0.25" r="173" customHeight="1" ht="17.25">
      <c r="A173" s="52"/>
      <c r="B173" s="2"/>
      <c r="C173" s="2"/>
      <c r="D173" s="3"/>
      <c r="E173" s="3"/>
      <c r="F173" s="2"/>
      <c r="G173" s="13">
        <f>IF($B173="IN",$D173,0)</f>
      </c>
      <c r="H173" s="13">
        <f>IF($B173="OUT",$D173,0)</f>
      </c>
    </row>
    <row x14ac:dyDescent="0.25" r="174" customHeight="1" ht="17.25">
      <c r="A174" s="52"/>
      <c r="B174" s="2"/>
      <c r="C174" s="2"/>
      <c r="D174" s="3"/>
      <c r="E174" s="3"/>
      <c r="F174" s="2"/>
      <c r="G174" s="13">
        <f>IF($B174="IN",$D174,0)</f>
      </c>
      <c r="H174" s="13">
        <f>IF($B174="OUT",$D174,0)</f>
      </c>
    </row>
    <row x14ac:dyDescent="0.25" r="175" customHeight="1" ht="17.25">
      <c r="A175" s="52"/>
      <c r="B175" s="2"/>
      <c r="C175" s="2"/>
      <c r="D175" s="3"/>
      <c r="E175" s="3"/>
      <c r="F175" s="2"/>
      <c r="G175" s="13">
        <f>IF($B175="IN",$D175,0)</f>
      </c>
      <c r="H175" s="13">
        <f>IF($B175="OUT",$D175,0)</f>
      </c>
    </row>
    <row x14ac:dyDescent="0.25" r="176" customHeight="1" ht="17.25">
      <c r="A176" s="52"/>
      <c r="B176" s="2"/>
      <c r="C176" s="2"/>
      <c r="D176" s="3"/>
      <c r="E176" s="3"/>
      <c r="F176" s="2"/>
      <c r="G176" s="13">
        <f>IF($B176="IN",$D176,0)</f>
      </c>
      <c r="H176" s="13">
        <f>IF($B176="OUT",$D176,0)</f>
      </c>
    </row>
    <row x14ac:dyDescent="0.25" r="177" customHeight="1" ht="17.25">
      <c r="A177" s="52"/>
      <c r="B177" s="2"/>
      <c r="C177" s="2"/>
      <c r="D177" s="3"/>
      <c r="E177" s="3"/>
      <c r="F177" s="2"/>
      <c r="G177" s="13">
        <f>IF($B177="IN",$D177,0)</f>
      </c>
      <c r="H177" s="13">
        <f>IF($B177="OUT",$D177,0)</f>
      </c>
    </row>
    <row x14ac:dyDescent="0.25" r="178" customHeight="1" ht="17.25">
      <c r="A178" s="52"/>
      <c r="B178" s="2"/>
      <c r="C178" s="2"/>
      <c r="D178" s="3"/>
      <c r="E178" s="3"/>
      <c r="F178" s="2"/>
      <c r="G178" s="13">
        <f>IF($B178="IN",$D178,0)</f>
      </c>
      <c r="H178" s="13">
        <f>IF($B178="OUT",$D178,0)</f>
      </c>
    </row>
    <row x14ac:dyDescent="0.25" r="179" customHeight="1" ht="17.25">
      <c r="A179" s="52"/>
      <c r="B179" s="2"/>
      <c r="C179" s="2"/>
      <c r="D179" s="3"/>
      <c r="E179" s="3"/>
      <c r="F179" s="2"/>
      <c r="G179" s="13">
        <f>IF($B179="IN",$D179,0)</f>
      </c>
      <c r="H179" s="13">
        <f>IF($B179="OUT",$D179,0)</f>
      </c>
    </row>
    <row x14ac:dyDescent="0.25" r="180" customHeight="1" ht="17.25">
      <c r="A180" s="52"/>
      <c r="B180" s="2"/>
      <c r="C180" s="2"/>
      <c r="D180" s="3"/>
      <c r="E180" s="3"/>
      <c r="F180" s="2"/>
      <c r="G180" s="13">
        <f>IF($B180="IN",$D180,0)</f>
      </c>
      <c r="H180" s="13">
        <f>IF($B180="OUT",$D180,0)</f>
      </c>
    </row>
    <row x14ac:dyDescent="0.25" r="181" customHeight="1" ht="17.25">
      <c r="A181" s="52"/>
      <c r="B181" s="2"/>
      <c r="C181" s="2"/>
      <c r="D181" s="3"/>
      <c r="E181" s="3"/>
      <c r="F181" s="2"/>
      <c r="G181" s="13">
        <f>IF($B181="IN",$D181,0)</f>
      </c>
      <c r="H181" s="13">
        <f>IF($B181="OUT",$D181,0)</f>
      </c>
    </row>
    <row x14ac:dyDescent="0.25" r="182" customHeight="1" ht="17.25">
      <c r="A182" s="52"/>
      <c r="B182" s="2"/>
      <c r="C182" s="2"/>
      <c r="D182" s="3"/>
      <c r="E182" s="3"/>
      <c r="F182" s="2"/>
      <c r="G182" s="13">
        <f>IF($B182="IN",$D182,0)</f>
      </c>
      <c r="H182" s="13">
        <f>IF($B182="OUT",$D182,0)</f>
      </c>
    </row>
    <row x14ac:dyDescent="0.25" r="183" customHeight="1" ht="17.25">
      <c r="A183" s="52"/>
      <c r="B183" s="2"/>
      <c r="C183" s="2"/>
      <c r="D183" s="3"/>
      <c r="E183" s="3"/>
      <c r="F183" s="2"/>
      <c r="G183" s="13">
        <f>IF($B183="IN",$D183,0)</f>
      </c>
      <c r="H183" s="13">
        <f>IF($B183="OUT",$D183,0)</f>
      </c>
    </row>
    <row x14ac:dyDescent="0.25" r="184" customHeight="1" ht="17.25">
      <c r="A184" s="52"/>
      <c r="B184" s="2"/>
      <c r="C184" s="2"/>
      <c r="D184" s="3"/>
      <c r="E184" s="3"/>
      <c r="F184" s="2"/>
      <c r="G184" s="13">
        <f>IF($B184="IN",$D184,0)</f>
      </c>
      <c r="H184" s="13">
        <f>IF($B184="OUT",$D184,0)</f>
      </c>
    </row>
    <row x14ac:dyDescent="0.25" r="185" customHeight="1" ht="17.25">
      <c r="A185" s="52"/>
      <c r="B185" s="2"/>
      <c r="C185" s="2"/>
      <c r="D185" s="3"/>
      <c r="E185" s="3"/>
      <c r="F185" s="2"/>
      <c r="G185" s="13">
        <f>IF($B185="IN",$D185,0)</f>
      </c>
      <c r="H185" s="13">
        <f>IF($B185="OUT",$D185,0)</f>
      </c>
    </row>
    <row x14ac:dyDescent="0.25" r="186" customHeight="1" ht="17.25">
      <c r="A186" s="52"/>
      <c r="B186" s="2"/>
      <c r="C186" s="2"/>
      <c r="D186" s="3"/>
      <c r="E186" s="3"/>
      <c r="F186" s="2"/>
      <c r="G186" s="13">
        <f>IF($B186="IN",$D186,0)</f>
      </c>
      <c r="H186" s="13">
        <f>IF($B186="OUT",$D186,0)</f>
      </c>
    </row>
    <row x14ac:dyDescent="0.25" r="187" customHeight="1" ht="17.25">
      <c r="A187" s="52"/>
      <c r="B187" s="2"/>
      <c r="C187" s="2"/>
      <c r="D187" s="3"/>
      <c r="E187" s="3"/>
      <c r="F187" s="2"/>
      <c r="G187" s="13">
        <f>IF($B187="IN",$D187,0)</f>
      </c>
      <c r="H187" s="13">
        <f>IF($B187="OUT",$D187,0)</f>
      </c>
    </row>
    <row x14ac:dyDescent="0.25" r="188" customHeight="1" ht="17.25">
      <c r="A188" s="52"/>
      <c r="B188" s="2"/>
      <c r="C188" s="2"/>
      <c r="D188" s="3"/>
      <c r="E188" s="3"/>
      <c r="F188" s="2"/>
      <c r="G188" s="13">
        <f>IF($B188="IN",$D188,0)</f>
      </c>
      <c r="H188" s="13">
        <f>IF($B188="OUT",$D188,0)</f>
      </c>
    </row>
    <row x14ac:dyDescent="0.25" r="189" customHeight="1" ht="17.25">
      <c r="A189" s="52"/>
      <c r="B189" s="2"/>
      <c r="C189" s="2"/>
      <c r="D189" s="3"/>
      <c r="E189" s="3"/>
      <c r="F189" s="2"/>
      <c r="G189" s="13">
        <f>IF($B189="IN",$D189,0)</f>
      </c>
      <c r="H189" s="13">
        <f>IF($B189="OUT",$D189,0)</f>
      </c>
    </row>
    <row x14ac:dyDescent="0.25" r="190" customHeight="1" ht="17.25">
      <c r="A190" s="52"/>
      <c r="B190" s="2"/>
      <c r="C190" s="2"/>
      <c r="D190" s="3"/>
      <c r="E190" s="3"/>
      <c r="F190" s="2"/>
      <c r="G190" s="13">
        <f>IF($B190="IN",$D190,0)</f>
      </c>
      <c r="H190" s="13">
        <f>IF($B190="OUT",$D190,0)</f>
      </c>
    </row>
    <row x14ac:dyDescent="0.25" r="191" customHeight="1" ht="17.25">
      <c r="A191" s="52"/>
      <c r="B191" s="2"/>
      <c r="C191" s="2"/>
      <c r="D191" s="3"/>
      <c r="E191" s="3"/>
      <c r="F191" s="2"/>
      <c r="G191" s="13">
        <f>IF($B191="IN",$D191,0)</f>
      </c>
      <c r="H191" s="13">
        <f>IF($B191="OUT",$D191,0)</f>
      </c>
    </row>
    <row x14ac:dyDescent="0.25" r="192" customHeight="1" ht="17.25">
      <c r="A192" s="52"/>
      <c r="B192" s="2"/>
      <c r="C192" s="2"/>
      <c r="D192" s="3"/>
      <c r="E192" s="3"/>
      <c r="F192" s="2"/>
      <c r="G192" s="13">
        <f>IF($B192="IN",$D192,0)</f>
      </c>
      <c r="H192" s="13">
        <f>IF($B192="OUT",$D192,0)</f>
      </c>
    </row>
    <row x14ac:dyDescent="0.25" r="193" customHeight="1" ht="17.25">
      <c r="A193" s="52"/>
      <c r="B193" s="2"/>
      <c r="C193" s="2"/>
      <c r="D193" s="3"/>
      <c r="E193" s="3"/>
      <c r="F193" s="2"/>
      <c r="G193" s="13">
        <f>IF($B193="IN",$D193,0)</f>
      </c>
      <c r="H193" s="13">
        <f>IF($B193="OUT",$D193,0)</f>
      </c>
    </row>
    <row x14ac:dyDescent="0.25" r="194" customHeight="1" ht="17.25">
      <c r="A194" s="52"/>
      <c r="B194" s="2"/>
      <c r="C194" s="2"/>
      <c r="D194" s="3"/>
      <c r="E194" s="3"/>
      <c r="F194" s="2"/>
      <c r="G194" s="13">
        <f>IF($B194="IN",$D194,0)</f>
      </c>
      <c r="H194" s="13">
        <f>IF($B194="OUT",$D194,0)</f>
      </c>
    </row>
    <row x14ac:dyDescent="0.25" r="195" customHeight="1" ht="17.25">
      <c r="A195" s="52"/>
      <c r="B195" s="2"/>
      <c r="C195" s="2"/>
      <c r="D195" s="3"/>
      <c r="E195" s="3"/>
      <c r="F195" s="2"/>
      <c r="G195" s="13">
        <f>IF($B195="IN",$D195,0)</f>
      </c>
      <c r="H195" s="13">
        <f>IF($B195="OUT",$D195,0)</f>
      </c>
    </row>
    <row x14ac:dyDescent="0.25" r="196" customHeight="1" ht="17.25">
      <c r="A196" s="52"/>
      <c r="B196" s="2"/>
      <c r="C196" s="2"/>
      <c r="D196" s="3"/>
      <c r="E196" s="3"/>
      <c r="F196" s="2"/>
      <c r="G196" s="13">
        <f>IF($B196="IN",$D196,0)</f>
      </c>
      <c r="H196" s="13">
        <f>IF($B196="OUT",$D196,0)</f>
      </c>
    </row>
    <row x14ac:dyDescent="0.25" r="197" customHeight="1" ht="17.25">
      <c r="A197" s="52"/>
      <c r="B197" s="2"/>
      <c r="C197" s="2"/>
      <c r="D197" s="3"/>
      <c r="E197" s="3"/>
      <c r="F197" s="2"/>
      <c r="G197" s="13">
        <f>IF($B197="IN",$D197,0)</f>
      </c>
      <c r="H197" s="13">
        <f>IF($B197="OUT",$D197,0)</f>
      </c>
    </row>
    <row x14ac:dyDescent="0.25" r="198" customHeight="1" ht="17.25">
      <c r="A198" s="52"/>
      <c r="B198" s="2"/>
      <c r="C198" s="2"/>
      <c r="D198" s="3"/>
      <c r="E198" s="3"/>
      <c r="F198" s="2"/>
      <c r="G198" s="13">
        <f>IF($B198="IN",$D198,0)</f>
      </c>
      <c r="H198" s="13">
        <f>IF($B198="OUT",$D198,0)</f>
      </c>
    </row>
    <row x14ac:dyDescent="0.25" r="199" customHeight="1" ht="17.25">
      <c r="A199" s="52"/>
      <c r="B199" s="2"/>
      <c r="C199" s="2"/>
      <c r="D199" s="3"/>
      <c r="E199" s="3"/>
      <c r="F199" s="2"/>
      <c r="G199" s="13">
        <f>IF($B199="IN",$D199,0)</f>
      </c>
      <c r="H199" s="13">
        <f>IF($B199="OUT",$D199,0)</f>
      </c>
    </row>
    <row x14ac:dyDescent="0.25" r="200" customHeight="1" ht="17.25">
      <c r="A200" s="52"/>
      <c r="B200" s="2"/>
      <c r="C200" s="2"/>
      <c r="D200" s="3"/>
      <c r="E200" s="3"/>
      <c r="F200" s="2"/>
      <c r="G200" s="13">
        <f>IF($B200="IN",$D200,0)</f>
      </c>
      <c r="H200" s="13">
        <f>IF($B200="OUT",$D200,0)</f>
      </c>
    </row>
    <row x14ac:dyDescent="0.25" r="201" customHeight="1" ht="17.25">
      <c r="A201" s="52"/>
      <c r="B201" s="2"/>
      <c r="C201" s="2"/>
      <c r="D201" s="3"/>
      <c r="E201" s="3"/>
      <c r="F201" s="2"/>
      <c r="G201" s="13">
        <f>IF($B201="IN",$D201,0)</f>
      </c>
      <c r="H201" s="13">
        <f>IF($B201="OUT",$D201,0)</f>
      </c>
    </row>
    <row x14ac:dyDescent="0.25" r="202" customHeight="1" ht="17.25">
      <c r="A202" s="52"/>
      <c r="B202" s="2"/>
      <c r="C202" s="2"/>
      <c r="D202" s="3"/>
      <c r="E202" s="3"/>
      <c r="F202" s="2"/>
      <c r="G202" s="13">
        <f>IF($B202="IN",$D202,0)</f>
      </c>
      <c r="H202" s="13">
        <f>IF($B202="OUT",$D202,0)</f>
      </c>
    </row>
    <row x14ac:dyDescent="0.25" r="203" customHeight="1" ht="17.25">
      <c r="A203" s="52"/>
      <c r="B203" s="2"/>
      <c r="C203" s="2"/>
      <c r="D203" s="3"/>
      <c r="E203" s="3"/>
      <c r="F203" s="2"/>
      <c r="G203" s="13">
        <f>IF($B203="IN",$D203,0)</f>
      </c>
      <c r="H203" s="13">
        <f>IF($B203="OUT",$D203,0)</f>
      </c>
    </row>
    <row x14ac:dyDescent="0.25" r="204" customHeight="1" ht="17.25">
      <c r="A204" s="52"/>
      <c r="B204" s="2"/>
      <c r="C204" s="2"/>
      <c r="D204" s="3"/>
      <c r="E204" s="3"/>
      <c r="F204" s="2"/>
      <c r="G204" s="13">
        <f>IF($B204="IN",$D204,0)</f>
      </c>
      <c r="H204" s="13">
        <f>IF($B204="OUT",$D204,0)</f>
      </c>
    </row>
    <row x14ac:dyDescent="0.25" r="205" customHeight="1" ht="17.25">
      <c r="A205" s="52"/>
      <c r="B205" s="2"/>
      <c r="C205" s="2"/>
      <c r="D205" s="3"/>
      <c r="E205" s="3"/>
      <c r="F205" s="2"/>
      <c r="G205" s="13">
        <f>IF($B205="IN",$D205,0)</f>
      </c>
      <c r="H205" s="13">
        <f>IF($B205="OUT",$D205,0)</f>
      </c>
    </row>
    <row x14ac:dyDescent="0.25" r="206" customHeight="1" ht="17.25">
      <c r="A206" s="52"/>
      <c r="B206" s="2"/>
      <c r="C206" s="2"/>
      <c r="D206" s="3"/>
      <c r="E206" s="3"/>
      <c r="F206" s="2"/>
      <c r="G206" s="13">
        <f>IF($B206="IN",$D206,0)</f>
      </c>
      <c r="H206" s="13">
        <f>IF($B206="OUT",$D206,0)</f>
      </c>
    </row>
    <row x14ac:dyDescent="0.25" r="207" customHeight="1" ht="17.25">
      <c r="A207" s="52"/>
      <c r="B207" s="2"/>
      <c r="C207" s="2"/>
      <c r="D207" s="3"/>
      <c r="E207" s="3"/>
      <c r="F207" s="2"/>
      <c r="G207" s="13">
        <f>IF($B207="IN",$D207,0)</f>
      </c>
      <c r="H207" s="13">
        <f>IF($B207="OUT",$D207,0)</f>
      </c>
    </row>
    <row x14ac:dyDescent="0.25" r="208" customHeight="1" ht="17.25">
      <c r="A208" s="52"/>
      <c r="B208" s="2"/>
      <c r="C208" s="2"/>
      <c r="D208" s="3"/>
      <c r="E208" s="3"/>
      <c r="F208" s="2"/>
      <c r="G208" s="13">
        <f>IF($B208="IN",$D208,0)</f>
      </c>
      <c r="H208" s="13">
        <f>IF($B208="OUT",$D208,0)</f>
      </c>
    </row>
    <row x14ac:dyDescent="0.25" r="209" customHeight="1" ht="17.25">
      <c r="A209" s="52"/>
      <c r="B209" s="2"/>
      <c r="C209" s="2"/>
      <c r="D209" s="3"/>
      <c r="E209" s="3"/>
      <c r="F209" s="2"/>
      <c r="G209" s="13">
        <f>IF($B209="IN",$D209,0)</f>
      </c>
      <c r="H209" s="13">
        <f>IF($B209="OUT",$D209,0)</f>
      </c>
    </row>
    <row x14ac:dyDescent="0.25" r="210" customHeight="1" ht="17.25">
      <c r="A210" s="52"/>
      <c r="B210" s="2"/>
      <c r="C210" s="2"/>
      <c r="D210" s="3"/>
      <c r="E210" s="3"/>
      <c r="F210" s="2"/>
      <c r="G210" s="13">
        <f>IF($B210="IN",$D210,0)</f>
      </c>
      <c r="H210" s="13">
        <f>IF($B210="OUT",$D210,0)</f>
      </c>
    </row>
    <row x14ac:dyDescent="0.25" r="211" customHeight="1" ht="17.25">
      <c r="A211" s="52"/>
      <c r="B211" s="2"/>
      <c r="C211" s="2"/>
      <c r="D211" s="3"/>
      <c r="E211" s="3"/>
      <c r="F211" s="2"/>
      <c r="G211" s="13">
        <f>IF($B211="IN",$D211,0)</f>
      </c>
      <c r="H211" s="13">
        <f>IF($B211="OUT",$D211,0)</f>
      </c>
    </row>
    <row x14ac:dyDescent="0.25" r="212" customHeight="1" ht="17.25">
      <c r="A212" s="52"/>
      <c r="B212" s="2"/>
      <c r="C212" s="2"/>
      <c r="D212" s="3"/>
      <c r="E212" s="3"/>
      <c r="F212" s="2"/>
      <c r="G212" s="13">
        <f>IF($B212="IN",$D212,0)</f>
      </c>
      <c r="H212" s="13">
        <f>IF($B212="OUT",$D212,0)</f>
      </c>
    </row>
    <row x14ac:dyDescent="0.25" r="213" customHeight="1" ht="17.25">
      <c r="A213" s="52"/>
      <c r="B213" s="2"/>
      <c r="C213" s="2"/>
      <c r="D213" s="3"/>
      <c r="E213" s="3"/>
      <c r="F213" s="2"/>
      <c r="G213" s="13">
        <f>IF($B213="IN",$D213,0)</f>
      </c>
      <c r="H213" s="13">
        <f>IF($B213="OUT",$D213,0)</f>
      </c>
    </row>
    <row x14ac:dyDescent="0.25" r="214" customHeight="1" ht="17.25">
      <c r="A214" s="52"/>
      <c r="B214" s="2"/>
      <c r="C214" s="2"/>
      <c r="D214" s="3"/>
      <c r="E214" s="3"/>
      <c r="F214" s="2"/>
      <c r="G214" s="13">
        <f>IF($B214="IN",$D214,0)</f>
      </c>
      <c r="H214" s="13">
        <f>IF($B214="OUT",$D214,0)</f>
      </c>
    </row>
    <row x14ac:dyDescent="0.25" r="215" customHeight="1" ht="17.25">
      <c r="A215" s="52"/>
      <c r="B215" s="2"/>
      <c r="C215" s="2"/>
      <c r="D215" s="3"/>
      <c r="E215" s="3"/>
      <c r="F215" s="2"/>
      <c r="G215" s="13">
        <f>IF($B215="IN",$D215,0)</f>
      </c>
      <c r="H215" s="13">
        <f>IF($B215="OUT",$D215,0)</f>
      </c>
    </row>
    <row x14ac:dyDescent="0.25" r="216" customHeight="1" ht="17.25">
      <c r="A216" s="52"/>
      <c r="B216" s="2"/>
      <c r="C216" s="2"/>
      <c r="D216" s="3"/>
      <c r="E216" s="3"/>
      <c r="F216" s="2"/>
      <c r="G216" s="13">
        <f>IF($B216="IN",$D216,0)</f>
      </c>
      <c r="H216" s="13">
        <f>IF($B216="OUT",$D216,0)</f>
      </c>
    </row>
    <row x14ac:dyDescent="0.25" r="217" customHeight="1" ht="17.25">
      <c r="A217" s="52"/>
      <c r="B217" s="2"/>
      <c r="C217" s="2"/>
      <c r="D217" s="3"/>
      <c r="E217" s="3"/>
      <c r="F217" s="2"/>
      <c r="G217" s="13">
        <f>IF($B217="IN",$D217,0)</f>
      </c>
      <c r="H217" s="13">
        <f>IF($B217="OUT",$D217,0)</f>
      </c>
    </row>
    <row x14ac:dyDescent="0.25" r="218" customHeight="1" ht="17.25">
      <c r="A218" s="52"/>
      <c r="B218" s="2"/>
      <c r="C218" s="2"/>
      <c r="D218" s="3"/>
      <c r="E218" s="3"/>
      <c r="F218" s="2"/>
      <c r="G218" s="13">
        <f>IF($B218="IN",$D218,0)</f>
      </c>
      <c r="H218" s="13">
        <f>IF($B218="OUT",$D218,0)</f>
      </c>
    </row>
    <row x14ac:dyDescent="0.25" r="219" customHeight="1" ht="17.25">
      <c r="A219" s="52"/>
      <c r="B219" s="2"/>
      <c r="C219" s="2"/>
      <c r="D219" s="3"/>
      <c r="E219" s="3"/>
      <c r="F219" s="2"/>
      <c r="G219" s="13">
        <f>IF($B219="IN",$D219,0)</f>
      </c>
      <c r="H219" s="13">
        <f>IF($B219="OUT",$D219,0)</f>
      </c>
    </row>
    <row x14ac:dyDescent="0.25" r="220" customHeight="1" ht="17.25">
      <c r="A220" s="52"/>
      <c r="B220" s="2"/>
      <c r="C220" s="2"/>
      <c r="D220" s="3"/>
      <c r="E220" s="3"/>
      <c r="F220" s="2"/>
      <c r="G220" s="13">
        <f>IF($B220="IN",$D220,0)</f>
      </c>
      <c r="H220" s="13">
        <f>IF($B220="OUT",$D220,0)</f>
      </c>
    </row>
    <row x14ac:dyDescent="0.25" r="221" customHeight="1" ht="17.25">
      <c r="A221" s="52"/>
      <c r="B221" s="2"/>
      <c r="C221" s="2"/>
      <c r="D221" s="3"/>
      <c r="E221" s="3"/>
      <c r="F221" s="2"/>
      <c r="G221" s="13">
        <f>IF($B221="IN",$D221,0)</f>
      </c>
      <c r="H221" s="13">
        <f>IF($B221="OUT",$D221,0)</f>
      </c>
    </row>
    <row x14ac:dyDescent="0.25" r="222" customHeight="1" ht="17.25">
      <c r="A222" s="52"/>
      <c r="B222" s="2"/>
      <c r="C222" s="2"/>
      <c r="D222" s="3"/>
      <c r="E222" s="3"/>
      <c r="F222" s="2"/>
      <c r="G222" s="13">
        <f>IF($B222="IN",$D222,0)</f>
      </c>
      <c r="H222" s="13">
        <f>IF($B222="OUT",$D222,0)</f>
      </c>
    </row>
    <row x14ac:dyDescent="0.25" r="223" customHeight="1" ht="17.25">
      <c r="A223" s="52"/>
      <c r="B223" s="2"/>
      <c r="C223" s="2"/>
      <c r="D223" s="3"/>
      <c r="E223" s="3"/>
      <c r="F223" s="2"/>
      <c r="G223" s="13">
        <f>IF($B223="IN",$D223,0)</f>
      </c>
      <c r="H223" s="13">
        <f>IF($B223="OUT",$D223,0)</f>
      </c>
    </row>
    <row x14ac:dyDescent="0.25" r="224" customHeight="1" ht="17.25">
      <c r="A224" s="52"/>
      <c r="B224" s="2"/>
      <c r="C224" s="2"/>
      <c r="D224" s="3"/>
      <c r="E224" s="3"/>
      <c r="F224" s="2"/>
      <c r="G224" s="13">
        <f>IF($B224="IN",$D224,0)</f>
      </c>
      <c r="H224" s="13">
        <f>IF($B224="OUT",$D224,0)</f>
      </c>
    </row>
    <row x14ac:dyDescent="0.25" r="225" customHeight="1" ht="17.25">
      <c r="A225" s="52"/>
      <c r="B225" s="2"/>
      <c r="C225" s="2"/>
      <c r="D225" s="3"/>
      <c r="E225" s="3"/>
      <c r="F225" s="2"/>
      <c r="G225" s="13">
        <f>IF($B225="IN",$D225,0)</f>
      </c>
      <c r="H225" s="13">
        <f>IF($B225="OUT",$D225,0)</f>
      </c>
    </row>
    <row x14ac:dyDescent="0.25" r="226" customHeight="1" ht="17.25">
      <c r="A226" s="52"/>
      <c r="B226" s="2"/>
      <c r="C226" s="2"/>
      <c r="D226" s="3"/>
      <c r="E226" s="3"/>
      <c r="F226" s="2"/>
      <c r="G226" s="13">
        <f>IF($B226="IN",$D226,0)</f>
      </c>
      <c r="H226" s="13">
        <f>IF($B226="OUT",$D226,0)</f>
      </c>
    </row>
    <row x14ac:dyDescent="0.25" r="227" customHeight="1" ht="17.25">
      <c r="A227" s="52"/>
      <c r="B227" s="2"/>
      <c r="C227" s="2"/>
      <c r="D227" s="3"/>
      <c r="E227" s="3"/>
      <c r="F227" s="2"/>
      <c r="G227" s="13">
        <f>IF($B227="IN",$D227,0)</f>
      </c>
      <c r="H227" s="13">
        <f>IF($B227="OUT",$D227,0)</f>
      </c>
    </row>
    <row x14ac:dyDescent="0.25" r="228" customHeight="1" ht="17.25">
      <c r="A228" s="52"/>
      <c r="B228" s="2"/>
      <c r="C228" s="2"/>
      <c r="D228" s="3"/>
      <c r="E228" s="3"/>
      <c r="F228" s="2"/>
      <c r="G228" s="13">
        <f>IF($B228="IN",$D228,0)</f>
      </c>
      <c r="H228" s="13">
        <f>IF($B228="OUT",$D228,0)</f>
      </c>
    </row>
    <row x14ac:dyDescent="0.25" r="229" customHeight="1" ht="17.25">
      <c r="A229" s="52"/>
      <c r="B229" s="2"/>
      <c r="C229" s="2"/>
      <c r="D229" s="3"/>
      <c r="E229" s="3"/>
      <c r="F229" s="2"/>
      <c r="G229" s="13">
        <f>IF($B229="IN",$D229,0)</f>
      </c>
      <c r="H229" s="13">
        <f>IF($B229="OUT",$D229,0)</f>
      </c>
    </row>
    <row x14ac:dyDescent="0.25" r="230" customHeight="1" ht="17.25">
      <c r="A230" s="52"/>
      <c r="B230" s="2"/>
      <c r="C230" s="2"/>
      <c r="D230" s="3"/>
      <c r="E230" s="3"/>
      <c r="F230" s="2"/>
      <c r="G230" s="13">
        <f>IF($B230="IN",$D230,0)</f>
      </c>
      <c r="H230" s="13">
        <f>IF($B230="OUT",$D230,0)</f>
      </c>
    </row>
    <row x14ac:dyDescent="0.25" r="231" customHeight="1" ht="17.25">
      <c r="A231" s="52"/>
      <c r="B231" s="2"/>
      <c r="C231" s="2"/>
      <c r="D231" s="3"/>
      <c r="E231" s="3"/>
      <c r="F231" s="2"/>
      <c r="G231" s="13">
        <f>IF($B231="IN",$D231,0)</f>
      </c>
      <c r="H231" s="13">
        <f>IF($B231="OUT",$D231,0)</f>
      </c>
    </row>
    <row x14ac:dyDescent="0.25" r="232" customHeight="1" ht="17.25">
      <c r="A232" s="52"/>
      <c r="B232" s="2"/>
      <c r="C232" s="2"/>
      <c r="D232" s="3"/>
      <c r="E232" s="3"/>
      <c r="F232" s="2"/>
      <c r="G232" s="13">
        <f>IF($B232="IN",$D232,0)</f>
      </c>
      <c r="H232" s="13">
        <f>IF($B232="OUT",$D232,0)</f>
      </c>
    </row>
    <row x14ac:dyDescent="0.25" r="233" customHeight="1" ht="17.25">
      <c r="A233" s="52"/>
      <c r="B233" s="2"/>
      <c r="C233" s="2"/>
      <c r="D233" s="3"/>
      <c r="E233" s="3"/>
      <c r="F233" s="2"/>
      <c r="G233" s="13">
        <f>IF($B233="IN",$D233,0)</f>
      </c>
      <c r="H233" s="13">
        <f>IF($B233="OUT",$D233,0)</f>
      </c>
    </row>
    <row x14ac:dyDescent="0.25" r="234" customHeight="1" ht="17.25">
      <c r="A234" s="52"/>
      <c r="B234" s="2"/>
      <c r="C234" s="2"/>
      <c r="D234" s="3"/>
      <c r="E234" s="3"/>
      <c r="F234" s="2"/>
      <c r="G234" s="13">
        <f>IF($B234="IN",$D234,0)</f>
      </c>
      <c r="H234" s="13">
        <f>IF($B234="OUT",$D234,0)</f>
      </c>
    </row>
    <row x14ac:dyDescent="0.25" r="235" customHeight="1" ht="17.25">
      <c r="A235" s="52"/>
      <c r="B235" s="2"/>
      <c r="C235" s="2"/>
      <c r="D235" s="3"/>
      <c r="E235" s="3"/>
      <c r="F235" s="2"/>
      <c r="G235" s="13">
        <f>IF($B235="IN",$D235,0)</f>
      </c>
      <c r="H235" s="13">
        <f>IF($B235="OUT",$D235,0)</f>
      </c>
    </row>
    <row x14ac:dyDescent="0.25" r="236" customHeight="1" ht="17.25">
      <c r="A236" s="52"/>
      <c r="B236" s="2"/>
      <c r="C236" s="2"/>
      <c r="D236" s="3"/>
      <c r="E236" s="3"/>
      <c r="F236" s="2"/>
      <c r="G236" s="13">
        <f>IF($B236="IN",$D236,0)</f>
      </c>
      <c r="H236" s="13">
        <f>IF($B236="OUT",$D236,0)</f>
      </c>
    </row>
    <row x14ac:dyDescent="0.25" r="237" customHeight="1" ht="17.25">
      <c r="A237" s="52"/>
      <c r="B237" s="2"/>
      <c r="C237" s="2"/>
      <c r="D237" s="3"/>
      <c r="E237" s="3"/>
      <c r="F237" s="2"/>
      <c r="G237" s="13">
        <f>IF($B237="IN",$D237,0)</f>
      </c>
      <c r="H237" s="13">
        <f>IF($B237="OUT",$D237,0)</f>
      </c>
    </row>
    <row x14ac:dyDescent="0.25" r="238" customHeight="1" ht="17.25">
      <c r="A238" s="52"/>
      <c r="B238" s="2"/>
      <c r="C238" s="2"/>
      <c r="D238" s="3"/>
      <c r="E238" s="3"/>
      <c r="F238" s="2"/>
      <c r="G238" s="13">
        <f>IF($B238="IN",$D238,0)</f>
      </c>
      <c r="H238" s="13">
        <f>IF($B238="OUT",$D238,0)</f>
      </c>
    </row>
    <row x14ac:dyDescent="0.25" r="239" customHeight="1" ht="17.25">
      <c r="A239" s="52"/>
      <c r="B239" s="2"/>
      <c r="C239" s="2"/>
      <c r="D239" s="3"/>
      <c r="E239" s="3"/>
      <c r="F239" s="2"/>
      <c r="G239" s="13">
        <f>IF($B239="IN",$D239,0)</f>
      </c>
      <c r="H239" s="13">
        <f>IF($B239="OUT",$D239,0)</f>
      </c>
    </row>
    <row x14ac:dyDescent="0.25" r="240" customHeight="1" ht="17.25">
      <c r="A240" s="52"/>
      <c r="B240" s="2"/>
      <c r="C240" s="2"/>
      <c r="D240" s="3"/>
      <c r="E240" s="3"/>
      <c r="F240" s="2"/>
      <c r="G240" s="13">
        <f>IF($B240="IN",$D240,0)</f>
      </c>
      <c r="H240" s="13">
        <f>IF($B240="OUT",$D240,0)</f>
      </c>
    </row>
    <row x14ac:dyDescent="0.25" r="241" customHeight="1" ht="17.25">
      <c r="A241" s="52"/>
      <c r="B241" s="2"/>
      <c r="C241" s="2"/>
      <c r="D241" s="3"/>
      <c r="E241" s="3"/>
      <c r="F241" s="2"/>
      <c r="G241" s="13">
        <f>IF($B241="IN",$D241,0)</f>
      </c>
      <c r="H241" s="13">
        <f>IF($B241="OUT",$D241,0)</f>
      </c>
    </row>
    <row x14ac:dyDescent="0.25" r="242" customHeight="1" ht="17.25">
      <c r="A242" s="52"/>
      <c r="B242" s="2"/>
      <c r="C242" s="2"/>
      <c r="D242" s="3"/>
      <c r="E242" s="3"/>
      <c r="F242" s="2"/>
      <c r="G242" s="13">
        <f>IF($B242="IN",$D242,0)</f>
      </c>
      <c r="H242" s="13">
        <f>IF($B242="OUT",$D242,0)</f>
      </c>
    </row>
    <row x14ac:dyDescent="0.25" r="243" customHeight="1" ht="17.25">
      <c r="A243" s="52"/>
      <c r="B243" s="2"/>
      <c r="C243" s="2"/>
      <c r="D243" s="3"/>
      <c r="E243" s="3"/>
      <c r="F243" s="2"/>
      <c r="G243" s="13">
        <f>IF($B243="IN",$D243,0)</f>
      </c>
      <c r="H243" s="13">
        <f>IF($B243="OUT",$D243,0)</f>
      </c>
    </row>
    <row x14ac:dyDescent="0.25" r="244" customHeight="1" ht="17.25">
      <c r="A244" s="52"/>
      <c r="B244" s="2"/>
      <c r="C244" s="2"/>
      <c r="D244" s="3"/>
      <c r="E244" s="3"/>
      <c r="F244" s="2"/>
      <c r="G244" s="13">
        <f>IF($B244="IN",$D244,0)</f>
      </c>
      <c r="H244" s="13">
        <f>IF($B244="OUT",$D244,0)</f>
      </c>
    </row>
    <row x14ac:dyDescent="0.25" r="245" customHeight="1" ht="17.25">
      <c r="A245" s="52"/>
      <c r="B245" s="2"/>
      <c r="C245" s="2"/>
      <c r="D245" s="3"/>
      <c r="E245" s="3"/>
      <c r="F245" s="2"/>
      <c r="G245" s="13">
        <f>IF($B245="IN",$D245,0)</f>
      </c>
      <c r="H245" s="13">
        <f>IF($B245="OUT",$D245,0)</f>
      </c>
    </row>
    <row x14ac:dyDescent="0.25" r="246" customHeight="1" ht="17.25">
      <c r="A246" s="52"/>
      <c r="B246" s="2"/>
      <c r="C246" s="2"/>
      <c r="D246" s="3"/>
      <c r="E246" s="3"/>
      <c r="F246" s="2"/>
      <c r="G246" s="13">
        <f>IF($B246="IN",$D246,0)</f>
      </c>
      <c r="H246" s="13">
        <f>IF($B246="OUT",$D246,0)</f>
      </c>
    </row>
    <row x14ac:dyDescent="0.25" r="247" customHeight="1" ht="17.25">
      <c r="A247" s="52"/>
      <c r="B247" s="2"/>
      <c r="C247" s="2"/>
      <c r="D247" s="3"/>
      <c r="E247" s="3"/>
      <c r="F247" s="2"/>
      <c r="G247" s="13">
        <f>IF($B247="IN",$D247,0)</f>
      </c>
      <c r="H247" s="13">
        <f>IF($B247="OUT",$D247,0)</f>
      </c>
    </row>
    <row x14ac:dyDescent="0.25" r="248" customHeight="1" ht="17.25">
      <c r="A248" s="52"/>
      <c r="B248" s="2"/>
      <c r="C248" s="2"/>
      <c r="D248" s="3"/>
      <c r="E248" s="3"/>
      <c r="F248" s="2"/>
      <c r="G248" s="13">
        <f>IF($B248="IN",$D248,0)</f>
      </c>
      <c r="H248" s="13">
        <f>IF($B248="OUT",$D248,0)</f>
      </c>
    </row>
    <row x14ac:dyDescent="0.25" r="249" customHeight="1" ht="17.25">
      <c r="A249" s="52"/>
      <c r="B249" s="2"/>
      <c r="C249" s="2"/>
      <c r="D249" s="3"/>
      <c r="E249" s="3"/>
      <c r="F249" s="2"/>
      <c r="G249" s="13">
        <f>IF($B249="IN",$D249,0)</f>
      </c>
      <c r="H249" s="13">
        <f>IF($B249="OUT",$D249,0)</f>
      </c>
    </row>
    <row x14ac:dyDescent="0.25" r="250" customHeight="1" ht="17.25">
      <c r="A250" s="52"/>
      <c r="B250" s="2"/>
      <c r="C250" s="2"/>
      <c r="D250" s="3"/>
      <c r="E250" s="3"/>
      <c r="F250" s="2"/>
      <c r="G250" s="13">
        <f>IF($B250="IN",$D250,0)</f>
      </c>
      <c r="H250" s="13">
        <f>IF($B250="OUT",$D250,0)</f>
      </c>
    </row>
    <row x14ac:dyDescent="0.25" r="251" customHeight="1" ht="17.25">
      <c r="A251" s="52"/>
      <c r="B251" s="2"/>
      <c r="C251" s="2"/>
      <c r="D251" s="3"/>
      <c r="E251" s="3"/>
      <c r="F251" s="2"/>
      <c r="G251" s="13">
        <f>IF($B251="IN",$D251,0)</f>
      </c>
      <c r="H251" s="13">
        <f>IF($B251="OUT",$D251,0)</f>
      </c>
    </row>
    <row x14ac:dyDescent="0.25" r="252" customHeight="1" ht="17.25">
      <c r="A252" s="52"/>
      <c r="B252" s="2"/>
      <c r="C252" s="2"/>
      <c r="D252" s="3"/>
      <c r="E252" s="3"/>
      <c r="F252" s="2"/>
      <c r="G252" s="13">
        <f>IF($B252="IN",$D252,0)</f>
      </c>
      <c r="H252" s="13">
        <f>IF($B252="OUT",$D252,0)</f>
      </c>
    </row>
    <row x14ac:dyDescent="0.25" r="253" customHeight="1" ht="17.25">
      <c r="A253" s="52"/>
      <c r="B253" s="2"/>
      <c r="C253" s="2"/>
      <c r="D253" s="3"/>
      <c r="E253" s="3"/>
      <c r="F253" s="2"/>
      <c r="G253" s="13">
        <f>IF($B253="IN",$D253,0)</f>
      </c>
      <c r="H253" s="13">
        <f>IF($B253="OUT",$D253,0)</f>
      </c>
    </row>
    <row x14ac:dyDescent="0.25" r="254" customHeight="1" ht="17.25">
      <c r="A254" s="52"/>
      <c r="B254" s="2"/>
      <c r="C254" s="2"/>
      <c r="D254" s="3"/>
      <c r="E254" s="3"/>
      <c r="F254" s="2"/>
      <c r="G254" s="13">
        <f>IF($B254="IN",$D254,0)</f>
      </c>
      <c r="H254" s="13">
        <f>IF($B254="OUT",$D254,0)</f>
      </c>
    </row>
    <row x14ac:dyDescent="0.25" r="255" customHeight="1" ht="17.25">
      <c r="A255" s="52"/>
      <c r="B255" s="2"/>
      <c r="C255" s="2"/>
      <c r="D255" s="3"/>
      <c r="E255" s="3"/>
      <c r="F255" s="2"/>
      <c r="G255" s="13">
        <f>IF($B255="IN",$D255,0)</f>
      </c>
      <c r="H255" s="13">
        <f>IF($B255="OUT",$D255,0)</f>
      </c>
    </row>
    <row x14ac:dyDescent="0.25" r="256" customHeight="1" ht="17.25">
      <c r="A256" s="52"/>
      <c r="B256" s="2"/>
      <c r="C256" s="2"/>
      <c r="D256" s="3"/>
      <c r="E256" s="3"/>
      <c r="F256" s="2"/>
      <c r="G256" s="13">
        <f>IF($B256="IN",$D256,0)</f>
      </c>
      <c r="H256" s="13">
        <f>IF($B256="OUT",$D256,0)</f>
      </c>
    </row>
    <row x14ac:dyDescent="0.25" r="257" customHeight="1" ht="17.25">
      <c r="A257" s="52"/>
      <c r="B257" s="2"/>
      <c r="C257" s="2"/>
      <c r="D257" s="3"/>
      <c r="E257" s="3"/>
      <c r="F257" s="2"/>
      <c r="G257" s="13">
        <f>IF($B257="IN",$D257,0)</f>
      </c>
      <c r="H257" s="13">
        <f>IF($B257="OUT",$D257,0)</f>
      </c>
    </row>
    <row x14ac:dyDescent="0.25" r="258" customHeight="1" ht="17.25">
      <c r="A258" s="52"/>
      <c r="B258" s="2"/>
      <c r="C258" s="2"/>
      <c r="D258" s="3"/>
      <c r="E258" s="3"/>
      <c r="F258" s="2"/>
      <c r="G258" s="13">
        <f>IF($B258="IN",$D258,0)</f>
      </c>
      <c r="H258" s="13">
        <f>IF($B258="OUT",$D258,0)</f>
      </c>
    </row>
    <row x14ac:dyDescent="0.25" r="259" customHeight="1" ht="17.25">
      <c r="A259" s="52"/>
      <c r="B259" s="2"/>
      <c r="C259" s="2"/>
      <c r="D259" s="3"/>
      <c r="E259" s="3"/>
      <c r="F259" s="2"/>
      <c r="G259" s="13">
        <f>IF($B259="IN",$D259,0)</f>
      </c>
      <c r="H259" s="13">
        <f>IF($B259="OUT",$D259,0)</f>
      </c>
    </row>
    <row x14ac:dyDescent="0.25" r="260" customHeight="1" ht="17.25">
      <c r="A260" s="52"/>
      <c r="B260" s="2"/>
      <c r="C260" s="2"/>
      <c r="D260" s="3"/>
      <c r="E260" s="3"/>
      <c r="F260" s="2"/>
      <c r="G260" s="13">
        <f>IF($B260="IN",$D260,0)</f>
      </c>
      <c r="H260" s="13">
        <f>IF($B260="OUT",$D260,0)</f>
      </c>
    </row>
    <row x14ac:dyDescent="0.25" r="261" customHeight="1" ht="17.25">
      <c r="A261" s="52"/>
      <c r="B261" s="2"/>
      <c r="C261" s="2"/>
      <c r="D261" s="3"/>
      <c r="E261" s="3"/>
      <c r="F261" s="2"/>
      <c r="G261" s="13">
        <f>IF($B261="IN",$D261,0)</f>
      </c>
      <c r="H261" s="13">
        <f>IF($B261="OUT",$D261,0)</f>
      </c>
    </row>
    <row x14ac:dyDescent="0.25" r="262" customHeight="1" ht="17.25">
      <c r="A262" s="52"/>
      <c r="B262" s="2"/>
      <c r="C262" s="2"/>
      <c r="D262" s="3"/>
      <c r="E262" s="3"/>
      <c r="F262" s="2"/>
      <c r="G262" s="13">
        <f>IF($B262="IN",$D262,0)</f>
      </c>
      <c r="H262" s="13">
        <f>IF($B262="OUT",$D262,0)</f>
      </c>
    </row>
    <row x14ac:dyDescent="0.25" r="263" customHeight="1" ht="17.25">
      <c r="A263" s="52"/>
      <c r="B263" s="2"/>
      <c r="C263" s="2"/>
      <c r="D263" s="3"/>
      <c r="E263" s="3"/>
      <c r="F263" s="2"/>
      <c r="G263" s="13">
        <f>IF($B263="IN",$D263,0)</f>
      </c>
      <c r="H263" s="13">
        <f>IF($B263="OUT",$D263,0)</f>
      </c>
    </row>
    <row x14ac:dyDescent="0.25" r="264" customHeight="1" ht="17.25">
      <c r="A264" s="52"/>
      <c r="B264" s="2"/>
      <c r="C264" s="2"/>
      <c r="D264" s="3"/>
      <c r="E264" s="3"/>
      <c r="F264" s="2"/>
      <c r="G264" s="13">
        <f>IF($B264="IN",$D264,0)</f>
      </c>
      <c r="H264" s="13">
        <f>IF($B264="OUT",$D264,0)</f>
      </c>
    </row>
    <row x14ac:dyDescent="0.25" r="265" customHeight="1" ht="17.25">
      <c r="A265" s="52"/>
      <c r="B265" s="2"/>
      <c r="C265" s="2"/>
      <c r="D265" s="3"/>
      <c r="E265" s="3"/>
      <c r="F265" s="2"/>
      <c r="G265" s="13">
        <f>IF($B265="IN",$D265,0)</f>
      </c>
      <c r="H265" s="13">
        <f>IF($B265="OUT",$D265,0)</f>
      </c>
    </row>
    <row x14ac:dyDescent="0.25" r="266" customHeight="1" ht="17.25">
      <c r="A266" s="52"/>
      <c r="B266" s="2"/>
      <c r="C266" s="2"/>
      <c r="D266" s="3"/>
      <c r="E266" s="3"/>
      <c r="F266" s="2"/>
      <c r="G266" s="13">
        <f>IF($B266="IN",$D266,0)</f>
      </c>
      <c r="H266" s="13">
        <f>IF($B266="OUT",$D266,0)</f>
      </c>
    </row>
    <row x14ac:dyDescent="0.25" r="267" customHeight="1" ht="17.25">
      <c r="A267" s="52"/>
      <c r="B267" s="2"/>
      <c r="C267" s="2"/>
      <c r="D267" s="3"/>
      <c r="E267" s="3"/>
      <c r="F267" s="2"/>
      <c r="G267" s="13">
        <f>IF($B267="IN",$D267,0)</f>
      </c>
      <c r="H267" s="13">
        <f>IF($B267="OUT",$D267,0)</f>
      </c>
    </row>
    <row x14ac:dyDescent="0.25" r="268" customHeight="1" ht="17.25">
      <c r="A268" s="52"/>
      <c r="B268" s="2"/>
      <c r="C268" s="2"/>
      <c r="D268" s="3"/>
      <c r="E268" s="3"/>
      <c r="F268" s="2"/>
      <c r="G268" s="13">
        <f>IF($B268="IN",$D268,0)</f>
      </c>
      <c r="H268" s="13">
        <f>IF($B268="OUT",$D268,0)</f>
      </c>
    </row>
    <row x14ac:dyDescent="0.25" r="269" customHeight="1" ht="17.25">
      <c r="A269" s="52"/>
      <c r="B269" s="2"/>
      <c r="C269" s="2"/>
      <c r="D269" s="3"/>
      <c r="E269" s="3"/>
      <c r="F269" s="2"/>
      <c r="G269" s="13">
        <f>IF($B269="IN",$D269,0)</f>
      </c>
      <c r="H269" s="13">
        <f>IF($B269="OUT",$D269,0)</f>
      </c>
    </row>
    <row x14ac:dyDescent="0.25" r="270" customHeight="1" ht="17.25">
      <c r="A270" s="52"/>
      <c r="B270" s="2"/>
      <c r="C270" s="2"/>
      <c r="D270" s="3"/>
      <c r="E270" s="3"/>
      <c r="F270" s="2"/>
      <c r="G270" s="13">
        <f>IF($B270="IN",$D270,0)</f>
      </c>
      <c r="H270" s="13">
        <f>IF($B270="OUT",$D270,0)</f>
      </c>
    </row>
    <row x14ac:dyDescent="0.25" r="271" customHeight="1" ht="17.25">
      <c r="A271" s="52"/>
      <c r="B271" s="2"/>
      <c r="C271" s="2"/>
      <c r="D271" s="3"/>
      <c r="E271" s="3"/>
      <c r="F271" s="2"/>
      <c r="G271" s="13">
        <f>IF($B271="IN",$D271,0)</f>
      </c>
      <c r="H271" s="13">
        <f>IF($B271="OUT",$D271,0)</f>
      </c>
    </row>
    <row x14ac:dyDescent="0.25" r="272" customHeight="1" ht="17.25">
      <c r="A272" s="52"/>
      <c r="B272" s="2"/>
      <c r="C272" s="2"/>
      <c r="D272" s="3"/>
      <c r="E272" s="3"/>
      <c r="F272" s="2"/>
      <c r="G272" s="13">
        <f>IF($B272="IN",$D272,0)</f>
      </c>
      <c r="H272" s="13">
        <f>IF($B272="OUT",$D272,0)</f>
      </c>
    </row>
    <row x14ac:dyDescent="0.25" r="273" customHeight="1" ht="17.25">
      <c r="A273" s="52"/>
      <c r="B273" s="2"/>
      <c r="C273" s="2"/>
      <c r="D273" s="3"/>
      <c r="E273" s="3"/>
      <c r="F273" s="2"/>
      <c r="G273" s="13">
        <f>IF($B273="IN",$D273,0)</f>
      </c>
      <c r="H273" s="13">
        <f>IF($B273="OUT",$D273,0)</f>
      </c>
    </row>
    <row x14ac:dyDescent="0.25" r="274" customHeight="1" ht="17.25">
      <c r="A274" s="52"/>
      <c r="B274" s="2"/>
      <c r="C274" s="2"/>
      <c r="D274" s="3"/>
      <c r="E274" s="3"/>
      <c r="F274" s="2"/>
      <c r="G274" s="13">
        <f>IF($B274="IN",$D274,0)</f>
      </c>
      <c r="H274" s="13">
        <f>IF($B274="OUT",$D274,0)</f>
      </c>
    </row>
    <row x14ac:dyDescent="0.25" r="275" customHeight="1" ht="17.25">
      <c r="A275" s="52"/>
      <c r="B275" s="2"/>
      <c r="C275" s="2"/>
      <c r="D275" s="3"/>
      <c r="E275" s="3"/>
      <c r="F275" s="2"/>
      <c r="G275" s="13">
        <f>IF($B275="IN",$D275,0)</f>
      </c>
      <c r="H275" s="13">
        <f>IF($B275="OUT",$D275,0)</f>
      </c>
    </row>
    <row x14ac:dyDescent="0.25" r="276" customHeight="1" ht="17.25">
      <c r="A276" s="52"/>
      <c r="B276" s="2"/>
      <c r="C276" s="2"/>
      <c r="D276" s="3"/>
      <c r="E276" s="3"/>
      <c r="F276" s="2"/>
      <c r="G276" s="13">
        <f>IF($B276="IN",$D276,0)</f>
      </c>
      <c r="H276" s="13">
        <f>IF($B276="OUT",$D276,0)</f>
      </c>
    </row>
    <row x14ac:dyDescent="0.25" r="277" customHeight="1" ht="17.25">
      <c r="A277" s="52"/>
      <c r="B277" s="2"/>
      <c r="C277" s="2"/>
      <c r="D277" s="3"/>
      <c r="E277" s="3"/>
      <c r="F277" s="2"/>
      <c r="G277" s="13">
        <f>IF($B277="IN",$D277,0)</f>
      </c>
      <c r="H277" s="13">
        <f>IF($B277="OUT",$D277,0)</f>
      </c>
    </row>
    <row x14ac:dyDescent="0.25" r="278" customHeight="1" ht="17.25">
      <c r="A278" s="52"/>
      <c r="B278" s="2"/>
      <c r="C278" s="2"/>
      <c r="D278" s="3"/>
      <c r="E278" s="3"/>
      <c r="F278" s="2"/>
      <c r="G278" s="13">
        <f>IF($B278="IN",$D278,0)</f>
      </c>
      <c r="H278" s="13">
        <f>IF($B278="OUT",$D278,0)</f>
      </c>
    </row>
    <row x14ac:dyDescent="0.25" r="279" customHeight="1" ht="17.25">
      <c r="A279" s="52"/>
      <c r="B279" s="2"/>
      <c r="C279" s="2"/>
      <c r="D279" s="3"/>
      <c r="E279" s="3"/>
      <c r="F279" s="2"/>
      <c r="G279" s="13">
        <f>IF($B279="IN",$D279,0)</f>
      </c>
      <c r="H279" s="13">
        <f>IF($B279="OUT",$D279,0)</f>
      </c>
    </row>
    <row x14ac:dyDescent="0.25" r="280" customHeight="1" ht="17.25">
      <c r="A280" s="52"/>
      <c r="B280" s="2"/>
      <c r="C280" s="2"/>
      <c r="D280" s="3"/>
      <c r="E280" s="3"/>
      <c r="F280" s="2"/>
      <c r="G280" s="13">
        <f>IF($B280="IN",$D280,0)</f>
      </c>
      <c r="H280" s="13">
        <f>IF($B280="OUT",$D280,0)</f>
      </c>
    </row>
    <row x14ac:dyDescent="0.25" r="281" customHeight="1" ht="17.25">
      <c r="A281" s="52"/>
      <c r="B281" s="2"/>
      <c r="C281" s="2"/>
      <c r="D281" s="3"/>
      <c r="E281" s="3"/>
      <c r="F281" s="2"/>
      <c r="G281" s="13">
        <f>IF($B281="IN",$D281,0)</f>
      </c>
      <c r="H281" s="13">
        <f>IF($B281="OUT",$D281,0)</f>
      </c>
    </row>
    <row x14ac:dyDescent="0.25" r="282" customHeight="1" ht="17.25">
      <c r="A282" s="52"/>
      <c r="B282" s="2"/>
      <c r="C282" s="2"/>
      <c r="D282" s="3"/>
      <c r="E282" s="3"/>
      <c r="F282" s="2"/>
      <c r="G282" s="13">
        <f>IF($B282="IN",$D282,0)</f>
      </c>
      <c r="H282" s="13">
        <f>IF($B282="OUT",$D282,0)</f>
      </c>
    </row>
    <row x14ac:dyDescent="0.25" r="283" customHeight="1" ht="17.25">
      <c r="A283" s="52"/>
      <c r="B283" s="2"/>
      <c r="C283" s="2"/>
      <c r="D283" s="3"/>
      <c r="E283" s="3"/>
      <c r="F283" s="2"/>
      <c r="G283" s="13">
        <f>IF($B283="IN",$D283,0)</f>
      </c>
      <c r="H283" s="13">
        <f>IF($B283="OUT",$D283,0)</f>
      </c>
    </row>
    <row x14ac:dyDescent="0.25" r="284" customHeight="1" ht="17.25">
      <c r="A284" s="52"/>
      <c r="B284" s="2"/>
      <c r="C284" s="2"/>
      <c r="D284" s="3"/>
      <c r="E284" s="3"/>
      <c r="F284" s="2"/>
      <c r="G284" s="13">
        <f>IF($B284="IN",$D284,0)</f>
      </c>
      <c r="H284" s="13">
        <f>IF($B284="OUT",$D284,0)</f>
      </c>
    </row>
    <row x14ac:dyDescent="0.25" r="285" customHeight="1" ht="17.25">
      <c r="A285" s="52"/>
      <c r="B285" s="2"/>
      <c r="C285" s="2"/>
      <c r="D285" s="3"/>
      <c r="E285" s="3"/>
      <c r="F285" s="2"/>
      <c r="G285" s="13">
        <f>IF($B285="IN",$D285,0)</f>
      </c>
      <c r="H285" s="13">
        <f>IF($B285="OUT",$D285,0)</f>
      </c>
    </row>
    <row x14ac:dyDescent="0.25" r="286" customHeight="1" ht="17.25">
      <c r="A286" s="52"/>
      <c r="B286" s="2"/>
      <c r="C286" s="2"/>
      <c r="D286" s="3"/>
      <c r="E286" s="3"/>
      <c r="F286" s="2"/>
      <c r="G286" s="13">
        <f>IF($B286="IN",$D286,0)</f>
      </c>
      <c r="H286" s="13">
        <f>IF($B286="OUT",$D286,0)</f>
      </c>
    </row>
    <row x14ac:dyDescent="0.25" r="287" customHeight="1" ht="17.25">
      <c r="A287" s="52"/>
      <c r="B287" s="2"/>
      <c r="C287" s="2"/>
      <c r="D287" s="3"/>
      <c r="E287" s="3"/>
      <c r="F287" s="2"/>
      <c r="G287" s="13">
        <f>IF($B287="IN",$D287,0)</f>
      </c>
      <c r="H287" s="13">
        <f>IF($B287="OUT",$D287,0)</f>
      </c>
    </row>
    <row x14ac:dyDescent="0.25" r="288" customHeight="1" ht="17.25">
      <c r="A288" s="52"/>
      <c r="B288" s="2"/>
      <c r="C288" s="2"/>
      <c r="D288" s="3"/>
      <c r="E288" s="3"/>
      <c r="F288" s="2"/>
      <c r="G288" s="13">
        <f>IF($B288="IN",$D288,0)</f>
      </c>
      <c r="H288" s="13">
        <f>IF($B288="OUT",$D288,0)</f>
      </c>
    </row>
    <row x14ac:dyDescent="0.25" r="289" customHeight="1" ht="17.25">
      <c r="A289" s="52"/>
      <c r="B289" s="2"/>
      <c r="C289" s="2"/>
      <c r="D289" s="3"/>
      <c r="E289" s="3"/>
      <c r="F289" s="2"/>
      <c r="G289" s="13">
        <f>IF($B289="IN",$D289,0)</f>
      </c>
      <c r="H289" s="13">
        <f>IF($B289="OUT",$D289,0)</f>
      </c>
    </row>
    <row x14ac:dyDescent="0.25" r="290" customHeight="1" ht="17.25">
      <c r="A290" s="52"/>
      <c r="B290" s="2"/>
      <c r="C290" s="2"/>
      <c r="D290" s="3"/>
      <c r="E290" s="3"/>
      <c r="F290" s="2"/>
      <c r="G290" s="13">
        <f>IF($B290="IN",$D290,0)</f>
      </c>
      <c r="H290" s="13">
        <f>IF($B290="OUT",$D290,0)</f>
      </c>
    </row>
    <row x14ac:dyDescent="0.25" r="291" customHeight="1" ht="17.25">
      <c r="A291" s="52"/>
      <c r="B291" s="2"/>
      <c r="C291" s="2"/>
      <c r="D291" s="3"/>
      <c r="E291" s="3"/>
      <c r="F291" s="2"/>
      <c r="G291" s="13">
        <f>IF($B291="IN",$D291,0)</f>
      </c>
      <c r="H291" s="13">
        <f>IF($B291="OUT",$D291,0)</f>
      </c>
    </row>
    <row x14ac:dyDescent="0.25" r="292" customHeight="1" ht="17.25">
      <c r="A292" s="52"/>
      <c r="B292" s="2"/>
      <c r="C292" s="2"/>
      <c r="D292" s="3"/>
      <c r="E292" s="3"/>
      <c r="F292" s="2"/>
      <c r="G292" s="13">
        <f>IF($B292="IN",$D292,0)</f>
      </c>
      <c r="H292" s="13">
        <f>IF($B292="OUT",$D292,0)</f>
      </c>
    </row>
    <row x14ac:dyDescent="0.25" r="293" customHeight="1" ht="17.25">
      <c r="A293" s="52"/>
      <c r="B293" s="2"/>
      <c r="C293" s="2"/>
      <c r="D293" s="3"/>
      <c r="E293" s="3"/>
      <c r="F293" s="2"/>
      <c r="G293" s="13">
        <f>IF($B293="IN",$D293,0)</f>
      </c>
      <c r="H293" s="13">
        <f>IF($B293="OUT",$D293,0)</f>
      </c>
    </row>
    <row x14ac:dyDescent="0.25" r="294" customHeight="1" ht="17.25">
      <c r="A294" s="52"/>
      <c r="B294" s="2"/>
      <c r="C294" s="2"/>
      <c r="D294" s="3"/>
      <c r="E294" s="3"/>
      <c r="F294" s="2"/>
      <c r="G294" s="13">
        <f>IF($B294="IN",$D294,0)</f>
      </c>
      <c r="H294" s="13">
        <f>IF($B294="OUT",$D294,0)</f>
      </c>
    </row>
    <row x14ac:dyDescent="0.25" r="295" customHeight="1" ht="17.25">
      <c r="A295" s="52"/>
      <c r="B295" s="2"/>
      <c r="C295" s="2"/>
      <c r="D295" s="3"/>
      <c r="E295" s="3"/>
      <c r="F295" s="2"/>
      <c r="G295" s="13">
        <f>IF($B295="IN",$D295,0)</f>
      </c>
      <c r="H295" s="13">
        <f>IF($B295="OUT",$D295,0)</f>
      </c>
    </row>
    <row x14ac:dyDescent="0.25" r="296" customHeight="1" ht="17.25">
      <c r="A296" s="52"/>
      <c r="B296" s="2"/>
      <c r="C296" s="2"/>
      <c r="D296" s="3"/>
      <c r="E296" s="3"/>
      <c r="F296" s="2"/>
      <c r="G296" s="13">
        <f>IF($B296="IN",$D296,0)</f>
      </c>
      <c r="H296" s="13">
        <f>IF($B296="OUT",$D296,0)</f>
      </c>
    </row>
    <row x14ac:dyDescent="0.25" r="297" customHeight="1" ht="17.25">
      <c r="A297" s="52"/>
      <c r="B297" s="2"/>
      <c r="C297" s="2"/>
      <c r="D297" s="3"/>
      <c r="E297" s="3"/>
      <c r="F297" s="2"/>
      <c r="G297" s="13">
        <f>IF($B297="IN",$D297,0)</f>
      </c>
      <c r="H297" s="13">
        <f>IF($B297="OUT",$D297,0)</f>
      </c>
    </row>
    <row x14ac:dyDescent="0.25" r="298" customHeight="1" ht="17.25">
      <c r="A298" s="52"/>
      <c r="B298" s="2"/>
      <c r="C298" s="2"/>
      <c r="D298" s="3"/>
      <c r="E298" s="3"/>
      <c r="F298" s="2"/>
      <c r="G298" s="13">
        <f>IF($B298="IN",$D298,0)</f>
      </c>
      <c r="H298" s="13">
        <f>IF($B298="OUT",$D298,0)</f>
      </c>
    </row>
    <row x14ac:dyDescent="0.25" r="299" customHeight="1" ht="17.25">
      <c r="A299" s="52"/>
      <c r="B299" s="2"/>
      <c r="C299" s="2"/>
      <c r="D299" s="3"/>
      <c r="E299" s="3"/>
      <c r="F299" s="2"/>
      <c r="G299" s="13">
        <f>IF($B299="IN",$D299,0)</f>
      </c>
      <c r="H299" s="13">
        <f>IF($B299="OUT",$D299,0)</f>
      </c>
    </row>
    <row x14ac:dyDescent="0.25" r="300" customHeight="1" ht="17.25">
      <c r="A300" s="52"/>
      <c r="B300" s="2"/>
      <c r="C300" s="2"/>
      <c r="D300" s="3"/>
      <c r="E300" s="3"/>
      <c r="F300" s="2"/>
      <c r="G300" s="13">
        <f>IF($B300="IN",$D300,0)</f>
      </c>
      <c r="H300" s="13">
        <f>IF($B300="OUT",$D300,0)</f>
      </c>
    </row>
    <row x14ac:dyDescent="0.25" r="301" customHeight="1" ht="17.25">
      <c r="A301" s="52"/>
      <c r="B301" s="2"/>
      <c r="C301" s="2"/>
      <c r="D301" s="3"/>
      <c r="E301" s="3"/>
      <c r="F301" s="2"/>
      <c r="G301" s="13">
        <f>IF($B301="IN",$D301,0)</f>
      </c>
      <c r="H301" s="13">
        <f>IF($B301="OUT",$D301,0)</f>
      </c>
    </row>
    <row x14ac:dyDescent="0.25" r="302" customHeight="1" ht="17.25">
      <c r="A302" s="52"/>
      <c r="B302" s="2"/>
      <c r="C302" s="2"/>
      <c r="D302" s="3"/>
      <c r="E302" s="3"/>
      <c r="F302" s="2"/>
      <c r="G302" s="13">
        <f>IF($B302="IN",$D302,0)</f>
      </c>
      <c r="H302" s="13">
        <f>IF($B302="OUT",$D302,0)</f>
      </c>
    </row>
    <row x14ac:dyDescent="0.25" r="303" customHeight="1" ht="17.25">
      <c r="A303" s="52"/>
      <c r="B303" s="2"/>
      <c r="C303" s="2"/>
      <c r="D303" s="3"/>
      <c r="E303" s="3"/>
      <c r="F303" s="2"/>
      <c r="G303" s="13">
        <f>IF($B303="IN",$D303,0)</f>
      </c>
      <c r="H303" s="13">
        <f>IF($B303="OUT",$D303,0)</f>
      </c>
    </row>
    <row x14ac:dyDescent="0.25" r="304" customHeight="1" ht="17.25">
      <c r="A304" s="52"/>
      <c r="B304" s="2"/>
      <c r="C304" s="2"/>
      <c r="D304" s="3"/>
      <c r="E304" s="3"/>
      <c r="F304" s="2"/>
      <c r="G304" s="13">
        <f>IF($B304="IN",$D304,0)</f>
      </c>
      <c r="H304" s="13">
        <f>IF($B304="OUT",$D304,0)</f>
      </c>
    </row>
    <row x14ac:dyDescent="0.25" r="305" customHeight="1" ht="17.25">
      <c r="A305" s="52"/>
      <c r="B305" s="2"/>
      <c r="C305" s="2"/>
      <c r="D305" s="3"/>
      <c r="E305" s="3"/>
      <c r="F305" s="2"/>
      <c r="G305" s="13">
        <f>IF($B305="IN",$D305,0)</f>
      </c>
      <c r="H305" s="13">
        <f>IF($B305="OUT",$D305,0)</f>
      </c>
    </row>
    <row x14ac:dyDescent="0.25" r="306" customHeight="1" ht="17.25">
      <c r="A306" s="52"/>
      <c r="B306" s="2"/>
      <c r="C306" s="2"/>
      <c r="D306" s="3"/>
      <c r="E306" s="3"/>
      <c r="F306" s="2"/>
      <c r="G306" s="13">
        <f>IF($B306="IN",$D306,0)</f>
      </c>
      <c r="H306" s="13">
        <f>IF($B306="OUT",$D306,0)</f>
      </c>
    </row>
    <row x14ac:dyDescent="0.25" r="307" customHeight="1" ht="17.25">
      <c r="A307" s="52"/>
      <c r="B307" s="2"/>
      <c r="C307" s="2"/>
      <c r="D307" s="3"/>
      <c r="E307" s="3"/>
      <c r="F307" s="2"/>
      <c r="G307" s="13">
        <f>IF($B307="IN",$D307,0)</f>
      </c>
      <c r="H307" s="13">
        <f>IF($B307="OUT",$D307,0)</f>
      </c>
    </row>
    <row x14ac:dyDescent="0.25" r="308" customHeight="1" ht="17.25">
      <c r="A308" s="52"/>
      <c r="B308" s="2"/>
      <c r="C308" s="2"/>
      <c r="D308" s="3"/>
      <c r="E308" s="3"/>
      <c r="F308" s="2"/>
      <c r="G308" s="13">
        <f>IF($B308="IN",$D308,0)</f>
      </c>
      <c r="H308" s="13">
        <f>IF($B308="OUT",$D308,0)</f>
      </c>
    </row>
    <row x14ac:dyDescent="0.25" r="309" customHeight="1" ht="17.25">
      <c r="A309" s="52"/>
      <c r="B309" s="2"/>
      <c r="C309" s="2"/>
      <c r="D309" s="3"/>
      <c r="E309" s="3"/>
      <c r="F309" s="2"/>
      <c r="G309" s="13">
        <f>IF($B309="IN",$D309,0)</f>
      </c>
      <c r="H309" s="13">
        <f>IF($B309="OUT",$D309,0)</f>
      </c>
    </row>
    <row x14ac:dyDescent="0.25" r="310" customHeight="1" ht="17.25">
      <c r="A310" s="52"/>
      <c r="B310" s="2"/>
      <c r="C310" s="2"/>
      <c r="D310" s="3"/>
      <c r="E310" s="3"/>
      <c r="F310" s="2"/>
      <c r="G310" s="13">
        <f>IF($B310="IN",$D310,0)</f>
      </c>
      <c r="H310" s="13">
        <f>IF($B310="OUT",$D310,0)</f>
      </c>
    </row>
    <row x14ac:dyDescent="0.25" r="311" customHeight="1" ht="17.25">
      <c r="A311" s="52"/>
      <c r="B311" s="2"/>
      <c r="C311" s="2"/>
      <c r="D311" s="3"/>
      <c r="E311" s="3"/>
      <c r="F311" s="2"/>
      <c r="G311" s="13">
        <f>IF($B311="IN",$D311,0)</f>
      </c>
      <c r="H311" s="13">
        <f>IF($B311="OUT",$D311,0)</f>
      </c>
    </row>
    <row x14ac:dyDescent="0.25" r="312" customHeight="1" ht="17.25">
      <c r="A312" s="52"/>
      <c r="B312" s="2"/>
      <c r="C312" s="2"/>
      <c r="D312" s="3"/>
      <c r="E312" s="3"/>
      <c r="F312" s="2"/>
      <c r="G312" s="13">
        <f>IF($B312="IN",$D312,0)</f>
      </c>
      <c r="H312" s="13">
        <f>IF($B312="OUT",$D312,0)</f>
      </c>
    </row>
    <row x14ac:dyDescent="0.25" r="313" customHeight="1" ht="17.25">
      <c r="A313" s="52"/>
      <c r="B313" s="2"/>
      <c r="C313" s="2"/>
      <c r="D313" s="3"/>
      <c r="E313" s="3"/>
      <c r="F313" s="2"/>
      <c r="G313" s="13">
        <f>IF($B313="IN",$D313,0)</f>
      </c>
      <c r="H313" s="13">
        <f>IF($B313="OUT",$D313,0)</f>
      </c>
    </row>
    <row x14ac:dyDescent="0.25" r="314" customHeight="1" ht="17.25">
      <c r="A314" s="52"/>
      <c r="B314" s="2"/>
      <c r="C314" s="2"/>
      <c r="D314" s="3"/>
      <c r="E314" s="3"/>
      <c r="F314" s="2"/>
      <c r="G314" s="13">
        <f>IF($B314="IN",$D314,0)</f>
      </c>
      <c r="H314" s="13">
        <f>IF($B314="OUT",$D314,0)</f>
      </c>
    </row>
    <row x14ac:dyDescent="0.25" r="315" customHeight="1" ht="17.25">
      <c r="A315" s="52"/>
      <c r="B315" s="2"/>
      <c r="C315" s="2"/>
      <c r="D315" s="3"/>
      <c r="E315" s="3"/>
      <c r="F315" s="2"/>
      <c r="G315" s="13">
        <f>IF($B315="IN",$D315,0)</f>
      </c>
      <c r="H315" s="13">
        <f>IF($B315="OUT",$D315,0)</f>
      </c>
    </row>
    <row x14ac:dyDescent="0.25" r="316" customHeight="1" ht="17.25">
      <c r="A316" s="52"/>
      <c r="B316" s="2"/>
      <c r="C316" s="2"/>
      <c r="D316" s="3"/>
      <c r="E316" s="3"/>
      <c r="F316" s="2"/>
      <c r="G316" s="13">
        <f>IF($B316="IN",$D316,0)</f>
      </c>
      <c r="H316" s="13">
        <f>IF($B316="OUT",$D316,0)</f>
      </c>
    </row>
    <row x14ac:dyDescent="0.25" r="317" customHeight="1" ht="17.25">
      <c r="A317" s="52"/>
      <c r="B317" s="2"/>
      <c r="C317" s="2"/>
      <c r="D317" s="3"/>
      <c r="E317" s="3"/>
      <c r="F317" s="2"/>
      <c r="G317" s="13">
        <f>IF($B317="IN",$D317,0)</f>
      </c>
      <c r="H317" s="13">
        <f>IF($B317="OUT",$D317,0)</f>
      </c>
    </row>
    <row x14ac:dyDescent="0.25" r="318" customHeight="1" ht="17.25">
      <c r="A318" s="52"/>
      <c r="B318" s="2"/>
      <c r="C318" s="2"/>
      <c r="D318" s="3"/>
      <c r="E318" s="3"/>
      <c r="F318" s="2"/>
      <c r="G318" s="13">
        <f>IF($B318="IN",$D318,0)</f>
      </c>
      <c r="H318" s="13">
        <f>IF($B318="OUT",$D318,0)</f>
      </c>
    </row>
    <row x14ac:dyDescent="0.25" r="319" customHeight="1" ht="17.25">
      <c r="A319" s="52"/>
      <c r="B319" s="2"/>
      <c r="C319" s="2"/>
      <c r="D319" s="3"/>
      <c r="E319" s="3"/>
      <c r="F319" s="2"/>
      <c r="G319" s="13">
        <f>IF($B319="IN",$D319,0)</f>
      </c>
      <c r="H319" s="13">
        <f>IF($B319="OUT",$D319,0)</f>
      </c>
    </row>
    <row x14ac:dyDescent="0.25" r="320" customHeight="1" ht="17.25">
      <c r="A320" s="52"/>
      <c r="B320" s="2"/>
      <c r="C320" s="2"/>
      <c r="D320" s="3"/>
      <c r="E320" s="3"/>
      <c r="F320" s="2"/>
      <c r="G320" s="13">
        <f>IF($B320="IN",$D320,0)</f>
      </c>
      <c r="H320" s="13">
        <f>IF($B320="OUT",$D320,0)</f>
      </c>
    </row>
    <row x14ac:dyDescent="0.25" r="321" customHeight="1" ht="17.25">
      <c r="A321" s="52"/>
      <c r="B321" s="2"/>
      <c r="C321" s="2"/>
      <c r="D321" s="3"/>
      <c r="E321" s="3"/>
      <c r="F321" s="2"/>
      <c r="G321" s="13">
        <f>IF($B321="IN",$D321,0)</f>
      </c>
      <c r="H321" s="13">
        <f>IF($B321="OUT",$D321,0)</f>
      </c>
    </row>
    <row x14ac:dyDescent="0.25" r="322" customHeight="1" ht="17.25">
      <c r="A322" s="52"/>
      <c r="B322" s="2"/>
      <c r="C322" s="2"/>
      <c r="D322" s="3"/>
      <c r="E322" s="3"/>
      <c r="F322" s="2"/>
      <c r="G322" s="13">
        <f>IF($B322="IN",$D322,0)</f>
      </c>
      <c r="H322" s="13">
        <f>IF($B322="OUT",$D322,0)</f>
      </c>
    </row>
    <row x14ac:dyDescent="0.25" r="323" customHeight="1" ht="17.25">
      <c r="A323" s="52"/>
      <c r="B323" s="2"/>
      <c r="C323" s="2"/>
      <c r="D323" s="3"/>
      <c r="E323" s="3"/>
      <c r="F323" s="2"/>
      <c r="G323" s="13">
        <f>IF($B323="IN",$D323,0)</f>
      </c>
      <c r="H323" s="13">
        <f>IF($B323="OUT",$D323,0)</f>
      </c>
    </row>
    <row x14ac:dyDescent="0.25" r="324" customHeight="1" ht="17.25">
      <c r="A324" s="52"/>
      <c r="B324" s="2"/>
      <c r="C324" s="2"/>
      <c r="D324" s="3"/>
      <c r="E324" s="3"/>
      <c r="F324" s="2"/>
      <c r="G324" s="13">
        <f>IF($B324="IN",$D324,0)</f>
      </c>
      <c r="H324" s="13">
        <f>IF($B324="OUT",$D324,0)</f>
      </c>
    </row>
    <row x14ac:dyDescent="0.25" r="325" customHeight="1" ht="17.25">
      <c r="A325" s="52"/>
      <c r="B325" s="2"/>
      <c r="C325" s="2"/>
      <c r="D325" s="3"/>
      <c r="E325" s="3"/>
      <c r="F325" s="2"/>
      <c r="G325" s="13">
        <f>IF($B325="IN",$D325,0)</f>
      </c>
      <c r="H325" s="13">
        <f>IF($B325="OUT",$D325,0)</f>
      </c>
    </row>
    <row x14ac:dyDescent="0.25" r="326" customHeight="1" ht="17.25">
      <c r="A326" s="52"/>
      <c r="B326" s="2"/>
      <c r="C326" s="2"/>
      <c r="D326" s="3"/>
      <c r="E326" s="3"/>
      <c r="F326" s="2"/>
      <c r="G326" s="13">
        <f>IF($B326="IN",$D326,0)</f>
      </c>
      <c r="H326" s="13">
        <f>IF($B326="OUT",$D326,0)</f>
      </c>
    </row>
    <row x14ac:dyDescent="0.25" r="327" customHeight="1" ht="17.25">
      <c r="A327" s="52"/>
      <c r="B327" s="2"/>
      <c r="C327" s="2"/>
      <c r="D327" s="3"/>
      <c r="E327" s="3"/>
      <c r="F327" s="2"/>
      <c r="G327" s="13">
        <f>IF($B327="IN",$D327,0)</f>
      </c>
      <c r="H327" s="13">
        <f>IF($B327="OUT",$D327,0)</f>
      </c>
    </row>
    <row x14ac:dyDescent="0.25" r="328" customHeight="1" ht="17.25">
      <c r="A328" s="52"/>
      <c r="B328" s="2"/>
      <c r="C328" s="2"/>
      <c r="D328" s="3"/>
      <c r="E328" s="3"/>
      <c r="F328" s="2"/>
      <c r="G328" s="13">
        <f>IF($B328="IN",$D328,0)</f>
      </c>
      <c r="H328" s="13">
        <f>IF($B328="OUT",$D328,0)</f>
      </c>
    </row>
    <row x14ac:dyDescent="0.25" r="329" customHeight="1" ht="17.25">
      <c r="A329" s="52"/>
      <c r="B329" s="2"/>
      <c r="C329" s="2"/>
      <c r="D329" s="3"/>
      <c r="E329" s="3"/>
      <c r="F329" s="2"/>
      <c r="G329" s="13">
        <f>IF($B329="IN",$D329,0)</f>
      </c>
      <c r="H329" s="13">
        <f>IF($B329="OUT",$D329,0)</f>
      </c>
    </row>
    <row x14ac:dyDescent="0.25" r="330" customHeight="1" ht="17.25">
      <c r="A330" s="52"/>
      <c r="B330" s="2"/>
      <c r="C330" s="2"/>
      <c r="D330" s="3"/>
      <c r="E330" s="3"/>
      <c r="F330" s="2"/>
      <c r="G330" s="13">
        <f>IF($B330="IN",$D330,0)</f>
      </c>
      <c r="H330" s="13">
        <f>IF($B330="OUT",$D330,0)</f>
      </c>
    </row>
    <row x14ac:dyDescent="0.25" r="331" customHeight="1" ht="17.25">
      <c r="A331" s="52"/>
      <c r="B331" s="2"/>
      <c r="C331" s="2"/>
      <c r="D331" s="3"/>
      <c r="E331" s="3"/>
      <c r="F331" s="2"/>
      <c r="G331" s="13">
        <f>IF($B331="IN",$D331,0)</f>
      </c>
      <c r="H331" s="13">
        <f>IF($B331="OUT",$D331,0)</f>
      </c>
    </row>
    <row x14ac:dyDescent="0.25" r="332" customHeight="1" ht="17.25">
      <c r="A332" s="52"/>
      <c r="B332" s="2"/>
      <c r="C332" s="2"/>
      <c r="D332" s="3"/>
      <c r="E332" s="3"/>
      <c r="F332" s="2"/>
      <c r="G332" s="13">
        <f>IF($B332="IN",$D332,0)</f>
      </c>
      <c r="H332" s="13">
        <f>IF($B332="OUT",$D332,0)</f>
      </c>
    </row>
    <row x14ac:dyDescent="0.25" r="333" customHeight="1" ht="17.25">
      <c r="A333" s="52"/>
      <c r="B333" s="2"/>
      <c r="C333" s="2"/>
      <c r="D333" s="3"/>
      <c r="E333" s="3"/>
      <c r="F333" s="2"/>
      <c r="G333" s="13">
        <f>IF($B333="IN",$D333,0)</f>
      </c>
      <c r="H333" s="13">
        <f>IF($B333="OUT",$D333,0)</f>
      </c>
    </row>
    <row x14ac:dyDescent="0.25" r="334" customHeight="1" ht="17.25">
      <c r="A334" s="52"/>
      <c r="B334" s="2"/>
      <c r="C334" s="2"/>
      <c r="D334" s="3"/>
      <c r="E334" s="3"/>
      <c r="F334" s="2"/>
      <c r="G334" s="13">
        <f>IF($B334="IN",$D334,0)</f>
      </c>
      <c r="H334" s="13">
        <f>IF($B334="OUT",$D334,0)</f>
      </c>
    </row>
    <row x14ac:dyDescent="0.25" r="335" customHeight="1" ht="17.25">
      <c r="A335" s="52"/>
      <c r="B335" s="2"/>
      <c r="C335" s="2"/>
      <c r="D335" s="3"/>
      <c r="E335" s="3"/>
      <c r="F335" s="2"/>
      <c r="G335" s="13">
        <f>IF($B335="IN",$D335,0)</f>
      </c>
      <c r="H335" s="13">
        <f>IF($B335="OUT",$D335,0)</f>
      </c>
    </row>
    <row x14ac:dyDescent="0.25" r="336" customHeight="1" ht="17.25">
      <c r="A336" s="52"/>
      <c r="B336" s="2"/>
      <c r="C336" s="2"/>
      <c r="D336" s="3"/>
      <c r="E336" s="3"/>
      <c r="F336" s="2"/>
      <c r="G336" s="13">
        <f>IF($B336="IN",$D336,0)</f>
      </c>
      <c r="H336" s="13">
        <f>IF($B336="OUT",$D336,0)</f>
      </c>
    </row>
    <row x14ac:dyDescent="0.25" r="337" customHeight="1" ht="17.25">
      <c r="A337" s="52"/>
      <c r="B337" s="2"/>
      <c r="C337" s="2"/>
      <c r="D337" s="3"/>
      <c r="E337" s="3"/>
      <c r="F337" s="2"/>
      <c r="G337" s="13">
        <f>IF($B337="IN",$D337,0)</f>
      </c>
      <c r="H337" s="13">
        <f>IF($B337="OUT",$D337,0)</f>
      </c>
    </row>
    <row x14ac:dyDescent="0.25" r="338" customHeight="1" ht="17.25">
      <c r="A338" s="52"/>
      <c r="B338" s="2"/>
      <c r="C338" s="2"/>
      <c r="D338" s="3"/>
      <c r="E338" s="3"/>
      <c r="F338" s="2"/>
      <c r="G338" s="13">
        <f>IF($B338="IN",$D338,0)</f>
      </c>
      <c r="H338" s="13">
        <f>IF($B338="OUT",$D338,0)</f>
      </c>
    </row>
    <row x14ac:dyDescent="0.25" r="339" customHeight="1" ht="17.25">
      <c r="A339" s="52"/>
      <c r="B339" s="2"/>
      <c r="C339" s="2"/>
      <c r="D339" s="3"/>
      <c r="E339" s="3"/>
      <c r="F339" s="2"/>
      <c r="G339" s="13">
        <f>IF($B339="IN",$D339,0)</f>
      </c>
      <c r="H339" s="13">
        <f>IF($B339="OUT",$D339,0)</f>
      </c>
    </row>
    <row x14ac:dyDescent="0.25" r="340" customHeight="1" ht="17.25">
      <c r="A340" s="52"/>
      <c r="B340" s="2"/>
      <c r="C340" s="2"/>
      <c r="D340" s="3"/>
      <c r="E340" s="3"/>
      <c r="F340" s="2"/>
      <c r="G340" s="13">
        <f>IF($B340="IN",$D340,0)</f>
      </c>
      <c r="H340" s="13">
        <f>IF($B340="OUT",$D340,0)</f>
      </c>
    </row>
    <row x14ac:dyDescent="0.25" r="341" customHeight="1" ht="17.25">
      <c r="A341" s="52"/>
      <c r="B341" s="2"/>
      <c r="C341" s="2"/>
      <c r="D341" s="3"/>
      <c r="E341" s="3"/>
      <c r="F341" s="2"/>
      <c r="G341" s="13">
        <f>IF($B341="IN",$D341,0)</f>
      </c>
      <c r="H341" s="13">
        <f>IF($B341="OUT",$D341,0)</f>
      </c>
    </row>
    <row x14ac:dyDescent="0.25" r="342" customHeight="1" ht="17.25">
      <c r="A342" s="52"/>
      <c r="B342" s="2"/>
      <c r="C342" s="2"/>
      <c r="D342" s="3"/>
      <c r="E342" s="3"/>
      <c r="F342" s="2"/>
      <c r="G342" s="13">
        <f>IF($B342="IN",$D342,0)</f>
      </c>
      <c r="H342" s="13">
        <f>IF($B342="OUT",$D342,0)</f>
      </c>
    </row>
    <row x14ac:dyDescent="0.25" r="343" customHeight="1" ht="17.25">
      <c r="A343" s="52"/>
      <c r="B343" s="2"/>
      <c r="C343" s="2"/>
      <c r="D343" s="3"/>
      <c r="E343" s="3"/>
      <c r="F343" s="2"/>
      <c r="G343" s="13">
        <f>IF($B343="IN",$D343,0)</f>
      </c>
      <c r="H343" s="13">
        <f>IF($B343="OUT",$D343,0)</f>
      </c>
    </row>
    <row x14ac:dyDescent="0.25" r="344" customHeight="1" ht="17.25">
      <c r="A344" s="52"/>
      <c r="B344" s="2"/>
      <c r="C344" s="2"/>
      <c r="D344" s="3"/>
      <c r="E344" s="3"/>
      <c r="F344" s="2"/>
      <c r="G344" s="13">
        <f>IF($B344="IN",$D344,0)</f>
      </c>
      <c r="H344" s="13">
        <f>IF($B344="OUT",$D344,0)</f>
      </c>
    </row>
    <row x14ac:dyDescent="0.25" r="345" customHeight="1" ht="17.25">
      <c r="A345" s="52"/>
      <c r="B345" s="2"/>
      <c r="C345" s="2"/>
      <c r="D345" s="3"/>
      <c r="E345" s="3"/>
      <c r="F345" s="2"/>
      <c r="G345" s="13">
        <f>IF($B345="IN",$D345,0)</f>
      </c>
      <c r="H345" s="13">
        <f>IF($B345="OUT",$D345,0)</f>
      </c>
    </row>
    <row x14ac:dyDescent="0.25" r="346" customHeight="1" ht="17.25">
      <c r="A346" s="52"/>
      <c r="B346" s="2"/>
      <c r="C346" s="2"/>
      <c r="D346" s="3"/>
      <c r="E346" s="3"/>
      <c r="F346" s="2"/>
      <c r="G346" s="13">
        <f>IF($B346="IN",$D346,0)</f>
      </c>
      <c r="H346" s="13">
        <f>IF($B346="OUT",$D346,0)</f>
      </c>
    </row>
    <row x14ac:dyDescent="0.25" r="347" customHeight="1" ht="17.25">
      <c r="A347" s="52"/>
      <c r="B347" s="2"/>
      <c r="C347" s="2"/>
      <c r="D347" s="3"/>
      <c r="E347" s="3"/>
      <c r="F347" s="2"/>
      <c r="G347" s="13">
        <f>IF($B347="IN",$D347,0)</f>
      </c>
      <c r="H347" s="13">
        <f>IF($B347="OUT",$D347,0)</f>
      </c>
    </row>
    <row x14ac:dyDescent="0.25" r="348" customHeight="1" ht="17.25">
      <c r="A348" s="52"/>
      <c r="B348" s="2"/>
      <c r="C348" s="2"/>
      <c r="D348" s="3"/>
      <c r="E348" s="3"/>
      <c r="F348" s="2"/>
      <c r="G348" s="13">
        <f>IF($B348="IN",$D348,0)</f>
      </c>
      <c r="H348" s="13">
        <f>IF($B348="OUT",$D348,0)</f>
      </c>
    </row>
    <row x14ac:dyDescent="0.25" r="349" customHeight="1" ht="17.25">
      <c r="A349" s="52"/>
      <c r="B349" s="2"/>
      <c r="C349" s="2"/>
      <c r="D349" s="3"/>
      <c r="E349" s="3"/>
      <c r="F349" s="2"/>
      <c r="G349" s="13">
        <f>IF($B349="IN",$D349,0)</f>
      </c>
      <c r="H349" s="13">
        <f>IF($B349="OUT",$D349,0)</f>
      </c>
    </row>
    <row x14ac:dyDescent="0.25" r="350" customHeight="1" ht="17.25">
      <c r="A350" s="52"/>
      <c r="B350" s="2"/>
      <c r="C350" s="2"/>
      <c r="D350" s="3"/>
      <c r="E350" s="3"/>
      <c r="F350" s="2"/>
      <c r="G350" s="13">
        <f>IF($B350="IN",$D350,0)</f>
      </c>
      <c r="H350" s="13">
        <f>IF($B350="OUT",$D350,0)</f>
      </c>
    </row>
    <row x14ac:dyDescent="0.25" r="351" customHeight="1" ht="17.25">
      <c r="A351" s="52"/>
      <c r="B351" s="2"/>
      <c r="C351" s="2"/>
      <c r="D351" s="3"/>
      <c r="E351" s="3"/>
      <c r="F351" s="2"/>
      <c r="G351" s="13">
        <f>IF($B351="IN",$D351,0)</f>
      </c>
      <c r="H351" s="13">
        <f>IF($B351="OUT",$D351,0)</f>
      </c>
    </row>
    <row x14ac:dyDescent="0.25" r="352" customHeight="1" ht="17.25">
      <c r="A352" s="52"/>
      <c r="B352" s="2"/>
      <c r="C352" s="2"/>
      <c r="D352" s="3"/>
      <c r="E352" s="3"/>
      <c r="F352" s="2"/>
      <c r="G352" s="13">
        <f>IF($B352="IN",$D352,0)</f>
      </c>
      <c r="H352" s="13">
        <f>IF($B352="OUT",$D352,0)</f>
      </c>
    </row>
    <row x14ac:dyDescent="0.25" r="353" customHeight="1" ht="17.25">
      <c r="A353" s="52"/>
      <c r="B353" s="2"/>
      <c r="C353" s="2"/>
      <c r="D353" s="3"/>
      <c r="E353" s="3"/>
      <c r="F353" s="2"/>
      <c r="G353" s="13">
        <f>IF($B353="IN",$D353,0)</f>
      </c>
      <c r="H353" s="13">
        <f>IF($B353="OUT",$D353,0)</f>
      </c>
    </row>
    <row x14ac:dyDescent="0.25" r="354" customHeight="1" ht="17.25">
      <c r="A354" s="52"/>
      <c r="B354" s="2"/>
      <c r="C354" s="2"/>
      <c r="D354" s="3"/>
      <c r="E354" s="3"/>
      <c r="F354" s="2"/>
      <c r="G354" s="13">
        <f>IF($B354="IN",$D354,0)</f>
      </c>
      <c r="H354" s="13">
        <f>IF($B354="OUT",$D354,0)</f>
      </c>
    </row>
    <row x14ac:dyDescent="0.25" r="355" customHeight="1" ht="17.25">
      <c r="A355" s="52"/>
      <c r="B355" s="2"/>
      <c r="C355" s="2"/>
      <c r="D355" s="3"/>
      <c r="E355" s="3"/>
      <c r="F355" s="2"/>
      <c r="G355" s="13">
        <f>IF($B355="IN",$D355,0)</f>
      </c>
      <c r="H355" s="13">
        <f>IF($B355="OUT",$D355,0)</f>
      </c>
    </row>
    <row x14ac:dyDescent="0.25" r="356" customHeight="1" ht="17.25">
      <c r="A356" s="52"/>
      <c r="B356" s="2"/>
      <c r="C356" s="2"/>
      <c r="D356" s="3"/>
      <c r="E356" s="3"/>
      <c r="F356" s="2"/>
      <c r="G356" s="13">
        <f>IF($B356="IN",$D356,0)</f>
      </c>
      <c r="H356" s="13">
        <f>IF($B356="OUT",$D356,0)</f>
      </c>
    </row>
    <row x14ac:dyDescent="0.25" r="357" customHeight="1" ht="17.25">
      <c r="A357" s="52"/>
      <c r="B357" s="2"/>
      <c r="C357" s="2"/>
      <c r="D357" s="3"/>
      <c r="E357" s="3"/>
      <c r="F357" s="2"/>
      <c r="G357" s="13">
        <f>IF($B357="IN",$D357,0)</f>
      </c>
      <c r="H357" s="13">
        <f>IF($B357="OUT",$D357,0)</f>
      </c>
    </row>
    <row x14ac:dyDescent="0.25" r="358" customHeight="1" ht="17.25">
      <c r="A358" s="52"/>
      <c r="B358" s="2"/>
      <c r="C358" s="2"/>
      <c r="D358" s="3"/>
      <c r="E358" s="3"/>
      <c r="F358" s="2"/>
      <c r="G358" s="13">
        <f>IF($B358="IN",$D358,0)</f>
      </c>
      <c r="H358" s="13">
        <f>IF($B358="OUT",$D358,0)</f>
      </c>
    </row>
    <row x14ac:dyDescent="0.25" r="359" customHeight="1" ht="17.25">
      <c r="A359" s="52"/>
      <c r="B359" s="2"/>
      <c r="C359" s="2"/>
      <c r="D359" s="3"/>
      <c r="E359" s="3"/>
      <c r="F359" s="2"/>
      <c r="G359" s="13">
        <f>IF($B359="IN",$D359,0)</f>
      </c>
      <c r="H359" s="13">
        <f>IF($B359="OUT",$D359,0)</f>
      </c>
    </row>
    <row x14ac:dyDescent="0.25" r="360" customHeight="1" ht="17.25">
      <c r="A360" s="52"/>
      <c r="B360" s="2"/>
      <c r="C360" s="2"/>
      <c r="D360" s="3"/>
      <c r="E360" s="3"/>
      <c r="F360" s="2"/>
      <c r="G360" s="13">
        <f>IF($B360="IN",$D360,0)</f>
      </c>
      <c r="H360" s="13">
        <f>IF($B360="OUT",$D360,0)</f>
      </c>
    </row>
    <row x14ac:dyDescent="0.25" r="361" customHeight="1" ht="17.25">
      <c r="A361" s="52"/>
      <c r="B361" s="2"/>
      <c r="C361" s="2"/>
      <c r="D361" s="3"/>
      <c r="E361" s="3"/>
      <c r="F361" s="2"/>
      <c r="G361" s="13">
        <f>IF($B361="IN",$D361,0)</f>
      </c>
      <c r="H361" s="13">
        <f>IF($B361="OUT",$D361,0)</f>
      </c>
    </row>
    <row x14ac:dyDescent="0.25" r="362" customHeight="1" ht="17.25">
      <c r="A362" s="52"/>
      <c r="B362" s="2"/>
      <c r="C362" s="2"/>
      <c r="D362" s="3"/>
      <c r="E362" s="3"/>
      <c r="F362" s="2"/>
      <c r="G362" s="13">
        <f>IF($B362="IN",$D362,0)</f>
      </c>
      <c r="H362" s="13">
        <f>IF($B362="OUT",$D362,0)</f>
      </c>
    </row>
    <row x14ac:dyDescent="0.25" r="363" customHeight="1" ht="17.25">
      <c r="A363" s="52"/>
      <c r="B363" s="2"/>
      <c r="C363" s="2"/>
      <c r="D363" s="3"/>
      <c r="E363" s="3"/>
      <c r="F363" s="2"/>
      <c r="G363" s="13">
        <f>IF($B363="IN",$D363,0)</f>
      </c>
      <c r="H363" s="13">
        <f>IF($B363="OUT",$D363,0)</f>
      </c>
    </row>
    <row x14ac:dyDescent="0.25" r="364" customHeight="1" ht="17.25">
      <c r="A364" s="52"/>
      <c r="B364" s="2"/>
      <c r="C364" s="2"/>
      <c r="D364" s="3"/>
      <c r="E364" s="3"/>
      <c r="F364" s="2"/>
      <c r="G364" s="13">
        <f>IF($B364="IN",$D364,0)</f>
      </c>
      <c r="H364" s="13">
        <f>IF($B364="OUT",$D364,0)</f>
      </c>
    </row>
    <row x14ac:dyDescent="0.25" r="365" customHeight="1" ht="17.25">
      <c r="A365" s="52"/>
      <c r="B365" s="2"/>
      <c r="C365" s="2"/>
      <c r="D365" s="3"/>
      <c r="E365" s="3"/>
      <c r="F365" s="2"/>
      <c r="G365" s="13">
        <f>IF($B365="IN",$D365,0)</f>
      </c>
      <c r="H365" s="13">
        <f>IF($B365="OUT",$D365,0)</f>
      </c>
    </row>
    <row x14ac:dyDescent="0.25" r="366" customHeight="1" ht="17.25">
      <c r="A366" s="52"/>
      <c r="B366" s="2"/>
      <c r="C366" s="2"/>
      <c r="D366" s="3"/>
      <c r="E366" s="3"/>
      <c r="F366" s="2"/>
      <c r="G366" s="13">
        <f>IF($B366="IN",$D366,0)</f>
      </c>
      <c r="H366" s="13">
        <f>IF($B366="OUT",$D366,0)</f>
      </c>
    </row>
    <row x14ac:dyDescent="0.25" r="367" customHeight="1" ht="17.25">
      <c r="A367" s="52"/>
      <c r="B367" s="2"/>
      <c r="C367" s="2"/>
      <c r="D367" s="3"/>
      <c r="E367" s="3"/>
      <c r="F367" s="2"/>
      <c r="G367" s="13">
        <f>IF($B367="IN",$D367,0)</f>
      </c>
      <c r="H367" s="13">
        <f>IF($B367="OUT",$D367,0)</f>
      </c>
    </row>
    <row x14ac:dyDescent="0.25" r="368" customHeight="1" ht="17.25">
      <c r="A368" s="52"/>
      <c r="B368" s="2"/>
      <c r="C368" s="2"/>
      <c r="D368" s="3"/>
      <c r="E368" s="3"/>
      <c r="F368" s="2"/>
      <c r="G368" s="13">
        <f>IF($B368="IN",$D368,0)</f>
      </c>
      <c r="H368" s="13">
        <f>IF($B368="OUT",$D368,0)</f>
      </c>
    </row>
    <row x14ac:dyDescent="0.25" r="369" customHeight="1" ht="17.25">
      <c r="A369" s="52"/>
      <c r="B369" s="2"/>
      <c r="C369" s="2"/>
      <c r="D369" s="3"/>
      <c r="E369" s="3"/>
      <c r="F369" s="2"/>
      <c r="G369" s="13">
        <f>IF($B369="IN",$D369,0)</f>
      </c>
      <c r="H369" s="13">
        <f>IF($B369="OUT",$D369,0)</f>
      </c>
    </row>
    <row x14ac:dyDescent="0.25" r="370" customHeight="1" ht="17.25">
      <c r="A370" s="52"/>
      <c r="B370" s="2"/>
      <c r="C370" s="2"/>
      <c r="D370" s="3"/>
      <c r="E370" s="3"/>
      <c r="F370" s="2"/>
      <c r="G370" s="13">
        <f>IF($B370="IN",$D370,0)</f>
      </c>
      <c r="H370" s="13">
        <f>IF($B370="OUT",$D370,0)</f>
      </c>
    </row>
    <row x14ac:dyDescent="0.25" r="371" customHeight="1" ht="17.25">
      <c r="A371" s="52"/>
      <c r="B371" s="2"/>
      <c r="C371" s="2"/>
      <c r="D371" s="3"/>
      <c r="E371" s="3"/>
      <c r="F371" s="2"/>
      <c r="G371" s="13">
        <f>IF($B371="IN",$D371,0)</f>
      </c>
      <c r="H371" s="13">
        <f>IF($B371="OUT",$D371,0)</f>
      </c>
    </row>
    <row x14ac:dyDescent="0.25" r="372" customHeight="1" ht="17.25">
      <c r="A372" s="52"/>
      <c r="B372" s="2"/>
      <c r="C372" s="2"/>
      <c r="D372" s="3"/>
      <c r="E372" s="3"/>
      <c r="F372" s="2"/>
      <c r="G372" s="13">
        <f>IF($B372="IN",$D372,0)</f>
      </c>
      <c r="H372" s="13">
        <f>IF($B372="OUT",$D372,0)</f>
      </c>
    </row>
    <row x14ac:dyDescent="0.25" r="373" customHeight="1" ht="17.25">
      <c r="A373" s="52"/>
      <c r="B373" s="2"/>
      <c r="C373" s="2"/>
      <c r="D373" s="3"/>
      <c r="E373" s="3"/>
      <c r="F373" s="2"/>
      <c r="G373" s="13">
        <f>IF($B373="IN",$D373,0)</f>
      </c>
      <c r="H373" s="13">
        <f>IF($B373="OUT",$D373,0)</f>
      </c>
    </row>
    <row x14ac:dyDescent="0.25" r="374" customHeight="1" ht="17.25">
      <c r="A374" s="52"/>
      <c r="B374" s="2"/>
      <c r="C374" s="2"/>
      <c r="D374" s="3"/>
      <c r="E374" s="3"/>
      <c r="F374" s="2"/>
      <c r="G374" s="13">
        <f>IF($B374="IN",$D374,0)</f>
      </c>
      <c r="H374" s="13">
        <f>IF($B374="OUT",$D374,0)</f>
      </c>
    </row>
    <row x14ac:dyDescent="0.25" r="375" customHeight="1" ht="17.25">
      <c r="A375" s="52"/>
      <c r="B375" s="2"/>
      <c r="C375" s="2"/>
      <c r="D375" s="3"/>
      <c r="E375" s="3"/>
      <c r="F375" s="2"/>
      <c r="G375" s="13">
        <f>IF($B375="IN",$D375,0)</f>
      </c>
      <c r="H375" s="13">
        <f>IF($B375="OUT",$D375,0)</f>
      </c>
    </row>
    <row x14ac:dyDescent="0.25" r="376" customHeight="1" ht="17.25">
      <c r="A376" s="52"/>
      <c r="B376" s="2"/>
      <c r="C376" s="2"/>
      <c r="D376" s="3"/>
      <c r="E376" s="3"/>
      <c r="F376" s="2"/>
      <c r="G376" s="13">
        <f>IF($B376="IN",$D376,0)</f>
      </c>
      <c r="H376" s="13">
        <f>IF($B376="OUT",$D376,0)</f>
      </c>
    </row>
    <row x14ac:dyDescent="0.25" r="377" customHeight="1" ht="17.25">
      <c r="A377" s="52"/>
      <c r="B377" s="2"/>
      <c r="C377" s="2"/>
      <c r="D377" s="3"/>
      <c r="E377" s="3"/>
      <c r="F377" s="2"/>
      <c r="G377" s="13">
        <f>IF($B377="IN",$D377,0)</f>
      </c>
      <c r="H377" s="13">
        <f>IF($B377="OUT",$D377,0)</f>
      </c>
    </row>
    <row x14ac:dyDescent="0.25" r="378" customHeight="1" ht="17.25">
      <c r="A378" s="52"/>
      <c r="B378" s="2"/>
      <c r="C378" s="2"/>
      <c r="D378" s="3"/>
      <c r="E378" s="3"/>
      <c r="F378" s="2"/>
      <c r="G378" s="13">
        <f>IF($B378="IN",$D378,0)</f>
      </c>
      <c r="H378" s="13">
        <f>IF($B378="OUT",$D378,0)</f>
      </c>
    </row>
    <row x14ac:dyDescent="0.25" r="379" customHeight="1" ht="17.25">
      <c r="A379" s="52"/>
      <c r="B379" s="2"/>
      <c r="C379" s="2"/>
      <c r="D379" s="3"/>
      <c r="E379" s="3"/>
      <c r="F379" s="2"/>
      <c r="G379" s="13">
        <f>IF($B379="IN",$D379,0)</f>
      </c>
      <c r="H379" s="13">
        <f>IF($B379="OUT",$D379,0)</f>
      </c>
    </row>
    <row x14ac:dyDescent="0.25" r="380" customHeight="1" ht="17.25">
      <c r="A380" s="52"/>
      <c r="B380" s="2"/>
      <c r="C380" s="2"/>
      <c r="D380" s="3"/>
      <c r="E380" s="3"/>
      <c r="F380" s="2"/>
      <c r="G380" s="13">
        <f>IF($B380="IN",$D380,0)</f>
      </c>
      <c r="H380" s="13">
        <f>IF($B380="OUT",$D380,0)</f>
      </c>
    </row>
    <row x14ac:dyDescent="0.25" r="381" customHeight="1" ht="17.25">
      <c r="A381" s="52"/>
      <c r="B381" s="2"/>
      <c r="C381" s="2"/>
      <c r="D381" s="3"/>
      <c r="E381" s="3"/>
      <c r="F381" s="2"/>
      <c r="G381" s="13">
        <f>IF($B381="IN",$D381,0)</f>
      </c>
      <c r="H381" s="13">
        <f>IF($B381="OUT",$D381,0)</f>
      </c>
    </row>
    <row x14ac:dyDescent="0.25" r="382" customHeight="1" ht="17.25">
      <c r="A382" s="52"/>
      <c r="B382" s="2"/>
      <c r="C382" s="2"/>
      <c r="D382" s="3"/>
      <c r="E382" s="3"/>
      <c r="F382" s="2"/>
      <c r="G382" s="13">
        <f>IF($B382="IN",$D382,0)</f>
      </c>
      <c r="H382" s="13">
        <f>IF($B382="OUT",$D382,0)</f>
      </c>
    </row>
    <row x14ac:dyDescent="0.25" r="383" customHeight="1" ht="17.25">
      <c r="A383" s="52"/>
      <c r="B383" s="2"/>
      <c r="C383" s="2"/>
      <c r="D383" s="3"/>
      <c r="E383" s="3"/>
      <c r="F383" s="2"/>
      <c r="G383" s="13">
        <f>IF($B383="IN",$D383,0)</f>
      </c>
      <c r="H383" s="13">
        <f>IF($B383="OUT",$D383,0)</f>
      </c>
    </row>
    <row x14ac:dyDescent="0.25" r="384" customHeight="1" ht="17.25">
      <c r="A384" s="52"/>
      <c r="B384" s="2"/>
      <c r="C384" s="2"/>
      <c r="D384" s="3"/>
      <c r="E384" s="3"/>
      <c r="F384" s="2"/>
      <c r="G384" s="13">
        <f>IF($B384="IN",$D384,0)</f>
      </c>
      <c r="H384" s="13">
        <f>IF($B384="OUT",$D384,0)</f>
      </c>
    </row>
    <row x14ac:dyDescent="0.25" r="385" customHeight="1" ht="17.25">
      <c r="A385" s="52"/>
      <c r="B385" s="2"/>
      <c r="C385" s="2"/>
      <c r="D385" s="3"/>
      <c r="E385" s="3"/>
      <c r="F385" s="2"/>
      <c r="G385" s="13">
        <f>IF($B385="IN",$D385,0)</f>
      </c>
      <c r="H385" s="13">
        <f>IF($B385="OUT",$D385,0)</f>
      </c>
    </row>
    <row x14ac:dyDescent="0.25" r="386" customHeight="1" ht="17.25">
      <c r="A386" s="52"/>
      <c r="B386" s="2"/>
      <c r="C386" s="2"/>
      <c r="D386" s="3"/>
      <c r="E386" s="3"/>
      <c r="F386" s="2"/>
      <c r="G386" s="13">
        <f>IF($B386="IN",$D386,0)</f>
      </c>
      <c r="H386" s="13">
        <f>IF($B386="OUT",$D386,0)</f>
      </c>
    </row>
    <row x14ac:dyDescent="0.25" r="387" customHeight="1" ht="17.25">
      <c r="A387" s="52"/>
      <c r="B387" s="2"/>
      <c r="C387" s="2"/>
      <c r="D387" s="3"/>
      <c r="E387" s="3"/>
      <c r="F387" s="2"/>
      <c r="G387" s="13">
        <f>IF($B387="IN",$D387,0)</f>
      </c>
      <c r="H387" s="13">
        <f>IF($B387="OUT",$D387,0)</f>
      </c>
    </row>
    <row x14ac:dyDescent="0.25" r="388" customHeight="1" ht="17.25">
      <c r="A388" s="52"/>
      <c r="B388" s="2"/>
      <c r="C388" s="2"/>
      <c r="D388" s="3"/>
      <c r="E388" s="3"/>
      <c r="F388" s="2"/>
      <c r="G388" s="13">
        <f>IF($B388="IN",$D388,0)</f>
      </c>
      <c r="H388" s="13">
        <f>IF($B388="OUT",$D388,0)</f>
      </c>
    </row>
    <row x14ac:dyDescent="0.25" r="389" customHeight="1" ht="17.25">
      <c r="A389" s="52"/>
      <c r="B389" s="2"/>
      <c r="C389" s="2"/>
      <c r="D389" s="3"/>
      <c r="E389" s="3"/>
      <c r="F389" s="2"/>
      <c r="G389" s="13">
        <f>IF($B389="IN",$D389,0)</f>
      </c>
      <c r="H389" s="13">
        <f>IF($B389="OUT",$D389,0)</f>
      </c>
    </row>
    <row x14ac:dyDescent="0.25" r="390" customHeight="1" ht="17.25">
      <c r="A390" s="52"/>
      <c r="B390" s="2"/>
      <c r="C390" s="2"/>
      <c r="D390" s="3"/>
      <c r="E390" s="3"/>
      <c r="F390" s="2"/>
      <c r="G390" s="13">
        <f>IF($B390="IN",$D390,0)</f>
      </c>
      <c r="H390" s="13">
        <f>IF($B390="OUT",$D390,0)</f>
      </c>
    </row>
    <row x14ac:dyDescent="0.25" r="391" customHeight="1" ht="17.25">
      <c r="A391" s="52"/>
      <c r="B391" s="2"/>
      <c r="C391" s="2"/>
      <c r="D391" s="3"/>
      <c r="E391" s="3"/>
      <c r="F391" s="2"/>
      <c r="G391" s="13">
        <f>IF($B391="IN",$D391,0)</f>
      </c>
      <c r="H391" s="13">
        <f>IF($B391="OUT",$D391,0)</f>
      </c>
    </row>
    <row x14ac:dyDescent="0.25" r="392" customHeight="1" ht="17.25">
      <c r="A392" s="52"/>
      <c r="B392" s="2"/>
      <c r="C392" s="2"/>
      <c r="D392" s="3"/>
      <c r="E392" s="3"/>
      <c r="F392" s="2"/>
      <c r="G392" s="13">
        <f>IF($B392="IN",$D392,0)</f>
      </c>
      <c r="H392" s="13">
        <f>IF($B392="OUT",$D392,0)</f>
      </c>
    </row>
    <row x14ac:dyDescent="0.25" r="393" customHeight="1" ht="17.25">
      <c r="A393" s="52"/>
      <c r="B393" s="2"/>
      <c r="C393" s="2"/>
      <c r="D393" s="3"/>
      <c r="E393" s="3"/>
      <c r="F393" s="2"/>
      <c r="G393" s="13">
        <f>IF($B393="IN",$D393,0)</f>
      </c>
      <c r="H393" s="13">
        <f>IF($B393="OUT",$D393,0)</f>
      </c>
    </row>
    <row x14ac:dyDescent="0.25" r="394" customHeight="1" ht="17.25">
      <c r="A394" s="52"/>
      <c r="B394" s="2"/>
      <c r="C394" s="2"/>
      <c r="D394" s="3"/>
      <c r="E394" s="3"/>
      <c r="F394" s="2"/>
      <c r="G394" s="13">
        <f>IF($B394="IN",$D394,0)</f>
      </c>
      <c r="H394" s="13">
        <f>IF($B394="OUT",$D394,0)</f>
      </c>
    </row>
    <row x14ac:dyDescent="0.25" r="395" customHeight="1" ht="17.25">
      <c r="A395" s="52"/>
      <c r="B395" s="2"/>
      <c r="C395" s="2"/>
      <c r="D395" s="3"/>
      <c r="E395" s="3"/>
      <c r="F395" s="2"/>
      <c r="G395" s="13">
        <f>IF($B395="IN",$D395,0)</f>
      </c>
      <c r="H395" s="13">
        <f>IF($B395="OUT",$D395,0)</f>
      </c>
    </row>
    <row x14ac:dyDescent="0.25" r="396" customHeight="1" ht="17.25">
      <c r="A396" s="52"/>
      <c r="B396" s="2"/>
      <c r="C396" s="2"/>
      <c r="D396" s="3"/>
      <c r="E396" s="3"/>
      <c r="F396" s="2"/>
      <c r="G396" s="13">
        <f>IF($B396="IN",$D396,0)</f>
      </c>
      <c r="H396" s="13">
        <f>IF($B396="OUT",$D396,0)</f>
      </c>
    </row>
    <row x14ac:dyDescent="0.25" r="397" customHeight="1" ht="17.25">
      <c r="A397" s="52"/>
      <c r="B397" s="2"/>
      <c r="C397" s="2"/>
      <c r="D397" s="3"/>
      <c r="E397" s="3"/>
      <c r="F397" s="2"/>
      <c r="G397" s="13">
        <f>IF($B397="IN",$D397,0)</f>
      </c>
      <c r="H397" s="13">
        <f>IF($B397="OUT",$D397,0)</f>
      </c>
    </row>
    <row x14ac:dyDescent="0.25" r="398" customHeight="1" ht="17.25">
      <c r="A398" s="52"/>
      <c r="B398" s="2"/>
      <c r="C398" s="2"/>
      <c r="D398" s="3"/>
      <c r="E398" s="3"/>
      <c r="F398" s="2"/>
      <c r="G398" s="13">
        <f>IF($B398="IN",$D398,0)</f>
      </c>
      <c r="H398" s="13">
        <f>IF($B398="OUT",$D398,0)</f>
      </c>
    </row>
    <row x14ac:dyDescent="0.25" r="399" customHeight="1" ht="17.25">
      <c r="A399" s="52"/>
      <c r="B399" s="2"/>
      <c r="C399" s="2"/>
      <c r="D399" s="3"/>
      <c r="E399" s="3"/>
      <c r="F399" s="2"/>
      <c r="G399" s="13">
        <f>IF($B399="IN",$D399,0)</f>
      </c>
      <c r="H399" s="13">
        <f>IF($B399="OUT",$D399,0)</f>
      </c>
    </row>
    <row x14ac:dyDescent="0.25" r="400" customHeight="1" ht="17.25">
      <c r="A400" s="52"/>
      <c r="B400" s="2"/>
      <c r="C400" s="2"/>
      <c r="D400" s="3"/>
      <c r="E400" s="3"/>
      <c r="F400" s="2"/>
      <c r="G400" s="13">
        <f>IF($B400="IN",$D400,0)</f>
      </c>
      <c r="H400" s="13">
        <f>IF($B400="OUT",$D400,0)</f>
      </c>
    </row>
    <row x14ac:dyDescent="0.25" r="401" customHeight="1" ht="17.25">
      <c r="A401" s="52"/>
      <c r="B401" s="2"/>
      <c r="C401" s="2"/>
      <c r="D401" s="3"/>
      <c r="E401" s="3"/>
      <c r="F401" s="2"/>
      <c r="G401" s="13">
        <f>IF($B401="IN",$D401,0)</f>
      </c>
      <c r="H401" s="13">
        <f>IF($B401="OUT",$D401,0)</f>
      </c>
    </row>
    <row x14ac:dyDescent="0.25" r="402" customHeight="1" ht="17.25">
      <c r="A402" s="52"/>
      <c r="B402" s="2"/>
      <c r="C402" s="2"/>
      <c r="D402" s="3"/>
      <c r="E402" s="3"/>
      <c r="F402" s="2"/>
      <c r="G402" s="13">
        <f>IF($B402="IN",$D402,0)</f>
      </c>
      <c r="H402" s="13">
        <f>IF($B402="OUT",$D402,0)</f>
      </c>
    </row>
    <row x14ac:dyDescent="0.25" r="403" customHeight="1" ht="17.25">
      <c r="A403" s="52"/>
      <c r="B403" s="2"/>
      <c r="C403" s="2"/>
      <c r="D403" s="3"/>
      <c r="E403" s="3"/>
      <c r="F403" s="2"/>
      <c r="G403" s="13">
        <f>IF($B403="IN",$D403,0)</f>
      </c>
      <c r="H403" s="13">
        <f>IF($B403="OUT",$D403,0)</f>
      </c>
    </row>
    <row x14ac:dyDescent="0.25" r="404" customHeight="1" ht="17.25">
      <c r="A404" s="52"/>
      <c r="B404" s="2"/>
      <c r="C404" s="2"/>
      <c r="D404" s="3"/>
      <c r="E404" s="3"/>
      <c r="F404" s="2"/>
      <c r="G404" s="13">
        <f>IF($B404="IN",$D404,0)</f>
      </c>
      <c r="H404" s="13">
        <f>IF($B404="OUT",$D404,0)</f>
      </c>
    </row>
    <row x14ac:dyDescent="0.25" r="405" customHeight="1" ht="17.25">
      <c r="A405" s="52"/>
      <c r="B405" s="2"/>
      <c r="C405" s="2"/>
      <c r="D405" s="3"/>
      <c r="E405" s="3"/>
      <c r="F405" s="2"/>
      <c r="G405" s="13">
        <f>IF($B405="IN",$D405,0)</f>
      </c>
      <c r="H405" s="13">
        <f>IF($B405="OUT",$D405,0)</f>
      </c>
    </row>
    <row x14ac:dyDescent="0.25" r="406" customHeight="1" ht="17.25">
      <c r="A406" s="52"/>
      <c r="B406" s="2"/>
      <c r="C406" s="2"/>
      <c r="D406" s="3"/>
      <c r="E406" s="3"/>
      <c r="F406" s="2"/>
      <c r="G406" s="13">
        <f>IF($B406="IN",$D406,0)</f>
      </c>
      <c r="H406" s="13">
        <f>IF($B406="OUT",$D406,0)</f>
      </c>
    </row>
    <row x14ac:dyDescent="0.25" r="407" customHeight="1" ht="17.25">
      <c r="A407" s="52"/>
      <c r="B407" s="2"/>
      <c r="C407" s="2"/>
      <c r="D407" s="3"/>
      <c r="E407" s="3"/>
      <c r="F407" s="2"/>
      <c r="G407" s="13">
        <f>IF($B407="IN",$D407,0)</f>
      </c>
      <c r="H407" s="13">
        <f>IF($B407="OUT",$D407,0)</f>
      </c>
    </row>
    <row x14ac:dyDescent="0.25" r="408" customHeight="1" ht="17.25">
      <c r="A408" s="52"/>
      <c r="B408" s="2"/>
      <c r="C408" s="2"/>
      <c r="D408" s="3"/>
      <c r="E408" s="3"/>
      <c r="F408" s="2"/>
      <c r="G408" s="13">
        <f>IF($B408="IN",$D408,0)</f>
      </c>
      <c r="H408" s="13">
        <f>IF($B408="OUT",$D408,0)</f>
      </c>
    </row>
    <row x14ac:dyDescent="0.25" r="409" customHeight="1" ht="17.25">
      <c r="A409" s="52"/>
      <c r="B409" s="2"/>
      <c r="C409" s="2"/>
      <c r="D409" s="3"/>
      <c r="E409" s="3"/>
      <c r="F409" s="2"/>
      <c r="G409" s="13">
        <f>IF($B409="IN",$D409,0)</f>
      </c>
      <c r="H409" s="13">
        <f>IF($B409="OUT",$D409,0)</f>
      </c>
    </row>
    <row x14ac:dyDescent="0.25" r="410" customHeight="1" ht="17.25">
      <c r="A410" s="52"/>
      <c r="B410" s="2"/>
      <c r="C410" s="2"/>
      <c r="D410" s="3"/>
      <c r="E410" s="3"/>
      <c r="F410" s="2"/>
      <c r="G410" s="13">
        <f>IF($B410="IN",$D410,0)</f>
      </c>
      <c r="H410" s="13">
        <f>IF($B410="OUT",$D410,0)</f>
      </c>
    </row>
    <row x14ac:dyDescent="0.25" r="411" customHeight="1" ht="17.25">
      <c r="A411" s="52"/>
      <c r="B411" s="2"/>
      <c r="C411" s="2"/>
      <c r="D411" s="3"/>
      <c r="E411" s="3"/>
      <c r="F411" s="2"/>
      <c r="G411" s="13">
        <f>IF($B411="IN",$D411,0)</f>
      </c>
      <c r="H411" s="13">
        <f>IF($B411="OUT",$D411,0)</f>
      </c>
    </row>
    <row x14ac:dyDescent="0.25" r="412" customHeight="1" ht="17.25">
      <c r="A412" s="52"/>
      <c r="B412" s="2"/>
      <c r="C412" s="2"/>
      <c r="D412" s="3"/>
      <c r="E412" s="3"/>
      <c r="F412" s="2"/>
      <c r="G412" s="13">
        <f>IF($B412="IN",$D412,0)</f>
      </c>
      <c r="H412" s="13">
        <f>IF($B412="OUT",$D412,0)</f>
      </c>
    </row>
    <row x14ac:dyDescent="0.25" r="413" customHeight="1" ht="17.25">
      <c r="A413" s="52"/>
      <c r="B413" s="2"/>
      <c r="C413" s="2"/>
      <c r="D413" s="3"/>
      <c r="E413" s="3"/>
      <c r="F413" s="2"/>
      <c r="G413" s="13">
        <f>IF($B413="IN",$D413,0)</f>
      </c>
      <c r="H413" s="13">
        <f>IF($B413="OUT",$D413,0)</f>
      </c>
    </row>
    <row x14ac:dyDescent="0.25" r="414" customHeight="1" ht="17.25">
      <c r="A414" s="52"/>
      <c r="B414" s="2"/>
      <c r="C414" s="2"/>
      <c r="D414" s="3"/>
      <c r="E414" s="3"/>
      <c r="F414" s="2"/>
      <c r="G414" s="13">
        <f>IF($B414="IN",$D414,0)</f>
      </c>
      <c r="H414" s="13">
        <f>IF($B414="OUT",$D414,0)</f>
      </c>
    </row>
    <row x14ac:dyDescent="0.25" r="415" customHeight="1" ht="17.25">
      <c r="A415" s="52"/>
      <c r="B415" s="2"/>
      <c r="C415" s="2"/>
      <c r="D415" s="3"/>
      <c r="E415" s="3"/>
      <c r="F415" s="2"/>
      <c r="G415" s="13">
        <f>IF($B415="IN",$D415,0)</f>
      </c>
      <c r="H415" s="13">
        <f>IF($B415="OUT",$D415,0)</f>
      </c>
    </row>
    <row x14ac:dyDescent="0.25" r="416" customHeight="1" ht="17.25">
      <c r="A416" s="52"/>
      <c r="B416" s="2"/>
      <c r="C416" s="2"/>
      <c r="D416" s="3"/>
      <c r="E416" s="3"/>
      <c r="F416" s="2"/>
      <c r="G416" s="13">
        <f>IF($B416="IN",$D416,0)</f>
      </c>
      <c r="H416" s="13">
        <f>IF($B416="OUT",$D416,0)</f>
      </c>
    </row>
    <row x14ac:dyDescent="0.25" r="417" customHeight="1" ht="17.25">
      <c r="A417" s="52"/>
      <c r="B417" s="2"/>
      <c r="C417" s="2"/>
      <c r="D417" s="3"/>
      <c r="E417" s="3"/>
      <c r="F417" s="2"/>
      <c r="G417" s="13">
        <f>IF($B417="IN",$D417,0)</f>
      </c>
      <c r="H417" s="13">
        <f>IF($B417="OUT",$D417,0)</f>
      </c>
    </row>
    <row x14ac:dyDescent="0.25" r="418" customHeight="1" ht="17.25">
      <c r="A418" s="52"/>
      <c r="B418" s="2"/>
      <c r="C418" s="2"/>
      <c r="D418" s="3"/>
      <c r="E418" s="3"/>
      <c r="F418" s="2"/>
      <c r="G418" s="13">
        <f>IF($B418="IN",$D418,0)</f>
      </c>
      <c r="H418" s="13">
        <f>IF($B418="OUT",$D418,0)</f>
      </c>
    </row>
    <row x14ac:dyDescent="0.25" r="419" customHeight="1" ht="17.25">
      <c r="A419" s="52"/>
      <c r="B419" s="2"/>
      <c r="C419" s="2"/>
      <c r="D419" s="3"/>
      <c r="E419" s="3"/>
      <c r="F419" s="2"/>
      <c r="G419" s="13">
        <f>IF($B419="IN",$D419,0)</f>
      </c>
      <c r="H419" s="13">
        <f>IF($B419="OUT",$D419,0)</f>
      </c>
    </row>
    <row x14ac:dyDescent="0.25" r="420" customHeight="1" ht="17.25">
      <c r="A420" s="52"/>
      <c r="B420" s="2"/>
      <c r="C420" s="2"/>
      <c r="D420" s="3"/>
      <c r="E420" s="3"/>
      <c r="F420" s="2"/>
      <c r="G420" s="13">
        <f>IF($B420="IN",$D420,0)</f>
      </c>
      <c r="H420" s="13">
        <f>IF($B420="OUT",$D420,0)</f>
      </c>
    </row>
    <row x14ac:dyDescent="0.25" r="421" customHeight="1" ht="17.25">
      <c r="A421" s="52"/>
      <c r="B421" s="2"/>
      <c r="C421" s="2"/>
      <c r="D421" s="3"/>
      <c r="E421" s="3"/>
      <c r="F421" s="2"/>
      <c r="G421" s="13">
        <f>IF($B421="IN",$D421,0)</f>
      </c>
      <c r="H421" s="13">
        <f>IF($B421="OUT",$D421,0)</f>
      </c>
    </row>
    <row x14ac:dyDescent="0.25" r="422" customHeight="1" ht="17.25">
      <c r="A422" s="52"/>
      <c r="B422" s="2"/>
      <c r="C422" s="2"/>
      <c r="D422" s="3"/>
      <c r="E422" s="3"/>
      <c r="F422" s="2"/>
      <c r="G422" s="13">
        <f>IF($B422="IN",$D422,0)</f>
      </c>
      <c r="H422" s="13">
        <f>IF($B422="OUT",$D422,0)</f>
      </c>
    </row>
    <row x14ac:dyDescent="0.25" r="423" customHeight="1" ht="17.25">
      <c r="A423" s="52"/>
      <c r="B423" s="2"/>
      <c r="C423" s="2"/>
      <c r="D423" s="3"/>
      <c r="E423" s="3"/>
      <c r="F423" s="2"/>
      <c r="G423" s="13">
        <f>IF($B423="IN",$D423,0)</f>
      </c>
      <c r="H423" s="13">
        <f>IF($B423="OUT",$D423,0)</f>
      </c>
    </row>
    <row x14ac:dyDescent="0.25" r="424" customHeight="1" ht="17.25">
      <c r="A424" s="52"/>
      <c r="B424" s="2"/>
      <c r="C424" s="2"/>
      <c r="D424" s="3"/>
      <c r="E424" s="3"/>
      <c r="F424" s="2"/>
      <c r="G424" s="13">
        <f>IF($B424="IN",$D424,0)</f>
      </c>
      <c r="H424" s="13">
        <f>IF($B424="OUT",$D424,0)</f>
      </c>
    </row>
    <row x14ac:dyDescent="0.25" r="425" customHeight="1" ht="17.25">
      <c r="A425" s="52"/>
      <c r="B425" s="2"/>
      <c r="C425" s="2"/>
      <c r="D425" s="3"/>
      <c r="E425" s="3"/>
      <c r="F425" s="2"/>
      <c r="G425" s="13">
        <f>IF($B425="IN",$D425,0)</f>
      </c>
      <c r="H425" s="13">
        <f>IF($B425="OUT",$D425,0)</f>
      </c>
    </row>
    <row x14ac:dyDescent="0.25" r="426" customHeight="1" ht="17.25">
      <c r="A426" s="52"/>
      <c r="B426" s="2"/>
      <c r="C426" s="2"/>
      <c r="D426" s="3"/>
      <c r="E426" s="3"/>
      <c r="F426" s="2"/>
      <c r="G426" s="13">
        <f>IF($B426="IN",$D426,0)</f>
      </c>
      <c r="H426" s="13">
        <f>IF($B426="OUT",$D426,0)</f>
      </c>
    </row>
    <row x14ac:dyDescent="0.25" r="427" customHeight="1" ht="17.25">
      <c r="A427" s="52"/>
      <c r="B427" s="2"/>
      <c r="C427" s="2"/>
      <c r="D427" s="3"/>
      <c r="E427" s="3"/>
      <c r="F427" s="2"/>
      <c r="G427" s="13">
        <f>IF($B427="IN",$D427,0)</f>
      </c>
      <c r="H427" s="13">
        <f>IF($B427="OUT",$D427,0)</f>
      </c>
    </row>
    <row x14ac:dyDescent="0.25" r="428" customHeight="1" ht="17.25">
      <c r="A428" s="52"/>
      <c r="B428" s="2"/>
      <c r="C428" s="2"/>
      <c r="D428" s="3"/>
      <c r="E428" s="3"/>
      <c r="F428" s="2"/>
      <c r="G428" s="13">
        <f>IF($B428="IN",$D428,0)</f>
      </c>
      <c r="H428" s="13">
        <f>IF($B428="OUT",$D428,0)</f>
      </c>
    </row>
    <row x14ac:dyDescent="0.25" r="429" customHeight="1" ht="17.25">
      <c r="A429" s="52"/>
      <c r="B429" s="2"/>
      <c r="C429" s="2"/>
      <c r="D429" s="3"/>
      <c r="E429" s="3"/>
      <c r="F429" s="2"/>
      <c r="G429" s="13">
        <f>IF($B429="IN",$D429,0)</f>
      </c>
      <c r="H429" s="13">
        <f>IF($B429="OUT",$D429,0)</f>
      </c>
    </row>
    <row x14ac:dyDescent="0.25" r="430" customHeight="1" ht="17.25">
      <c r="A430" s="52"/>
      <c r="B430" s="2"/>
      <c r="C430" s="2"/>
      <c r="D430" s="3"/>
      <c r="E430" s="3"/>
      <c r="F430" s="2"/>
      <c r="G430" s="13">
        <f>IF($B430="IN",$D430,0)</f>
      </c>
      <c r="H430" s="13">
        <f>IF($B430="OUT",$D430,0)</f>
      </c>
    </row>
    <row x14ac:dyDescent="0.25" r="431" customHeight="1" ht="17.25">
      <c r="A431" s="52"/>
      <c r="B431" s="2"/>
      <c r="C431" s="2"/>
      <c r="D431" s="3"/>
      <c r="E431" s="3"/>
      <c r="F431" s="2"/>
      <c r="G431" s="13">
        <f>IF($B431="IN",$D431,0)</f>
      </c>
      <c r="H431" s="13">
        <f>IF($B431="OUT",$D431,0)</f>
      </c>
    </row>
    <row x14ac:dyDescent="0.25" r="432" customHeight="1" ht="17.25">
      <c r="A432" s="52"/>
      <c r="B432" s="2"/>
      <c r="C432" s="2"/>
      <c r="D432" s="3"/>
      <c r="E432" s="3"/>
      <c r="F432" s="2"/>
      <c r="G432" s="13">
        <f>IF($B432="IN",$D432,0)</f>
      </c>
      <c r="H432" s="13">
        <f>IF($B432="OUT",$D432,0)</f>
      </c>
    </row>
    <row x14ac:dyDescent="0.25" r="433" customHeight="1" ht="17.25">
      <c r="A433" s="52"/>
      <c r="B433" s="2"/>
      <c r="C433" s="2"/>
      <c r="D433" s="3"/>
      <c r="E433" s="3"/>
      <c r="F433" s="2"/>
      <c r="G433" s="13">
        <f>IF($B433="IN",$D433,0)</f>
      </c>
      <c r="H433" s="13">
        <f>IF($B433="OUT",$D433,0)</f>
      </c>
    </row>
    <row x14ac:dyDescent="0.25" r="434" customHeight="1" ht="17.25">
      <c r="A434" s="52"/>
      <c r="B434" s="2"/>
      <c r="C434" s="2"/>
      <c r="D434" s="3"/>
      <c r="E434" s="3"/>
      <c r="F434" s="2"/>
      <c r="G434" s="13">
        <f>IF($B434="IN",$D434,0)</f>
      </c>
      <c r="H434" s="13">
        <f>IF($B434="OUT",$D434,0)</f>
      </c>
    </row>
    <row x14ac:dyDescent="0.25" r="435" customHeight="1" ht="17.25">
      <c r="A435" s="52"/>
      <c r="B435" s="2"/>
      <c r="C435" s="2"/>
      <c r="D435" s="3"/>
      <c r="E435" s="3"/>
      <c r="F435" s="2"/>
      <c r="G435" s="13">
        <f>IF($B435="IN",$D435,0)</f>
      </c>
      <c r="H435" s="13">
        <f>IF($B435="OUT",$D435,0)</f>
      </c>
    </row>
    <row x14ac:dyDescent="0.25" r="436" customHeight="1" ht="17.25">
      <c r="A436" s="52"/>
      <c r="B436" s="2"/>
      <c r="C436" s="2"/>
      <c r="D436" s="3"/>
      <c r="E436" s="3"/>
      <c r="F436" s="2"/>
      <c r="G436" s="13">
        <f>IF($B436="IN",$D436,0)</f>
      </c>
      <c r="H436" s="13">
        <f>IF($B436="OUT",$D436,0)</f>
      </c>
    </row>
    <row x14ac:dyDescent="0.25" r="437" customHeight="1" ht="17.25">
      <c r="A437" s="52"/>
      <c r="B437" s="2"/>
      <c r="C437" s="2"/>
      <c r="D437" s="3"/>
      <c r="E437" s="3"/>
      <c r="F437" s="2"/>
      <c r="G437" s="13">
        <f>IF($B437="IN",$D437,0)</f>
      </c>
      <c r="H437" s="13">
        <f>IF($B437="OUT",$D437,0)</f>
      </c>
    </row>
    <row x14ac:dyDescent="0.25" r="438" customHeight="1" ht="17.25">
      <c r="A438" s="52"/>
      <c r="B438" s="2"/>
      <c r="C438" s="2"/>
      <c r="D438" s="3"/>
      <c r="E438" s="3"/>
      <c r="F438" s="2"/>
      <c r="G438" s="13">
        <f>IF($B438="IN",$D438,0)</f>
      </c>
      <c r="H438" s="13">
        <f>IF($B438="OUT",$D438,0)</f>
      </c>
    </row>
    <row x14ac:dyDescent="0.25" r="439" customHeight="1" ht="17.25">
      <c r="A439" s="52"/>
      <c r="B439" s="2"/>
      <c r="C439" s="2"/>
      <c r="D439" s="3"/>
      <c r="E439" s="3"/>
      <c r="F439" s="2"/>
      <c r="G439" s="13">
        <f>IF($B439="IN",$D439,0)</f>
      </c>
      <c r="H439" s="13">
        <f>IF($B439="OUT",$D439,0)</f>
      </c>
    </row>
    <row x14ac:dyDescent="0.25" r="440" customHeight="1" ht="17.25">
      <c r="A440" s="52"/>
      <c r="B440" s="2"/>
      <c r="C440" s="2"/>
      <c r="D440" s="3"/>
      <c r="E440" s="3"/>
      <c r="F440" s="2"/>
      <c r="G440" s="13">
        <f>IF($B440="IN",$D440,0)</f>
      </c>
      <c r="H440" s="13">
        <f>IF($B440="OUT",$D440,0)</f>
      </c>
    </row>
    <row x14ac:dyDescent="0.25" r="441" customHeight="1" ht="17.25">
      <c r="A441" s="52"/>
      <c r="B441" s="2"/>
      <c r="C441" s="2"/>
      <c r="D441" s="3"/>
      <c r="E441" s="3"/>
      <c r="F441" s="2"/>
      <c r="G441" s="13">
        <f>IF($B441="IN",$D441,0)</f>
      </c>
      <c r="H441" s="13">
        <f>IF($B441="OUT",$D441,0)</f>
      </c>
    </row>
    <row x14ac:dyDescent="0.25" r="442" customHeight="1" ht="17.25">
      <c r="A442" s="52"/>
      <c r="B442" s="2"/>
      <c r="C442" s="2"/>
      <c r="D442" s="3"/>
      <c r="E442" s="3"/>
      <c r="F442" s="2"/>
      <c r="G442" s="13">
        <f>IF($B442="IN",$D442,0)</f>
      </c>
      <c r="H442" s="13">
        <f>IF($B442="OUT",$D442,0)</f>
      </c>
    </row>
    <row x14ac:dyDescent="0.25" r="443" customHeight="1" ht="17.25">
      <c r="A443" s="52"/>
      <c r="B443" s="2"/>
      <c r="C443" s="2"/>
      <c r="D443" s="3"/>
      <c r="E443" s="3"/>
      <c r="F443" s="2"/>
      <c r="G443" s="13">
        <f>IF($B443="IN",$D443,0)</f>
      </c>
      <c r="H443" s="13">
        <f>IF($B443="OUT",$D443,0)</f>
      </c>
    </row>
    <row x14ac:dyDescent="0.25" r="444" customHeight="1" ht="17.25">
      <c r="A444" s="52"/>
      <c r="B444" s="2"/>
      <c r="C444" s="2"/>
      <c r="D444" s="3"/>
      <c r="E444" s="3"/>
      <c r="F444" s="2"/>
      <c r="G444" s="13">
        <f>IF($B444="IN",$D444,0)</f>
      </c>
      <c r="H444" s="13">
        <f>IF($B444="OUT",$D444,0)</f>
      </c>
    </row>
    <row x14ac:dyDescent="0.25" r="445" customHeight="1" ht="17.25">
      <c r="A445" s="52"/>
      <c r="B445" s="2"/>
      <c r="C445" s="2"/>
      <c r="D445" s="3"/>
      <c r="E445" s="3"/>
      <c r="F445" s="2"/>
      <c r="G445" s="13">
        <f>IF($B445="IN",$D445,0)</f>
      </c>
      <c r="H445" s="13">
        <f>IF($B445="OUT",$D445,0)</f>
      </c>
    </row>
    <row x14ac:dyDescent="0.25" r="446" customHeight="1" ht="17.25">
      <c r="A446" s="52"/>
      <c r="B446" s="2"/>
      <c r="C446" s="2"/>
      <c r="D446" s="3"/>
      <c r="E446" s="3"/>
      <c r="F446" s="2"/>
      <c r="G446" s="13">
        <f>IF($B446="IN",$D446,0)</f>
      </c>
      <c r="H446" s="13">
        <f>IF($B446="OUT",$D446,0)</f>
      </c>
    </row>
    <row x14ac:dyDescent="0.25" r="447" customHeight="1" ht="17.25">
      <c r="A447" s="52"/>
      <c r="B447" s="2"/>
      <c r="C447" s="2"/>
      <c r="D447" s="3"/>
      <c r="E447" s="3"/>
      <c r="F447" s="2"/>
      <c r="G447" s="13">
        <f>IF($B447="IN",$D447,0)</f>
      </c>
      <c r="H447" s="13">
        <f>IF($B447="OUT",$D447,0)</f>
      </c>
    </row>
    <row x14ac:dyDescent="0.25" r="448" customHeight="1" ht="17.25">
      <c r="A448" s="52"/>
      <c r="B448" s="2"/>
      <c r="C448" s="2"/>
      <c r="D448" s="3"/>
      <c r="E448" s="3"/>
      <c r="F448" s="2"/>
      <c r="G448" s="13">
        <f>IF($B448="IN",$D448,0)</f>
      </c>
      <c r="H448" s="13">
        <f>IF($B448="OUT",$D448,0)</f>
      </c>
    </row>
    <row x14ac:dyDescent="0.25" r="449" customHeight="1" ht="17.25">
      <c r="A449" s="52"/>
      <c r="B449" s="2"/>
      <c r="C449" s="2"/>
      <c r="D449" s="3"/>
      <c r="E449" s="3"/>
      <c r="F449" s="2"/>
      <c r="G449" s="13">
        <f>IF($B449="IN",$D449,0)</f>
      </c>
      <c r="H449" s="13">
        <f>IF($B449="OUT",$D449,0)</f>
      </c>
    </row>
    <row x14ac:dyDescent="0.25" r="450" customHeight="1" ht="17.25">
      <c r="A450" s="52"/>
      <c r="B450" s="2"/>
      <c r="C450" s="2"/>
      <c r="D450" s="3"/>
      <c r="E450" s="3"/>
      <c r="F450" s="2"/>
      <c r="G450" s="13">
        <f>IF($B450="IN",$D450,0)</f>
      </c>
      <c r="H450" s="13">
        <f>IF($B450="OUT",$D450,0)</f>
      </c>
    </row>
    <row x14ac:dyDescent="0.25" r="451" customHeight="1" ht="17.25">
      <c r="A451" s="52"/>
      <c r="B451" s="2"/>
      <c r="C451" s="2"/>
      <c r="D451" s="3"/>
      <c r="E451" s="3"/>
      <c r="F451" s="2"/>
      <c r="G451" s="13">
        <f>IF($B451="IN",$D451,0)</f>
      </c>
      <c r="H451" s="13">
        <f>IF($B451="OUT",$D451,0)</f>
      </c>
    </row>
    <row x14ac:dyDescent="0.25" r="452" customHeight="1" ht="17.25">
      <c r="A452" s="52"/>
      <c r="B452" s="2"/>
      <c r="C452" s="2"/>
      <c r="D452" s="3"/>
      <c r="E452" s="3"/>
      <c r="F452" s="2"/>
      <c r="G452" s="13">
        <f>IF($B452="IN",$D452,0)</f>
      </c>
      <c r="H452" s="13">
        <f>IF($B452="OUT",$D452,0)</f>
      </c>
    </row>
    <row x14ac:dyDescent="0.25" r="453" customHeight="1" ht="17.25">
      <c r="A453" s="52"/>
      <c r="B453" s="2"/>
      <c r="C453" s="2"/>
      <c r="D453" s="3"/>
      <c r="E453" s="3"/>
      <c r="F453" s="2"/>
      <c r="G453" s="13">
        <f>IF($B453="IN",$D453,0)</f>
      </c>
      <c r="H453" s="13">
        <f>IF($B453="OUT",$D453,0)</f>
      </c>
    </row>
    <row x14ac:dyDescent="0.25" r="454" customHeight="1" ht="17.25">
      <c r="A454" s="52"/>
      <c r="B454" s="2"/>
      <c r="C454" s="2"/>
      <c r="D454" s="3"/>
      <c r="E454" s="3"/>
      <c r="F454" s="2"/>
      <c r="G454" s="13">
        <f>IF($B454="IN",$D454,0)</f>
      </c>
      <c r="H454" s="13">
        <f>IF($B454="OUT",$D454,0)</f>
      </c>
    </row>
    <row x14ac:dyDescent="0.25" r="455" customHeight="1" ht="17.25">
      <c r="A455" s="52"/>
      <c r="B455" s="2"/>
      <c r="C455" s="2"/>
      <c r="D455" s="3"/>
      <c r="E455" s="3"/>
      <c r="F455" s="2"/>
      <c r="G455" s="13">
        <f>IF($B455="IN",$D455,0)</f>
      </c>
      <c r="H455" s="13">
        <f>IF($B455="OUT",$D455,0)</f>
      </c>
    </row>
    <row x14ac:dyDescent="0.25" r="456" customHeight="1" ht="17.25">
      <c r="A456" s="52"/>
      <c r="B456" s="2"/>
      <c r="C456" s="2"/>
      <c r="D456" s="3"/>
      <c r="E456" s="3"/>
      <c r="F456" s="2"/>
      <c r="G456" s="13">
        <f>IF($B456="IN",$D456,0)</f>
      </c>
      <c r="H456" s="13">
        <f>IF($B456="OUT",$D456,0)</f>
      </c>
    </row>
    <row x14ac:dyDescent="0.25" r="457" customHeight="1" ht="17.25">
      <c r="A457" s="52"/>
      <c r="B457" s="2"/>
      <c r="C457" s="2"/>
      <c r="D457" s="3"/>
      <c r="E457" s="3"/>
      <c r="F457" s="2"/>
      <c r="G457" s="13">
        <f>IF($B457="IN",$D457,0)</f>
      </c>
      <c r="H457" s="13">
        <f>IF($B457="OUT",$D457,0)</f>
      </c>
    </row>
    <row x14ac:dyDescent="0.25" r="458" customHeight="1" ht="17.25">
      <c r="A458" s="52"/>
      <c r="B458" s="2"/>
      <c r="C458" s="2"/>
      <c r="D458" s="3"/>
      <c r="E458" s="3"/>
      <c r="F458" s="2"/>
      <c r="G458" s="13">
        <f>IF($B458="IN",$D458,0)</f>
      </c>
      <c r="H458" s="13">
        <f>IF($B458="OUT",$D458,0)</f>
      </c>
    </row>
    <row x14ac:dyDescent="0.25" r="459" customHeight="1" ht="17.25">
      <c r="A459" s="52"/>
      <c r="B459" s="2"/>
      <c r="C459" s="2"/>
      <c r="D459" s="3"/>
      <c r="E459" s="3"/>
      <c r="F459" s="2"/>
      <c r="G459" s="13">
        <f>IF($B459="IN",$D459,0)</f>
      </c>
      <c r="H459" s="13">
        <f>IF($B459="OUT",$D459,0)</f>
      </c>
    </row>
    <row x14ac:dyDescent="0.25" r="460" customHeight="1" ht="17.25">
      <c r="A460" s="52"/>
      <c r="B460" s="2"/>
      <c r="C460" s="2"/>
      <c r="D460" s="3"/>
      <c r="E460" s="3"/>
      <c r="F460" s="2"/>
      <c r="G460" s="13">
        <f>IF($B460="IN",$D460,0)</f>
      </c>
      <c r="H460" s="13">
        <f>IF($B460="OUT",$D460,0)</f>
      </c>
    </row>
    <row x14ac:dyDescent="0.25" r="461" customHeight="1" ht="17.25">
      <c r="A461" s="52"/>
      <c r="B461" s="2"/>
      <c r="C461" s="2"/>
      <c r="D461" s="3"/>
      <c r="E461" s="3"/>
      <c r="F461" s="2"/>
      <c r="G461" s="13">
        <f>IF($B461="IN",$D461,0)</f>
      </c>
      <c r="H461" s="13">
        <f>IF($B461="OUT",$D461,0)</f>
      </c>
    </row>
    <row x14ac:dyDescent="0.25" r="462" customHeight="1" ht="17.25">
      <c r="A462" s="52"/>
      <c r="B462" s="2"/>
      <c r="C462" s="2"/>
      <c r="D462" s="3"/>
      <c r="E462" s="3"/>
      <c r="F462" s="2"/>
      <c r="G462" s="13">
        <f>IF($B462="IN",$D462,0)</f>
      </c>
      <c r="H462" s="13">
        <f>IF($B462="OUT",$D462,0)</f>
      </c>
    </row>
    <row x14ac:dyDescent="0.25" r="463" customHeight="1" ht="17.25">
      <c r="A463" s="52"/>
      <c r="B463" s="2"/>
      <c r="C463" s="2"/>
      <c r="D463" s="3"/>
      <c r="E463" s="3"/>
      <c r="F463" s="2"/>
      <c r="G463" s="13">
        <f>IF($B463="IN",$D463,0)</f>
      </c>
      <c r="H463" s="13">
        <f>IF($B463="OUT",$D463,0)</f>
      </c>
    </row>
    <row x14ac:dyDescent="0.25" r="464" customHeight="1" ht="17.25">
      <c r="A464" s="52"/>
      <c r="B464" s="2"/>
      <c r="C464" s="2"/>
      <c r="D464" s="3"/>
      <c r="E464" s="3"/>
      <c r="F464" s="2"/>
      <c r="G464" s="13">
        <f>IF($B464="IN",$D464,0)</f>
      </c>
      <c r="H464" s="13">
        <f>IF($B464="OUT",$D464,0)</f>
      </c>
    </row>
    <row x14ac:dyDescent="0.25" r="465" customHeight="1" ht="17.25">
      <c r="A465" s="52"/>
      <c r="B465" s="2"/>
      <c r="C465" s="2"/>
      <c r="D465" s="3"/>
      <c r="E465" s="3"/>
      <c r="F465" s="2"/>
      <c r="G465" s="13">
        <f>IF($B465="IN",$D465,0)</f>
      </c>
      <c r="H465" s="13">
        <f>IF($B465="OUT",$D465,0)</f>
      </c>
    </row>
    <row x14ac:dyDescent="0.25" r="466" customHeight="1" ht="17.25">
      <c r="A466" s="52"/>
      <c r="B466" s="2"/>
      <c r="C466" s="2"/>
      <c r="D466" s="3"/>
      <c r="E466" s="3"/>
      <c r="F466" s="2"/>
      <c r="G466" s="13">
        <f>IF($B466="IN",$D466,0)</f>
      </c>
      <c r="H466" s="13">
        <f>IF($B466="OUT",$D466,0)</f>
      </c>
    </row>
    <row x14ac:dyDescent="0.25" r="467" customHeight="1" ht="17.25">
      <c r="A467" s="52"/>
      <c r="B467" s="2"/>
      <c r="C467" s="2"/>
      <c r="D467" s="3"/>
      <c r="E467" s="3"/>
      <c r="F467" s="2"/>
      <c r="G467" s="13">
        <f>IF($B467="IN",$D467,0)</f>
      </c>
      <c r="H467" s="13">
        <f>IF($B467="OUT",$D467,0)</f>
      </c>
    </row>
    <row x14ac:dyDescent="0.25" r="468" customHeight="1" ht="17.25">
      <c r="A468" s="52"/>
      <c r="B468" s="2"/>
      <c r="C468" s="2"/>
      <c r="D468" s="3"/>
      <c r="E468" s="3"/>
      <c r="F468" s="2"/>
      <c r="G468" s="13">
        <f>IF($B468="IN",$D468,0)</f>
      </c>
      <c r="H468" s="13">
        <f>IF($B468="OUT",$D468,0)</f>
      </c>
    </row>
    <row x14ac:dyDescent="0.25" r="469" customHeight="1" ht="17.25">
      <c r="A469" s="52"/>
      <c r="B469" s="2"/>
      <c r="C469" s="2"/>
      <c r="D469" s="3"/>
      <c r="E469" s="3"/>
      <c r="F469" s="2"/>
      <c r="G469" s="13">
        <f>IF($B469="IN",$D469,0)</f>
      </c>
      <c r="H469" s="13">
        <f>IF($B469="OUT",$D469,0)</f>
      </c>
    </row>
    <row x14ac:dyDescent="0.25" r="470" customHeight="1" ht="17.25">
      <c r="A470" s="52"/>
      <c r="B470" s="2"/>
      <c r="C470" s="2"/>
      <c r="D470" s="3"/>
      <c r="E470" s="3"/>
      <c r="F470" s="2"/>
      <c r="G470" s="13">
        <f>IF($B470="IN",$D470,0)</f>
      </c>
      <c r="H470" s="13">
        <f>IF($B470="OUT",$D470,0)</f>
      </c>
    </row>
    <row x14ac:dyDescent="0.25" r="471" customHeight="1" ht="17.25">
      <c r="A471" s="52"/>
      <c r="B471" s="2"/>
      <c r="C471" s="2"/>
      <c r="D471" s="3"/>
      <c r="E471" s="3"/>
      <c r="F471" s="2"/>
      <c r="G471" s="13">
        <f>IF($B471="IN",$D471,0)</f>
      </c>
      <c r="H471" s="13">
        <f>IF($B471="OUT",$D471,0)</f>
      </c>
    </row>
    <row x14ac:dyDescent="0.25" r="472" customHeight="1" ht="17.25">
      <c r="A472" s="52"/>
      <c r="B472" s="2"/>
      <c r="C472" s="2"/>
      <c r="D472" s="3"/>
      <c r="E472" s="3"/>
      <c r="F472" s="2"/>
      <c r="G472" s="13">
        <f>IF($B472="IN",$D472,0)</f>
      </c>
      <c r="H472" s="13">
        <f>IF($B472="OUT",$D472,0)</f>
      </c>
    </row>
    <row x14ac:dyDescent="0.25" r="473" customHeight="1" ht="17.25">
      <c r="A473" s="52"/>
      <c r="B473" s="2"/>
      <c r="C473" s="2"/>
      <c r="D473" s="3"/>
      <c r="E473" s="3"/>
      <c r="F473" s="2"/>
      <c r="G473" s="13">
        <f>IF($B473="IN",$D473,0)</f>
      </c>
      <c r="H473" s="13">
        <f>IF($B473="OUT",$D473,0)</f>
      </c>
    </row>
    <row x14ac:dyDescent="0.25" r="474" customHeight="1" ht="17.25">
      <c r="A474" s="52"/>
      <c r="B474" s="2"/>
      <c r="C474" s="2"/>
      <c r="D474" s="3"/>
      <c r="E474" s="3"/>
      <c r="F474" s="2"/>
      <c r="G474" s="13">
        <f>IF($B474="IN",$D474,0)</f>
      </c>
      <c r="H474" s="13">
        <f>IF($B474="OUT",$D474,0)</f>
      </c>
    </row>
    <row x14ac:dyDescent="0.25" r="475" customHeight="1" ht="17.25">
      <c r="A475" s="52"/>
      <c r="B475" s="2"/>
      <c r="C475" s="2"/>
      <c r="D475" s="3"/>
      <c r="E475" s="3"/>
      <c r="F475" s="2"/>
      <c r="G475" s="13">
        <f>IF($B475="IN",$D475,0)</f>
      </c>
      <c r="H475" s="13">
        <f>IF($B475="OUT",$D475,0)</f>
      </c>
    </row>
    <row x14ac:dyDescent="0.25" r="476" customHeight="1" ht="17.25">
      <c r="A476" s="52"/>
      <c r="B476" s="2"/>
      <c r="C476" s="2"/>
      <c r="D476" s="3"/>
      <c r="E476" s="3"/>
      <c r="F476" s="2"/>
      <c r="G476" s="13">
        <f>IF($B476="IN",$D476,0)</f>
      </c>
      <c r="H476" s="13">
        <f>IF($B476="OUT",$D476,0)</f>
      </c>
    </row>
    <row x14ac:dyDescent="0.25" r="477" customHeight="1" ht="17.25">
      <c r="A477" s="52"/>
      <c r="B477" s="2"/>
      <c r="C477" s="2"/>
      <c r="D477" s="3"/>
      <c r="E477" s="3"/>
      <c r="F477" s="2"/>
      <c r="G477" s="13">
        <f>IF($B477="IN",$D477,0)</f>
      </c>
      <c r="H477" s="13">
        <f>IF($B477="OUT",$D477,0)</f>
      </c>
    </row>
    <row x14ac:dyDescent="0.25" r="478" customHeight="1" ht="17.25">
      <c r="A478" s="52"/>
      <c r="B478" s="2"/>
      <c r="C478" s="2"/>
      <c r="D478" s="3"/>
      <c r="E478" s="3"/>
      <c r="F478" s="2"/>
      <c r="G478" s="13">
        <f>IF($B478="IN",$D478,0)</f>
      </c>
      <c r="H478" s="13">
        <f>IF($B478="OUT",$D478,0)</f>
      </c>
    </row>
    <row x14ac:dyDescent="0.25" r="479" customHeight="1" ht="17.25">
      <c r="A479" s="52"/>
      <c r="B479" s="2"/>
      <c r="C479" s="2"/>
      <c r="D479" s="3"/>
      <c r="E479" s="3"/>
      <c r="F479" s="2"/>
      <c r="G479" s="13">
        <f>IF($B479="IN",$D479,0)</f>
      </c>
      <c r="H479" s="13">
        <f>IF($B479="OUT",$D479,0)</f>
      </c>
    </row>
    <row x14ac:dyDescent="0.25" r="480" customHeight="1" ht="17.25">
      <c r="A480" s="52"/>
      <c r="B480" s="2"/>
      <c r="C480" s="2"/>
      <c r="D480" s="3"/>
      <c r="E480" s="3"/>
      <c r="F480" s="2"/>
      <c r="G480" s="13">
        <f>IF($B480="IN",$D480,0)</f>
      </c>
      <c r="H480" s="13">
        <f>IF($B480="OUT",$D480,0)</f>
      </c>
    </row>
    <row x14ac:dyDescent="0.25" r="481" customHeight="1" ht="17.25">
      <c r="A481" s="52"/>
      <c r="B481" s="2"/>
      <c r="C481" s="2"/>
      <c r="D481" s="3"/>
      <c r="E481" s="3"/>
      <c r="F481" s="2"/>
      <c r="G481" s="13">
        <f>IF($B481="IN",$D481,0)</f>
      </c>
      <c r="H481" s="13">
        <f>IF($B481="OUT",$D481,0)</f>
      </c>
    </row>
    <row x14ac:dyDescent="0.25" r="482" customHeight="1" ht="17.25">
      <c r="A482" s="52"/>
      <c r="B482" s="2"/>
      <c r="C482" s="2"/>
      <c r="D482" s="3"/>
      <c r="E482" s="3"/>
      <c r="F482" s="2"/>
      <c r="G482" s="13">
        <f>IF($B482="IN",$D482,0)</f>
      </c>
      <c r="H482" s="13">
        <f>IF($B482="OUT",$D482,0)</f>
      </c>
    </row>
    <row x14ac:dyDescent="0.25" r="483" customHeight="1" ht="17.25">
      <c r="A483" s="52"/>
      <c r="B483" s="2"/>
      <c r="C483" s="2"/>
      <c r="D483" s="3"/>
      <c r="E483" s="3"/>
      <c r="F483" s="2"/>
      <c r="G483" s="13">
        <f>IF($B483="IN",$D483,0)</f>
      </c>
      <c r="H483" s="13">
        <f>IF($B483="OUT",$D483,0)</f>
      </c>
    </row>
    <row x14ac:dyDescent="0.25" r="484" customHeight="1" ht="17.25">
      <c r="A484" s="52"/>
      <c r="B484" s="2"/>
      <c r="C484" s="2"/>
      <c r="D484" s="3"/>
      <c r="E484" s="3"/>
      <c r="F484" s="2"/>
      <c r="G484" s="13">
        <f>IF($B484="IN",$D484,0)</f>
      </c>
      <c r="H484" s="13">
        <f>IF($B484="OUT",$D484,0)</f>
      </c>
    </row>
    <row x14ac:dyDescent="0.25" r="485" customHeight="1" ht="17.25">
      <c r="A485" s="52"/>
      <c r="B485" s="2"/>
      <c r="C485" s="2"/>
      <c r="D485" s="3"/>
      <c r="E485" s="3"/>
      <c r="F485" s="2"/>
      <c r="G485" s="13">
        <f>IF($B485="IN",$D485,0)</f>
      </c>
      <c r="H485" s="13">
        <f>IF($B485="OUT",$D485,0)</f>
      </c>
    </row>
    <row x14ac:dyDescent="0.25" r="486" customHeight="1" ht="17.25">
      <c r="A486" s="52"/>
      <c r="B486" s="2"/>
      <c r="C486" s="2"/>
      <c r="D486" s="3"/>
      <c r="E486" s="3"/>
      <c r="F486" s="2"/>
      <c r="G486" s="13">
        <f>IF($B486="IN",$D486,0)</f>
      </c>
      <c r="H486" s="13">
        <f>IF($B486="OUT",$D486,0)</f>
      </c>
    </row>
    <row x14ac:dyDescent="0.25" r="487" customHeight="1" ht="17.25">
      <c r="A487" s="52"/>
      <c r="B487" s="2"/>
      <c r="C487" s="2"/>
      <c r="D487" s="3"/>
      <c r="E487" s="3"/>
      <c r="F487" s="2"/>
      <c r="G487" s="13">
        <f>IF($B487="IN",$D487,0)</f>
      </c>
      <c r="H487" s="13">
        <f>IF($B487="OUT",$D487,0)</f>
      </c>
    </row>
    <row x14ac:dyDescent="0.25" r="488" customHeight="1" ht="17.25">
      <c r="A488" s="52"/>
      <c r="B488" s="2"/>
      <c r="C488" s="2"/>
      <c r="D488" s="3"/>
      <c r="E488" s="3"/>
      <c r="F488" s="2"/>
      <c r="G488" s="13">
        <f>IF($B488="IN",$D488,0)</f>
      </c>
      <c r="H488" s="13">
        <f>IF($B488="OUT",$D488,0)</f>
      </c>
    </row>
    <row x14ac:dyDescent="0.25" r="489" customHeight="1" ht="17.25">
      <c r="A489" s="52"/>
      <c r="B489" s="2"/>
      <c r="C489" s="2"/>
      <c r="D489" s="3"/>
      <c r="E489" s="3"/>
      <c r="F489" s="2"/>
      <c r="G489" s="13">
        <f>IF($B489="IN",$D489,0)</f>
      </c>
      <c r="H489" s="13">
        <f>IF($B489="OUT",$D489,0)</f>
      </c>
    </row>
    <row x14ac:dyDescent="0.25" r="490" customHeight="1" ht="17.25">
      <c r="A490" s="52"/>
      <c r="B490" s="2"/>
      <c r="C490" s="2"/>
      <c r="D490" s="3"/>
      <c r="E490" s="3"/>
      <c r="F490" s="2"/>
      <c r="G490" s="13">
        <f>IF($B490="IN",$D490,0)</f>
      </c>
      <c r="H490" s="13">
        <f>IF($B490="OUT",$D490,0)</f>
      </c>
    </row>
    <row x14ac:dyDescent="0.25" r="491" customHeight="1" ht="17.25">
      <c r="A491" s="52"/>
      <c r="B491" s="2"/>
      <c r="C491" s="2"/>
      <c r="D491" s="3"/>
      <c r="E491" s="3"/>
      <c r="F491" s="2"/>
      <c r="G491" s="13">
        <f>IF($B491="IN",$D491,0)</f>
      </c>
      <c r="H491" s="13">
        <f>IF($B491="OUT",$D491,0)</f>
      </c>
    </row>
    <row x14ac:dyDescent="0.25" r="492" customHeight="1" ht="17.25">
      <c r="A492" s="52"/>
      <c r="B492" s="2"/>
      <c r="C492" s="2"/>
      <c r="D492" s="3"/>
      <c r="E492" s="3"/>
      <c r="F492" s="2"/>
      <c r="G492" s="13">
        <f>IF($B492="IN",$D492,0)</f>
      </c>
      <c r="H492" s="13">
        <f>IF($B492="OUT",$D492,0)</f>
      </c>
    </row>
    <row x14ac:dyDescent="0.25" r="493" customHeight="1" ht="17.25">
      <c r="A493" s="52"/>
      <c r="B493" s="2"/>
      <c r="C493" s="2"/>
      <c r="D493" s="3"/>
      <c r="E493" s="3"/>
      <c r="F493" s="2"/>
      <c r="G493" s="13">
        <f>IF($B493="IN",$D493,0)</f>
      </c>
      <c r="H493" s="13">
        <f>IF($B493="OUT",$D493,0)</f>
      </c>
    </row>
    <row x14ac:dyDescent="0.25" r="494" customHeight="1" ht="17.25">
      <c r="A494" s="52"/>
      <c r="B494" s="2"/>
      <c r="C494" s="2"/>
      <c r="D494" s="3"/>
      <c r="E494" s="3"/>
      <c r="F494" s="2"/>
      <c r="G494" s="13">
        <f>IF($B494="IN",$D494,0)</f>
      </c>
      <c r="H494" s="13">
        <f>IF($B494="OUT",$D494,0)</f>
      </c>
    </row>
    <row x14ac:dyDescent="0.25" r="495" customHeight="1" ht="17.25">
      <c r="A495" s="52"/>
      <c r="B495" s="2"/>
      <c r="C495" s="2"/>
      <c r="D495" s="3"/>
      <c r="E495" s="3"/>
      <c r="F495" s="2"/>
      <c r="G495" s="13">
        <f>IF($B495="IN",$D495,0)</f>
      </c>
      <c r="H495" s="13">
        <f>IF($B495="OUT",$D495,0)</f>
      </c>
    </row>
    <row x14ac:dyDescent="0.25" r="496" customHeight="1" ht="17.25">
      <c r="A496" s="52"/>
      <c r="B496" s="2"/>
      <c r="C496" s="2"/>
      <c r="D496" s="3"/>
      <c r="E496" s="3"/>
      <c r="F496" s="2"/>
      <c r="G496" s="13">
        <f>IF($B496="IN",$D496,0)</f>
      </c>
      <c r="H496" s="13">
        <f>IF($B496="OUT",$D496,0)</f>
      </c>
    </row>
    <row x14ac:dyDescent="0.25" r="497" customHeight="1" ht="17.25">
      <c r="A497" s="52"/>
      <c r="B497" s="2"/>
      <c r="C497" s="2"/>
      <c r="D497" s="3"/>
      <c r="E497" s="3"/>
      <c r="F497" s="2"/>
      <c r="G497" s="13">
        <f>IF($B497="IN",$D497,0)</f>
      </c>
      <c r="H497" s="13">
        <f>IF($B497="OUT",$D497,0)</f>
      </c>
    </row>
    <row x14ac:dyDescent="0.25" r="498" customHeight="1" ht="17.25">
      <c r="A498" s="52"/>
      <c r="B498" s="2"/>
      <c r="C498" s="2"/>
      <c r="D498" s="3"/>
      <c r="E498" s="3"/>
      <c r="F498" s="2"/>
      <c r="G498" s="13">
        <f>IF($B498="IN",$D498,0)</f>
      </c>
      <c r="H498" s="13">
        <f>IF($B498="OUT",$D498,0)</f>
      </c>
    </row>
    <row x14ac:dyDescent="0.25" r="499" customHeight="1" ht="17.25">
      <c r="A499" s="52"/>
      <c r="B499" s="2"/>
      <c r="C499" s="2"/>
      <c r="D499" s="3"/>
      <c r="E499" s="3"/>
      <c r="F499" s="2"/>
      <c r="G499" s="13">
        <f>IF($B499="IN",$D499,0)</f>
      </c>
      <c r="H499" s="13">
        <f>IF($B499="OUT",$D499,0)</f>
      </c>
    </row>
    <row x14ac:dyDescent="0.25" r="500" customHeight="1" ht="17.25">
      <c r="A500" s="52"/>
      <c r="B500" s="2"/>
      <c r="C500" s="2"/>
      <c r="D500" s="3"/>
      <c r="E500" s="3"/>
      <c r="F500" s="2"/>
      <c r="G500" s="13">
        <f>IF($B500="IN",$D500,0)</f>
      </c>
      <c r="H500" s="13">
        <f>IF($B500="OUT",$D500,0)</f>
      </c>
    </row>
    <row x14ac:dyDescent="0.25" r="501" customHeight="1" ht="17.25">
      <c r="A501" s="52"/>
      <c r="B501" s="2"/>
      <c r="C501" s="2"/>
      <c r="D501" s="3"/>
      <c r="E501" s="3"/>
      <c r="F501" s="2"/>
      <c r="G501" s="13">
        <f>IF($B501="IN",$D501,0)</f>
      </c>
      <c r="H501" s="13">
        <f>IF($B501="OUT",$D501,0)</f>
      </c>
    </row>
    <row x14ac:dyDescent="0.25" r="502" customHeight="1" ht="17.25">
      <c r="A502" s="52"/>
      <c r="B502" s="2"/>
      <c r="C502" s="2"/>
      <c r="D502" s="3"/>
      <c r="E502" s="3"/>
      <c r="F502" s="2"/>
      <c r="G502" s="13">
        <f>IF($B502="IN",$D502,0)</f>
      </c>
      <c r="H502" s="13">
        <f>IF($B502="OUT",$D502,0)</f>
      </c>
    </row>
    <row x14ac:dyDescent="0.25" r="503" customHeight="1" ht="17.25">
      <c r="A503" s="52"/>
      <c r="B503" s="2"/>
      <c r="C503" s="2"/>
      <c r="D503" s="3"/>
      <c r="E503" s="3"/>
      <c r="F503" s="2"/>
      <c r="G503" s="13">
        <f>IF($B503="IN",$D503,0)</f>
      </c>
      <c r="H503" s="13">
        <f>IF($B503="OUT",$D503,0)</f>
      </c>
    </row>
    <row x14ac:dyDescent="0.25" r="504" customHeight="1" ht="17.25">
      <c r="A504" s="52"/>
      <c r="B504" s="2"/>
      <c r="C504" s="2"/>
      <c r="D504" s="3"/>
      <c r="E504" s="3"/>
      <c r="F504" s="2"/>
      <c r="G504" s="13">
        <f>IF($B504="IN",$D504,0)</f>
      </c>
      <c r="H504" s="13">
        <f>IF($B504="OUT",$D504,0)</f>
      </c>
    </row>
    <row x14ac:dyDescent="0.25" r="505" customHeight="1" ht="17.25">
      <c r="A505" s="52"/>
      <c r="B505" s="2"/>
      <c r="C505" s="2"/>
      <c r="D505" s="3"/>
      <c r="E505" s="3"/>
      <c r="F505" s="2"/>
      <c r="G505" s="13">
        <f>IF($B505="IN",$D505,0)</f>
      </c>
      <c r="H505" s="13">
        <f>IF($B505="OUT",$D505,0)</f>
      </c>
    </row>
    <row x14ac:dyDescent="0.25" r="506" customHeight="1" ht="17.25">
      <c r="A506" s="52"/>
      <c r="B506" s="2"/>
      <c r="C506" s="2"/>
      <c r="D506" s="3"/>
      <c r="E506" s="3"/>
      <c r="F506" s="2"/>
      <c r="G506" s="13">
        <f>IF($B506="IN",$D506,0)</f>
      </c>
      <c r="H506" s="13">
        <f>IF($B506="OUT",$D506,0)</f>
      </c>
    </row>
    <row x14ac:dyDescent="0.25" r="507" customHeight="1" ht="17.25">
      <c r="A507" s="52"/>
      <c r="B507" s="2"/>
      <c r="C507" s="2"/>
      <c r="D507" s="3"/>
      <c r="E507" s="3"/>
      <c r="F507" s="2"/>
      <c r="G507" s="13">
        <f>IF($B507="IN",$D507,0)</f>
      </c>
      <c r="H507" s="13">
        <f>IF($B507="OUT",$D507,0)</f>
      </c>
    </row>
    <row x14ac:dyDescent="0.25" r="508" customHeight="1" ht="17.25">
      <c r="A508" s="52"/>
      <c r="B508" s="2"/>
      <c r="C508" s="2"/>
      <c r="D508" s="3"/>
      <c r="E508" s="3"/>
      <c r="F508" s="2"/>
      <c r="G508" s="13">
        <f>IF($B508="IN",$D508,0)</f>
      </c>
      <c r="H508" s="13">
        <f>IF($B508="OUT",$D508,0)</f>
      </c>
    </row>
    <row x14ac:dyDescent="0.25" r="509" customHeight="1" ht="17.25">
      <c r="A509" s="52"/>
      <c r="B509" s="2"/>
      <c r="C509" s="2"/>
      <c r="D509" s="3"/>
      <c r="E509" s="3"/>
      <c r="F509" s="2"/>
      <c r="G509" s="13">
        <f>IF($B509="IN",$D509,0)</f>
      </c>
      <c r="H509" s="13">
        <f>IF($B509="OUT",$D509,0)</f>
      </c>
    </row>
    <row x14ac:dyDescent="0.25" r="510" customHeight="1" ht="17.25">
      <c r="A510" s="52"/>
      <c r="B510" s="2"/>
      <c r="C510" s="2"/>
      <c r="D510" s="3"/>
      <c r="E510" s="3"/>
      <c r="F510" s="2"/>
      <c r="G510" s="13">
        <f>IF($B510="IN",$D510,0)</f>
      </c>
      <c r="H510" s="13">
        <f>IF($B510="OUT",$D510,0)</f>
      </c>
    </row>
    <row x14ac:dyDescent="0.25" r="511" customHeight="1" ht="17.25">
      <c r="A511" s="52"/>
      <c r="B511" s="2"/>
      <c r="C511" s="2"/>
      <c r="D511" s="3"/>
      <c r="E511" s="3"/>
      <c r="F511" s="2"/>
      <c r="G511" s="13">
        <f>IF($B511="IN",$D511,0)</f>
      </c>
      <c r="H511" s="13">
        <f>IF($B511="OUT",$D511,0)</f>
      </c>
    </row>
    <row x14ac:dyDescent="0.25" r="512" customHeight="1" ht="17.25">
      <c r="A512" s="52"/>
      <c r="B512" s="2"/>
      <c r="C512" s="2"/>
      <c r="D512" s="3"/>
      <c r="E512" s="3"/>
      <c r="F512" s="2"/>
      <c r="G512" s="13">
        <f>IF($B512="IN",$D512,0)</f>
      </c>
      <c r="H512" s="13">
        <f>IF($B512="OUT",$D512,0)</f>
      </c>
    </row>
    <row x14ac:dyDescent="0.25" r="513" customHeight="1" ht="17.25">
      <c r="A513" s="52"/>
      <c r="B513" s="2"/>
      <c r="C513" s="2"/>
      <c r="D513" s="3"/>
      <c r="E513" s="3"/>
      <c r="F513" s="2"/>
      <c r="G513" s="13">
        <f>IF($B513="IN",$D513,0)</f>
      </c>
      <c r="H513" s="13">
        <f>IF($B513="OUT",$D513,0)</f>
      </c>
    </row>
    <row x14ac:dyDescent="0.25" r="514" customHeight="1" ht="17.25">
      <c r="A514" s="52"/>
      <c r="B514" s="2"/>
      <c r="C514" s="2"/>
      <c r="D514" s="3"/>
      <c r="E514" s="3"/>
      <c r="F514" s="2"/>
      <c r="G514" s="13">
        <f>IF($B514="IN",$D514,0)</f>
      </c>
      <c r="H514" s="13">
        <f>IF($B514="OUT",$D514,0)</f>
      </c>
    </row>
    <row x14ac:dyDescent="0.25" r="515" customHeight="1" ht="17.25">
      <c r="A515" s="52"/>
      <c r="B515" s="2"/>
      <c r="C515" s="2"/>
      <c r="D515" s="3"/>
      <c r="E515" s="3"/>
      <c r="F515" s="2"/>
      <c r="G515" s="13">
        <f>IF($B515="IN",$D515,0)</f>
      </c>
      <c r="H515" s="13">
        <f>IF($B515="OUT",$D515,0)</f>
      </c>
    </row>
    <row x14ac:dyDescent="0.25" r="516" customHeight="1" ht="17.25">
      <c r="A516" s="52"/>
      <c r="B516" s="2"/>
      <c r="C516" s="2"/>
      <c r="D516" s="3"/>
      <c r="E516" s="3"/>
      <c r="F516" s="2"/>
      <c r="G516" s="13">
        <f>IF($B516="IN",$D516,0)</f>
      </c>
      <c r="H516" s="13">
        <f>IF($B516="OUT",$D516,0)</f>
      </c>
    </row>
    <row x14ac:dyDescent="0.25" r="517" customHeight="1" ht="17.25">
      <c r="A517" s="52"/>
      <c r="B517" s="2"/>
      <c r="C517" s="2"/>
      <c r="D517" s="3"/>
      <c r="E517" s="3"/>
      <c r="F517" s="2"/>
      <c r="G517" s="13">
        <f>IF($B517="IN",$D517,0)</f>
      </c>
      <c r="H517" s="13">
        <f>IF($B517="OUT",$D517,0)</f>
      </c>
    </row>
    <row x14ac:dyDescent="0.25" r="518" customHeight="1" ht="17.25">
      <c r="A518" s="52"/>
      <c r="B518" s="2"/>
      <c r="C518" s="2"/>
      <c r="D518" s="3"/>
      <c r="E518" s="3"/>
      <c r="F518" s="2"/>
      <c r="G518" s="13">
        <f>IF($B518="IN",$D518,0)</f>
      </c>
      <c r="H518" s="13">
        <f>IF($B518="OUT",$D518,0)</f>
      </c>
    </row>
    <row x14ac:dyDescent="0.25" r="519" customHeight="1" ht="17.25">
      <c r="A519" s="52"/>
      <c r="B519" s="2"/>
      <c r="C519" s="2"/>
      <c r="D519" s="3"/>
      <c r="E519" s="3"/>
      <c r="F519" s="2"/>
      <c r="G519" s="13">
        <f>IF($B519="IN",$D519,0)</f>
      </c>
      <c r="H519" s="13">
        <f>IF($B519="OUT",$D519,0)</f>
      </c>
    </row>
    <row x14ac:dyDescent="0.25" r="520" customHeight="1" ht="17.25">
      <c r="A520" s="52"/>
      <c r="B520" s="2"/>
      <c r="C520" s="2"/>
      <c r="D520" s="3"/>
      <c r="E520" s="3"/>
      <c r="F520" s="2"/>
      <c r="G520" s="13">
        <f>IF($B520="IN",$D520,0)</f>
      </c>
      <c r="H520" s="13">
        <f>IF($B520="OUT",$D520,0)</f>
      </c>
    </row>
    <row x14ac:dyDescent="0.25" r="521" customHeight="1" ht="17.25">
      <c r="A521" s="52"/>
      <c r="B521" s="2"/>
      <c r="C521" s="2"/>
      <c r="D521" s="3"/>
      <c r="E521" s="3"/>
      <c r="F521" s="2"/>
      <c r="G521" s="13">
        <f>IF($B521="IN",$D521,0)</f>
      </c>
      <c r="H521" s="13">
        <f>IF($B521="OUT",$D521,0)</f>
      </c>
    </row>
    <row x14ac:dyDescent="0.25" r="522" customHeight="1" ht="17.25">
      <c r="A522" s="52"/>
      <c r="B522" s="2"/>
      <c r="C522" s="2"/>
      <c r="D522" s="3"/>
      <c r="E522" s="3"/>
      <c r="F522" s="2"/>
      <c r="G522" s="13">
        <f>IF($B522="IN",$D522,0)</f>
      </c>
      <c r="H522" s="13">
        <f>IF($B522="OUT",$D522,0)</f>
      </c>
    </row>
    <row x14ac:dyDescent="0.25" r="523" customHeight="1" ht="17.25">
      <c r="A523" s="52"/>
      <c r="B523" s="2"/>
      <c r="C523" s="2"/>
      <c r="D523" s="3"/>
      <c r="E523" s="3"/>
      <c r="F523" s="2"/>
      <c r="G523" s="13">
        <f>IF($B523="IN",$D523,0)</f>
      </c>
      <c r="H523" s="13">
        <f>IF($B523="OUT",$D523,0)</f>
      </c>
    </row>
    <row x14ac:dyDescent="0.25" r="524" customHeight="1" ht="17.25">
      <c r="A524" s="52"/>
      <c r="B524" s="2"/>
      <c r="C524" s="2"/>
      <c r="D524" s="3"/>
      <c r="E524" s="3"/>
      <c r="F524" s="2"/>
      <c r="G524" s="13">
        <f>IF($B524="IN",$D524,0)</f>
      </c>
      <c r="H524" s="13">
        <f>IF($B524="OUT",$D524,0)</f>
      </c>
    </row>
    <row x14ac:dyDescent="0.25" r="525" customHeight="1" ht="17.25">
      <c r="A525" s="52"/>
      <c r="B525" s="2"/>
      <c r="C525" s="2"/>
      <c r="D525" s="3"/>
      <c r="E525" s="3"/>
      <c r="F525" s="2"/>
      <c r="G525" s="13">
        <f>IF($B525="IN",$D525,0)</f>
      </c>
      <c r="H525" s="13">
        <f>IF($B525="OUT",$D525,0)</f>
      </c>
    </row>
    <row x14ac:dyDescent="0.25" r="526" customHeight="1" ht="17.25">
      <c r="A526" s="52"/>
      <c r="B526" s="2"/>
      <c r="C526" s="2"/>
      <c r="D526" s="3"/>
      <c r="E526" s="3"/>
      <c r="F526" s="2"/>
      <c r="G526" s="13">
        <f>IF($B526="IN",$D526,0)</f>
      </c>
      <c r="H526" s="13">
        <f>IF($B526="OUT",$D526,0)</f>
      </c>
    </row>
    <row x14ac:dyDescent="0.25" r="527" customHeight="1" ht="17.25">
      <c r="A527" s="52"/>
      <c r="B527" s="2"/>
      <c r="C527" s="2"/>
      <c r="D527" s="3"/>
      <c r="E527" s="3"/>
      <c r="F527" s="2"/>
      <c r="G527" s="13">
        <f>IF($B527="IN",$D527,0)</f>
      </c>
      <c r="H527" s="13">
        <f>IF($B527="OUT",$D527,0)</f>
      </c>
    </row>
    <row x14ac:dyDescent="0.25" r="528" customHeight="1" ht="17.25">
      <c r="A528" s="52"/>
      <c r="B528" s="2"/>
      <c r="C528" s="2"/>
      <c r="D528" s="3"/>
      <c r="E528" s="3"/>
      <c r="F528" s="2"/>
      <c r="G528" s="13">
        <f>IF($B528="IN",$D528,0)</f>
      </c>
      <c r="H528" s="13">
        <f>IF($B528="OUT",$D528,0)</f>
      </c>
    </row>
    <row x14ac:dyDescent="0.25" r="529" customHeight="1" ht="17.25">
      <c r="A529" s="52"/>
      <c r="B529" s="2"/>
      <c r="C529" s="2"/>
      <c r="D529" s="3"/>
      <c r="E529" s="3"/>
      <c r="F529" s="2"/>
      <c r="G529" s="13">
        <f>IF($B529="IN",$D529,0)</f>
      </c>
      <c r="H529" s="13">
        <f>IF($B529="OUT",$D529,0)</f>
      </c>
    </row>
    <row x14ac:dyDescent="0.25" r="530" customHeight="1" ht="17.25">
      <c r="A530" s="52"/>
      <c r="B530" s="2"/>
      <c r="C530" s="2"/>
      <c r="D530" s="3"/>
      <c r="E530" s="3"/>
      <c r="F530" s="2"/>
      <c r="G530" s="13">
        <f>IF($B530="IN",$D530,0)</f>
      </c>
      <c r="H530" s="13">
        <f>IF($B530="OUT",$D530,0)</f>
      </c>
    </row>
    <row x14ac:dyDescent="0.25" r="531" customHeight="1" ht="17.25">
      <c r="A531" s="52"/>
      <c r="B531" s="2"/>
      <c r="C531" s="2"/>
      <c r="D531" s="3"/>
      <c r="E531" s="3"/>
      <c r="F531" s="2"/>
      <c r="G531" s="13">
        <f>IF($B531="IN",$D531,0)</f>
      </c>
      <c r="H531" s="13">
        <f>IF($B531="OUT",$D531,0)</f>
      </c>
    </row>
    <row x14ac:dyDescent="0.25" r="532" customHeight="1" ht="17.25">
      <c r="A532" s="52"/>
      <c r="B532" s="2"/>
      <c r="C532" s="2"/>
      <c r="D532" s="3"/>
      <c r="E532" s="3"/>
      <c r="F532" s="2"/>
      <c r="G532" s="13">
        <f>IF($B532="IN",$D532,0)</f>
      </c>
      <c r="H532" s="13">
        <f>IF($B532="OUT",$D532,0)</f>
      </c>
    </row>
    <row x14ac:dyDescent="0.25" r="533" customHeight="1" ht="17.25">
      <c r="A533" s="52"/>
      <c r="B533" s="2"/>
      <c r="C533" s="2"/>
      <c r="D533" s="3"/>
      <c r="E533" s="3"/>
      <c r="F533" s="2"/>
      <c r="G533" s="13">
        <f>IF($B533="IN",$D533,0)</f>
      </c>
      <c r="H533" s="13">
        <f>IF($B533="OUT",$D533,0)</f>
      </c>
    </row>
    <row x14ac:dyDescent="0.25" r="534" customHeight="1" ht="17.25">
      <c r="A534" s="52"/>
      <c r="B534" s="2"/>
      <c r="C534" s="2"/>
      <c r="D534" s="3"/>
      <c r="E534" s="3"/>
      <c r="F534" s="2"/>
      <c r="G534" s="13">
        <f>IF($B534="IN",$D534,0)</f>
      </c>
      <c r="H534" s="13">
        <f>IF($B534="OUT",$D534,0)</f>
      </c>
    </row>
    <row x14ac:dyDescent="0.25" r="535" customHeight="1" ht="17.25">
      <c r="A535" s="52"/>
      <c r="B535" s="2"/>
      <c r="C535" s="2"/>
      <c r="D535" s="3"/>
      <c r="E535" s="3"/>
      <c r="F535" s="2"/>
      <c r="G535" s="13">
        <f>IF($B535="IN",$D535,0)</f>
      </c>
      <c r="H535" s="13">
        <f>IF($B535="OUT",$D535,0)</f>
      </c>
    </row>
    <row x14ac:dyDescent="0.25" r="536" customHeight="1" ht="17.25">
      <c r="A536" s="52"/>
      <c r="B536" s="2"/>
      <c r="C536" s="2"/>
      <c r="D536" s="3"/>
      <c r="E536" s="3"/>
      <c r="F536" s="2"/>
      <c r="G536" s="13">
        <f>IF($B536="IN",$D536,0)</f>
      </c>
      <c r="H536" s="13">
        <f>IF($B536="OUT",$D536,0)</f>
      </c>
    </row>
    <row x14ac:dyDescent="0.25" r="537" customHeight="1" ht="17.25">
      <c r="A537" s="52"/>
      <c r="B537" s="2"/>
      <c r="C537" s="2"/>
      <c r="D537" s="3"/>
      <c r="E537" s="3"/>
      <c r="F537" s="2"/>
      <c r="G537" s="13">
        <f>IF($B537="IN",$D537,0)</f>
      </c>
      <c r="H537" s="13">
        <f>IF($B537="OUT",$D537,0)</f>
      </c>
    </row>
    <row x14ac:dyDescent="0.25" r="538" customHeight="1" ht="17.25">
      <c r="A538" s="52"/>
      <c r="B538" s="2"/>
      <c r="C538" s="2"/>
      <c r="D538" s="3"/>
      <c r="E538" s="3"/>
      <c r="F538" s="2"/>
      <c r="G538" s="13">
        <f>IF($B538="IN",$D538,0)</f>
      </c>
      <c r="H538" s="13">
        <f>IF($B538="OUT",$D538,0)</f>
      </c>
    </row>
    <row x14ac:dyDescent="0.25" r="539" customHeight="1" ht="17.25">
      <c r="A539" s="52"/>
      <c r="B539" s="2"/>
      <c r="C539" s="2"/>
      <c r="D539" s="3"/>
      <c r="E539" s="3"/>
      <c r="F539" s="2"/>
      <c r="G539" s="13">
        <f>IF($B539="IN",$D539,0)</f>
      </c>
      <c r="H539" s="13">
        <f>IF($B539="OUT",$D539,0)</f>
      </c>
    </row>
    <row x14ac:dyDescent="0.25" r="540" customHeight="1" ht="17.25">
      <c r="A540" s="52"/>
      <c r="B540" s="2"/>
      <c r="C540" s="2"/>
      <c r="D540" s="3"/>
      <c r="E540" s="3"/>
      <c r="F540" s="2"/>
      <c r="G540" s="13">
        <f>IF($B540="IN",$D540,0)</f>
      </c>
      <c r="H540" s="13">
        <f>IF($B540="OUT",$D540,0)</f>
      </c>
    </row>
    <row x14ac:dyDescent="0.25" r="541" customHeight="1" ht="17.25">
      <c r="A541" s="52"/>
      <c r="B541" s="2"/>
      <c r="C541" s="2"/>
      <c r="D541" s="3"/>
      <c r="E541" s="3"/>
      <c r="F541" s="2"/>
      <c r="G541" s="13">
        <f>IF($B541="IN",$D541,0)</f>
      </c>
      <c r="H541" s="13">
        <f>IF($B541="OUT",$D541,0)</f>
      </c>
    </row>
    <row x14ac:dyDescent="0.25" r="542" customHeight="1" ht="17.25">
      <c r="A542" s="52"/>
      <c r="B542" s="2"/>
      <c r="C542" s="2"/>
      <c r="D542" s="3"/>
      <c r="E542" s="3"/>
      <c r="F542" s="2"/>
      <c r="G542" s="13">
        <f>IF($B542="IN",$D542,0)</f>
      </c>
      <c r="H542" s="13">
        <f>IF($B542="OUT",$D542,0)</f>
      </c>
    </row>
    <row x14ac:dyDescent="0.25" r="543" customHeight="1" ht="17.25">
      <c r="A543" s="52"/>
      <c r="B543" s="2"/>
      <c r="C543" s="2"/>
      <c r="D543" s="3"/>
      <c r="E543" s="3"/>
      <c r="F543" s="2"/>
      <c r="G543" s="13">
        <f>IF($B543="IN",$D543,0)</f>
      </c>
      <c r="H543" s="13">
        <f>IF($B543="OUT",$D543,0)</f>
      </c>
    </row>
    <row x14ac:dyDescent="0.25" r="544" customHeight="1" ht="17.25">
      <c r="A544" s="52"/>
      <c r="B544" s="2"/>
      <c r="C544" s="2"/>
      <c r="D544" s="3"/>
      <c r="E544" s="3"/>
      <c r="F544" s="2"/>
      <c r="G544" s="13">
        <f>IF($B544="IN",$D544,0)</f>
      </c>
      <c r="H544" s="13">
        <f>IF($B544="OUT",$D544,0)</f>
      </c>
    </row>
    <row x14ac:dyDescent="0.25" r="545" customHeight="1" ht="17.25">
      <c r="A545" s="52"/>
      <c r="B545" s="2"/>
      <c r="C545" s="2"/>
      <c r="D545" s="3"/>
      <c r="E545" s="3"/>
      <c r="F545" s="2"/>
      <c r="G545" s="13">
        <f>IF($B545="IN",$D545,0)</f>
      </c>
      <c r="H545" s="13">
        <f>IF($B545="OUT",$D545,0)</f>
      </c>
    </row>
    <row x14ac:dyDescent="0.25" r="546" customHeight="1" ht="17.25">
      <c r="A546" s="52"/>
      <c r="B546" s="2"/>
      <c r="C546" s="2"/>
      <c r="D546" s="3"/>
      <c r="E546" s="3"/>
      <c r="F546" s="2"/>
      <c r="G546" s="13">
        <f>IF($B546="IN",$D546,0)</f>
      </c>
      <c r="H546" s="13">
        <f>IF($B546="OUT",$D546,0)</f>
      </c>
    </row>
    <row x14ac:dyDescent="0.25" r="547" customHeight="1" ht="17.25">
      <c r="A547" s="52"/>
      <c r="B547" s="2"/>
      <c r="C547" s="2"/>
      <c r="D547" s="3"/>
      <c r="E547" s="3"/>
      <c r="F547" s="2"/>
      <c r="G547" s="13">
        <f>IF($B547="IN",$D547,0)</f>
      </c>
      <c r="H547" s="13">
        <f>IF($B547="OUT",$D547,0)</f>
      </c>
    </row>
    <row x14ac:dyDescent="0.25" r="548" customHeight="1" ht="17.25">
      <c r="A548" s="52"/>
      <c r="B548" s="2"/>
      <c r="C548" s="2"/>
      <c r="D548" s="3"/>
      <c r="E548" s="3"/>
      <c r="F548" s="2"/>
      <c r="G548" s="13">
        <f>IF($B548="IN",$D548,0)</f>
      </c>
      <c r="H548" s="13">
        <f>IF($B548="OUT",$D548,0)</f>
      </c>
    </row>
    <row x14ac:dyDescent="0.25" r="549" customHeight="1" ht="17.25">
      <c r="A549" s="52"/>
      <c r="B549" s="2"/>
      <c r="C549" s="2"/>
      <c r="D549" s="3"/>
      <c r="E549" s="3"/>
      <c r="F549" s="2"/>
      <c r="G549" s="13">
        <f>IF($B549="IN",$D549,0)</f>
      </c>
      <c r="H549" s="13">
        <f>IF($B549="OUT",$D549,0)</f>
      </c>
    </row>
    <row x14ac:dyDescent="0.25" r="550" customHeight="1" ht="17.25">
      <c r="A550" s="52"/>
      <c r="B550" s="2"/>
      <c r="C550" s="2"/>
      <c r="D550" s="3"/>
      <c r="E550" s="3"/>
      <c r="F550" s="2"/>
      <c r="G550" s="13">
        <f>IF($B550="IN",$D550,0)</f>
      </c>
      <c r="H550" s="13">
        <f>IF($B550="OUT",$D550,0)</f>
      </c>
    </row>
    <row x14ac:dyDescent="0.25" r="551" customHeight="1" ht="17.25">
      <c r="A551" s="52"/>
      <c r="B551" s="2"/>
      <c r="C551" s="2"/>
      <c r="D551" s="3"/>
      <c r="E551" s="3"/>
      <c r="F551" s="2"/>
      <c r="G551" s="13">
        <f>IF($B551="IN",$D551,0)</f>
      </c>
      <c r="H551" s="13">
        <f>IF($B551="OUT",$D551,0)</f>
      </c>
    </row>
    <row x14ac:dyDescent="0.25" r="552" customHeight="1" ht="17.25">
      <c r="A552" s="52"/>
      <c r="B552" s="2"/>
      <c r="C552" s="2"/>
      <c r="D552" s="3"/>
      <c r="E552" s="3"/>
      <c r="F552" s="2"/>
      <c r="G552" s="13">
        <f>IF($B552="IN",$D552,0)</f>
      </c>
      <c r="H552" s="13">
        <f>IF($B552="OUT",$D552,0)</f>
      </c>
    </row>
    <row x14ac:dyDescent="0.25" r="553" customHeight="1" ht="17.25">
      <c r="A553" s="52"/>
      <c r="B553" s="2"/>
      <c r="C553" s="2"/>
      <c r="D553" s="3"/>
      <c r="E553" s="3"/>
      <c r="F553" s="2"/>
      <c r="G553" s="13">
        <f>IF($B553="IN",$D553,0)</f>
      </c>
      <c r="H553" s="13">
        <f>IF($B553="OUT",$D553,0)</f>
      </c>
    </row>
    <row x14ac:dyDescent="0.25" r="554" customHeight="1" ht="17.25">
      <c r="A554" s="52"/>
      <c r="B554" s="2"/>
      <c r="C554" s="2"/>
      <c r="D554" s="3"/>
      <c r="E554" s="3"/>
      <c r="F554" s="2"/>
      <c r="G554" s="13">
        <f>IF($B554="IN",$D554,0)</f>
      </c>
      <c r="H554" s="13">
        <f>IF($B554="OUT",$D554,0)</f>
      </c>
    </row>
    <row x14ac:dyDescent="0.25" r="555" customHeight="1" ht="17.25">
      <c r="A555" s="52"/>
      <c r="B555" s="2"/>
      <c r="C555" s="2"/>
      <c r="D555" s="3"/>
      <c r="E555" s="3"/>
      <c r="F555" s="2"/>
      <c r="G555" s="13">
        <f>IF($B555="IN",$D555,0)</f>
      </c>
      <c r="H555" s="13">
        <f>IF($B555="OUT",$D555,0)</f>
      </c>
    </row>
    <row x14ac:dyDescent="0.25" r="556" customHeight="1" ht="17.25">
      <c r="A556" s="52"/>
      <c r="B556" s="2"/>
      <c r="C556" s="2"/>
      <c r="D556" s="3"/>
      <c r="E556" s="3"/>
      <c r="F556" s="2"/>
      <c r="G556" s="13">
        <f>IF($B556="IN",$D556,0)</f>
      </c>
      <c r="H556" s="13">
        <f>IF($B556="OUT",$D556,0)</f>
      </c>
    </row>
    <row x14ac:dyDescent="0.25" r="557" customHeight="1" ht="17.25">
      <c r="A557" s="52"/>
      <c r="B557" s="2"/>
      <c r="C557" s="2"/>
      <c r="D557" s="3"/>
      <c r="E557" s="3"/>
      <c r="F557" s="2"/>
      <c r="G557" s="13">
        <f>IF($B557="IN",$D557,0)</f>
      </c>
      <c r="H557" s="13">
        <f>IF($B557="OUT",$D557,0)</f>
      </c>
    </row>
    <row x14ac:dyDescent="0.25" r="558" customHeight="1" ht="17.25">
      <c r="A558" s="52"/>
      <c r="B558" s="2"/>
      <c r="C558" s="2"/>
      <c r="D558" s="3"/>
      <c r="E558" s="3"/>
      <c r="F558" s="2"/>
      <c r="G558" s="13">
        <f>IF($B558="IN",$D558,0)</f>
      </c>
      <c r="H558" s="13">
        <f>IF($B558="OUT",$D558,0)</f>
      </c>
    </row>
    <row x14ac:dyDescent="0.25" r="559" customHeight="1" ht="17.25">
      <c r="A559" s="52"/>
      <c r="B559" s="2"/>
      <c r="C559" s="2"/>
      <c r="D559" s="3"/>
      <c r="E559" s="3"/>
      <c r="F559" s="2"/>
      <c r="G559" s="13">
        <f>IF($B559="IN",$D559,0)</f>
      </c>
      <c r="H559" s="13">
        <f>IF($B559="OUT",$D559,0)</f>
      </c>
    </row>
    <row x14ac:dyDescent="0.25" r="560" customHeight="1" ht="17.25">
      <c r="A560" s="52"/>
      <c r="B560" s="2"/>
      <c r="C560" s="2"/>
      <c r="D560" s="3"/>
      <c r="E560" s="3"/>
      <c r="F560" s="2"/>
      <c r="G560" s="13">
        <f>IF($B560="IN",$D560,0)</f>
      </c>
      <c r="H560" s="13">
        <f>IF($B560="OUT",$D560,0)</f>
      </c>
    </row>
    <row x14ac:dyDescent="0.25" r="561" customHeight="1" ht="17.25">
      <c r="A561" s="52"/>
      <c r="B561" s="2"/>
      <c r="C561" s="2"/>
      <c r="D561" s="3"/>
      <c r="E561" s="3"/>
      <c r="F561" s="2"/>
      <c r="G561" s="13">
        <f>IF($B561="IN",$D561,0)</f>
      </c>
      <c r="H561" s="13">
        <f>IF($B561="OUT",$D561,0)</f>
      </c>
    </row>
    <row x14ac:dyDescent="0.25" r="562" customHeight="1" ht="17.25">
      <c r="A562" s="52"/>
      <c r="B562" s="2"/>
      <c r="C562" s="2"/>
      <c r="D562" s="3"/>
      <c r="E562" s="3"/>
      <c r="F562" s="2"/>
      <c r="G562" s="13">
        <f>IF($B562="IN",$D562,0)</f>
      </c>
      <c r="H562" s="13">
        <f>IF($B562="OUT",$D562,0)</f>
      </c>
    </row>
    <row x14ac:dyDescent="0.25" r="563" customHeight="1" ht="17.25">
      <c r="A563" s="52"/>
      <c r="B563" s="2"/>
      <c r="C563" s="2"/>
      <c r="D563" s="3"/>
      <c r="E563" s="3"/>
      <c r="F563" s="2"/>
      <c r="G563" s="13">
        <f>IF($B563="IN",$D563,0)</f>
      </c>
      <c r="H563" s="13">
        <f>IF($B563="OUT",$D563,0)</f>
      </c>
    </row>
    <row x14ac:dyDescent="0.25" r="564" customHeight="1" ht="17.25">
      <c r="A564" s="52"/>
      <c r="B564" s="2"/>
      <c r="C564" s="2"/>
      <c r="D564" s="3"/>
      <c r="E564" s="3"/>
      <c r="F564" s="2"/>
      <c r="G564" s="13">
        <f>IF($B564="IN",$D564,0)</f>
      </c>
      <c r="H564" s="13">
        <f>IF($B564="OUT",$D564,0)</f>
      </c>
    </row>
    <row x14ac:dyDescent="0.25" r="565" customHeight="1" ht="17.25">
      <c r="A565" s="52"/>
      <c r="B565" s="2"/>
      <c r="C565" s="2"/>
      <c r="D565" s="3"/>
      <c r="E565" s="3"/>
      <c r="F565" s="2"/>
      <c r="G565" s="13">
        <f>IF($B565="IN",$D565,0)</f>
      </c>
      <c r="H565" s="13">
        <f>IF($B565="OUT",$D565,0)</f>
      </c>
    </row>
    <row x14ac:dyDescent="0.25" r="566" customHeight="1" ht="17.25">
      <c r="A566" s="52"/>
      <c r="B566" s="2"/>
      <c r="C566" s="2"/>
      <c r="D566" s="3"/>
      <c r="E566" s="3"/>
      <c r="F566" s="2"/>
      <c r="G566" s="13">
        <f>IF($B566="IN",$D566,0)</f>
      </c>
      <c r="H566" s="13">
        <f>IF($B566="OUT",$D566,0)</f>
      </c>
    </row>
    <row x14ac:dyDescent="0.25" r="567" customHeight="1" ht="17.25">
      <c r="A567" s="52"/>
      <c r="B567" s="2"/>
      <c r="C567" s="2"/>
      <c r="D567" s="3"/>
      <c r="E567" s="3"/>
      <c r="F567" s="2"/>
      <c r="G567" s="13">
        <f>IF($B567="IN",$D567,0)</f>
      </c>
      <c r="H567" s="13">
        <f>IF($B567="OUT",$D567,0)</f>
      </c>
    </row>
    <row x14ac:dyDescent="0.25" r="568" customHeight="1" ht="17.25">
      <c r="A568" s="52"/>
      <c r="B568" s="2"/>
      <c r="C568" s="2"/>
      <c r="D568" s="3"/>
      <c r="E568" s="3"/>
      <c r="F568" s="2"/>
      <c r="G568" s="13">
        <f>IF($B568="IN",$D568,0)</f>
      </c>
      <c r="H568" s="13">
        <f>IF($B568="OUT",$D568,0)</f>
      </c>
    </row>
    <row x14ac:dyDescent="0.25" r="569" customHeight="1" ht="17.25">
      <c r="A569" s="52"/>
      <c r="B569" s="2"/>
      <c r="C569" s="2"/>
      <c r="D569" s="3"/>
      <c r="E569" s="3"/>
      <c r="F569" s="2"/>
      <c r="G569" s="13">
        <f>IF($B569="IN",$D569,0)</f>
      </c>
      <c r="H569" s="13">
        <f>IF($B569="OUT",$D569,0)</f>
      </c>
    </row>
    <row x14ac:dyDescent="0.25" r="570" customHeight="1" ht="17.25">
      <c r="A570" s="52"/>
      <c r="B570" s="2"/>
      <c r="C570" s="2"/>
      <c r="D570" s="3"/>
      <c r="E570" s="3"/>
      <c r="F570" s="2"/>
      <c r="G570" s="13">
        <f>IF($B570="IN",$D570,0)</f>
      </c>
      <c r="H570" s="13">
        <f>IF($B570="OUT",$D570,0)</f>
      </c>
    </row>
    <row x14ac:dyDescent="0.25" r="571" customHeight="1" ht="17.25">
      <c r="A571" s="52"/>
      <c r="B571" s="2"/>
      <c r="C571" s="2"/>
      <c r="D571" s="3"/>
      <c r="E571" s="3"/>
      <c r="F571" s="2"/>
      <c r="G571" s="13">
        <f>IF($B571="IN",$D571,0)</f>
      </c>
      <c r="H571" s="13">
        <f>IF($B571="OUT",$D571,0)</f>
      </c>
    </row>
    <row x14ac:dyDescent="0.25" r="572" customHeight="1" ht="17.25">
      <c r="A572" s="52"/>
      <c r="B572" s="2"/>
      <c r="C572" s="2"/>
      <c r="D572" s="3"/>
      <c r="E572" s="3"/>
      <c r="F572" s="2"/>
      <c r="G572" s="13">
        <f>IF($B572="IN",$D572,0)</f>
      </c>
      <c r="H572" s="13">
        <f>IF($B572="OUT",$D572,0)</f>
      </c>
    </row>
    <row x14ac:dyDescent="0.25" r="573" customHeight="1" ht="17.25">
      <c r="A573" s="52"/>
      <c r="B573" s="2"/>
      <c r="C573" s="2"/>
      <c r="D573" s="3"/>
      <c r="E573" s="3"/>
      <c r="F573" s="2"/>
      <c r="G573" s="13">
        <f>IF($B573="IN",$D573,0)</f>
      </c>
      <c r="H573" s="13">
        <f>IF($B573="OUT",$D573,0)</f>
      </c>
    </row>
    <row x14ac:dyDescent="0.25" r="574" customHeight="1" ht="17.25">
      <c r="A574" s="52"/>
      <c r="B574" s="2"/>
      <c r="C574" s="2"/>
      <c r="D574" s="3"/>
      <c r="E574" s="3"/>
      <c r="F574" s="2"/>
      <c r="G574" s="13">
        <f>IF($B574="IN",$D574,0)</f>
      </c>
      <c r="H574" s="13">
        <f>IF($B574="OUT",$D574,0)</f>
      </c>
    </row>
    <row x14ac:dyDescent="0.25" r="575" customHeight="1" ht="17.25">
      <c r="A575" s="52"/>
      <c r="B575" s="2"/>
      <c r="C575" s="2"/>
      <c r="D575" s="3"/>
      <c r="E575" s="3"/>
      <c r="F575" s="2"/>
      <c r="G575" s="13">
        <f>IF($B575="IN",$D575,0)</f>
      </c>
      <c r="H575" s="13">
        <f>IF($B575="OUT",$D575,0)</f>
      </c>
    </row>
    <row x14ac:dyDescent="0.25" r="576" customHeight="1" ht="17.25">
      <c r="A576" s="52"/>
      <c r="B576" s="2"/>
      <c r="C576" s="2"/>
      <c r="D576" s="3"/>
      <c r="E576" s="3"/>
      <c r="F576" s="2"/>
      <c r="G576" s="13">
        <f>IF($B576="IN",$D576,0)</f>
      </c>
      <c r="H576" s="13">
        <f>IF($B576="OUT",$D576,0)</f>
      </c>
    </row>
    <row x14ac:dyDescent="0.25" r="577" customHeight="1" ht="17.25">
      <c r="A577" s="52"/>
      <c r="B577" s="2"/>
      <c r="C577" s="2"/>
      <c r="D577" s="3"/>
      <c r="E577" s="3"/>
      <c r="F577" s="2"/>
      <c r="G577" s="13">
        <f>IF($B577="IN",$D577,0)</f>
      </c>
      <c r="H577" s="13">
        <f>IF($B577="OUT",$D577,0)</f>
      </c>
    </row>
    <row x14ac:dyDescent="0.25" r="578" customHeight="1" ht="17.25">
      <c r="A578" s="52"/>
      <c r="B578" s="2"/>
      <c r="C578" s="2"/>
      <c r="D578" s="3"/>
      <c r="E578" s="3"/>
      <c r="F578" s="2"/>
      <c r="G578" s="13">
        <f>IF($B578="IN",$D578,0)</f>
      </c>
      <c r="H578" s="13">
        <f>IF($B578="OUT",$D578,0)</f>
      </c>
    </row>
    <row x14ac:dyDescent="0.25" r="579" customHeight="1" ht="17.25">
      <c r="A579" s="52"/>
      <c r="B579" s="2"/>
      <c r="C579" s="2"/>
      <c r="D579" s="3"/>
      <c r="E579" s="3"/>
      <c r="F579" s="2"/>
      <c r="G579" s="13">
        <f>IF($B579="IN",$D579,0)</f>
      </c>
      <c r="H579" s="13">
        <f>IF($B579="OUT",$D579,0)</f>
      </c>
    </row>
    <row x14ac:dyDescent="0.25" r="580" customHeight="1" ht="17.25">
      <c r="A580" s="52"/>
      <c r="B580" s="2"/>
      <c r="C580" s="2"/>
      <c r="D580" s="3"/>
      <c r="E580" s="3"/>
      <c r="F580" s="2"/>
      <c r="G580" s="13">
        <f>IF($B580="IN",$D580,0)</f>
      </c>
      <c r="H580" s="13">
        <f>IF($B580="OUT",$D580,0)</f>
      </c>
    </row>
    <row x14ac:dyDescent="0.25" r="581" customHeight="1" ht="17.25">
      <c r="A581" s="52"/>
      <c r="B581" s="2"/>
      <c r="C581" s="2"/>
      <c r="D581" s="3"/>
      <c r="E581" s="3"/>
      <c r="F581" s="2"/>
      <c r="G581" s="13">
        <f>IF($B581="IN",$D581,0)</f>
      </c>
      <c r="H581" s="13">
        <f>IF($B581="OUT",$D581,0)</f>
      </c>
    </row>
    <row x14ac:dyDescent="0.25" r="582" customHeight="1" ht="17.25">
      <c r="A582" s="52"/>
      <c r="B582" s="2"/>
      <c r="C582" s="2"/>
      <c r="D582" s="3"/>
      <c r="E582" s="3"/>
      <c r="F582" s="2"/>
      <c r="G582" s="13">
        <f>IF($B582="IN",$D582,0)</f>
      </c>
      <c r="H582" s="13">
        <f>IF($B582="OUT",$D582,0)</f>
      </c>
    </row>
    <row x14ac:dyDescent="0.25" r="583" customHeight="1" ht="17.25">
      <c r="A583" s="52"/>
      <c r="B583" s="2"/>
      <c r="C583" s="2"/>
      <c r="D583" s="3"/>
      <c r="E583" s="3"/>
      <c r="F583" s="2"/>
      <c r="G583" s="13">
        <f>IF($B583="IN",$D583,0)</f>
      </c>
      <c r="H583" s="13">
        <f>IF($B583="OUT",$D583,0)</f>
      </c>
    </row>
    <row x14ac:dyDescent="0.25" r="584" customHeight="1" ht="17.25">
      <c r="A584" s="52"/>
      <c r="B584" s="2"/>
      <c r="C584" s="2"/>
      <c r="D584" s="3"/>
      <c r="E584" s="3"/>
      <c r="F584" s="2"/>
      <c r="G584" s="13">
        <f>IF($B584="IN",$D584,0)</f>
      </c>
      <c r="H584" s="13">
        <f>IF($B584="OUT",$D584,0)</f>
      </c>
    </row>
    <row x14ac:dyDescent="0.25" r="585" customHeight="1" ht="17.25">
      <c r="A585" s="52"/>
      <c r="B585" s="2"/>
      <c r="C585" s="2"/>
      <c r="D585" s="3"/>
      <c r="E585" s="3"/>
      <c r="F585" s="2"/>
      <c r="G585" s="13">
        <f>IF($B585="IN",$D585,0)</f>
      </c>
      <c r="H585" s="13">
        <f>IF($B585="OUT",$D585,0)</f>
      </c>
    </row>
    <row x14ac:dyDescent="0.25" r="586" customHeight="1" ht="17.25">
      <c r="A586" s="52"/>
      <c r="B586" s="2"/>
      <c r="C586" s="2"/>
      <c r="D586" s="3"/>
      <c r="E586" s="3"/>
      <c r="F586" s="2"/>
      <c r="G586" s="13">
        <f>IF($B586="IN",$D586,0)</f>
      </c>
      <c r="H586" s="13">
        <f>IF($B586="OUT",$D586,0)</f>
      </c>
    </row>
    <row x14ac:dyDescent="0.25" r="587" customHeight="1" ht="17.25">
      <c r="A587" s="52"/>
      <c r="B587" s="2"/>
      <c r="C587" s="2"/>
      <c r="D587" s="3"/>
      <c r="E587" s="3"/>
      <c r="F587" s="2"/>
      <c r="G587" s="13">
        <f>IF($B587="IN",$D587,0)</f>
      </c>
      <c r="H587" s="13">
        <f>IF($B587="OUT",$D587,0)</f>
      </c>
    </row>
    <row x14ac:dyDescent="0.25" r="588" customHeight="1" ht="17.25">
      <c r="A588" s="52"/>
      <c r="B588" s="2"/>
      <c r="C588" s="2"/>
      <c r="D588" s="3"/>
      <c r="E588" s="3"/>
      <c r="F588" s="2"/>
      <c r="G588" s="13">
        <f>IF($B588="IN",$D588,0)</f>
      </c>
      <c r="H588" s="13">
        <f>IF($B588="OUT",$D588,0)</f>
      </c>
    </row>
    <row x14ac:dyDescent="0.25" r="589" customHeight="1" ht="17.25">
      <c r="A589" s="52"/>
      <c r="B589" s="2"/>
      <c r="C589" s="2"/>
      <c r="D589" s="3"/>
      <c r="E589" s="3"/>
      <c r="F589" s="2"/>
      <c r="G589" s="13">
        <f>IF($B589="IN",$D589,0)</f>
      </c>
      <c r="H589" s="13">
        <f>IF($B589="OUT",$D589,0)</f>
      </c>
    </row>
    <row x14ac:dyDescent="0.25" r="590" customHeight="1" ht="17.25">
      <c r="A590" s="52"/>
      <c r="B590" s="2"/>
      <c r="C590" s="2"/>
      <c r="D590" s="3"/>
      <c r="E590" s="3"/>
      <c r="F590" s="2"/>
      <c r="G590" s="13">
        <f>IF($B590="IN",$D590,0)</f>
      </c>
      <c r="H590" s="13">
        <f>IF($B590="OUT",$D590,0)</f>
      </c>
    </row>
    <row x14ac:dyDescent="0.25" r="591" customHeight="1" ht="17.25">
      <c r="A591" s="52"/>
      <c r="B591" s="2"/>
      <c r="C591" s="2"/>
      <c r="D591" s="3"/>
      <c r="E591" s="3"/>
      <c r="F591" s="2"/>
      <c r="G591" s="13">
        <f>IF($B591="IN",$D591,0)</f>
      </c>
      <c r="H591" s="13">
        <f>IF($B591="OUT",$D591,0)</f>
      </c>
    </row>
    <row x14ac:dyDescent="0.25" r="592" customHeight="1" ht="17.25">
      <c r="A592" s="52"/>
      <c r="B592" s="2"/>
      <c r="C592" s="2"/>
      <c r="D592" s="3"/>
      <c r="E592" s="3"/>
      <c r="F592" s="2"/>
      <c r="G592" s="13">
        <f>IF($B592="IN",$D592,0)</f>
      </c>
      <c r="H592" s="13">
        <f>IF($B592="OUT",$D592,0)</f>
      </c>
    </row>
    <row x14ac:dyDescent="0.25" r="593" customHeight="1" ht="17.25">
      <c r="A593" s="52"/>
      <c r="B593" s="2"/>
      <c r="C593" s="2"/>
      <c r="D593" s="3"/>
      <c r="E593" s="3"/>
      <c r="F593" s="2"/>
      <c r="G593" s="13">
        <f>IF($B593="IN",$D593,0)</f>
      </c>
      <c r="H593" s="13">
        <f>IF($B593="OUT",$D593,0)</f>
      </c>
    </row>
    <row x14ac:dyDescent="0.25" r="594" customHeight="1" ht="17.25">
      <c r="A594" s="52"/>
      <c r="B594" s="2"/>
      <c r="C594" s="2"/>
      <c r="D594" s="3"/>
      <c r="E594" s="3"/>
      <c r="F594" s="2"/>
      <c r="G594" s="13">
        <f>IF($B594="IN",$D594,0)</f>
      </c>
      <c r="H594" s="13">
        <f>IF($B594="OUT",$D594,0)</f>
      </c>
    </row>
    <row x14ac:dyDescent="0.25" r="595" customHeight="1" ht="17.25">
      <c r="A595" s="52"/>
      <c r="B595" s="2"/>
      <c r="C595" s="2"/>
      <c r="D595" s="3"/>
      <c r="E595" s="3"/>
      <c r="F595" s="2"/>
      <c r="G595" s="13">
        <f>IF($B595="IN",$D595,0)</f>
      </c>
      <c r="H595" s="13">
        <f>IF($B595="OUT",$D595,0)</f>
      </c>
    </row>
    <row x14ac:dyDescent="0.25" r="596" customHeight="1" ht="17.25">
      <c r="A596" s="52"/>
      <c r="B596" s="2"/>
      <c r="C596" s="2"/>
      <c r="D596" s="3"/>
      <c r="E596" s="3"/>
      <c r="F596" s="2"/>
      <c r="G596" s="13">
        <f>IF($B596="IN",$D596,0)</f>
      </c>
      <c r="H596" s="13">
        <f>IF($B596="OUT",$D596,0)</f>
      </c>
    </row>
    <row x14ac:dyDescent="0.25" r="597" customHeight="1" ht="17.25">
      <c r="A597" s="52"/>
      <c r="B597" s="2"/>
      <c r="C597" s="2"/>
      <c r="D597" s="3"/>
      <c r="E597" s="3"/>
      <c r="F597" s="2"/>
      <c r="G597" s="13">
        <f>IF($B597="IN",$D597,0)</f>
      </c>
      <c r="H597" s="13">
        <f>IF($B597="OUT",$D597,0)</f>
      </c>
    </row>
    <row x14ac:dyDescent="0.25" r="598" customHeight="1" ht="17.25">
      <c r="A598" s="52"/>
      <c r="B598" s="2"/>
      <c r="C598" s="2"/>
      <c r="D598" s="3"/>
      <c r="E598" s="3"/>
      <c r="F598" s="2"/>
      <c r="G598" s="13">
        <f>IF($B598="IN",$D598,0)</f>
      </c>
      <c r="H598" s="13">
        <f>IF($B598="OUT",$D598,0)</f>
      </c>
    </row>
    <row x14ac:dyDescent="0.25" r="599" customHeight="1" ht="17.25">
      <c r="A599" s="52"/>
      <c r="B599" s="2"/>
      <c r="C599" s="2"/>
      <c r="D599" s="3"/>
      <c r="E599" s="3"/>
      <c r="F599" s="2"/>
      <c r="G599" s="13">
        <f>IF($B599="IN",$D599,0)</f>
      </c>
      <c r="H599" s="13">
        <f>IF($B599="OUT",$D599,0)</f>
      </c>
    </row>
    <row x14ac:dyDescent="0.25" r="600" customHeight="1" ht="17.25">
      <c r="A600" s="52"/>
      <c r="B600" s="2"/>
      <c r="C600" s="2"/>
      <c r="D600" s="3"/>
      <c r="E600" s="3"/>
      <c r="F600" s="2"/>
      <c r="G600" s="13">
        <f>IF($B600="IN",$D600,0)</f>
      </c>
      <c r="H600" s="13">
        <f>IF($B600="OUT",$D600,0)</f>
      </c>
    </row>
    <row x14ac:dyDescent="0.25" r="601" customHeight="1" ht="17.25">
      <c r="A601" s="52"/>
      <c r="B601" s="2"/>
      <c r="C601" s="2"/>
      <c r="D601" s="3"/>
      <c r="E601" s="3"/>
      <c r="F601" s="2"/>
      <c r="G601" s="13">
        <f>IF($B601="IN",$D601,0)</f>
      </c>
      <c r="H601" s="13">
        <f>IF($B601="OUT",$D601,0)</f>
      </c>
    </row>
    <row x14ac:dyDescent="0.25" r="602" customHeight="1" ht="17.25">
      <c r="A602" s="52"/>
      <c r="B602" s="2"/>
      <c r="C602" s="2"/>
      <c r="D602" s="3"/>
      <c r="E602" s="3"/>
      <c r="F602" s="2"/>
      <c r="G602" s="13">
        <f>IF($B602="IN",$D602,0)</f>
      </c>
      <c r="H602" s="13">
        <f>IF($B602="OUT",$D602,0)</f>
      </c>
    </row>
    <row x14ac:dyDescent="0.25" r="603" customHeight="1" ht="17.25">
      <c r="A603" s="52"/>
      <c r="B603" s="2"/>
      <c r="C603" s="2"/>
      <c r="D603" s="3"/>
      <c r="E603" s="3"/>
      <c r="F603" s="2"/>
      <c r="G603" s="13">
        <f>IF($B603="IN",$D603,0)</f>
      </c>
      <c r="H603" s="13">
        <f>IF($B603="OUT",$D603,0)</f>
      </c>
    </row>
    <row x14ac:dyDescent="0.25" r="604" customHeight="1" ht="17.25">
      <c r="A604" s="52"/>
      <c r="B604" s="2"/>
      <c r="C604" s="2"/>
      <c r="D604" s="3"/>
      <c r="E604" s="3"/>
      <c r="F604" s="2"/>
      <c r="G604" s="13">
        <f>IF($B604="IN",$D604,0)</f>
      </c>
      <c r="H604" s="13">
        <f>IF($B604="OUT",$D604,0)</f>
      </c>
    </row>
    <row x14ac:dyDescent="0.25" r="605" customHeight="1" ht="17.25">
      <c r="A605" s="52"/>
      <c r="B605" s="2"/>
      <c r="C605" s="2"/>
      <c r="D605" s="3"/>
      <c r="E605" s="3"/>
      <c r="F605" s="2"/>
      <c r="G605" s="13">
        <f>IF($B605="IN",$D605,0)</f>
      </c>
      <c r="H605" s="13">
        <f>IF($B605="OUT",$D605,0)</f>
      </c>
    </row>
    <row x14ac:dyDescent="0.25" r="606" customHeight="1" ht="17.25">
      <c r="A606" s="52"/>
      <c r="B606" s="2"/>
      <c r="C606" s="2"/>
      <c r="D606" s="3"/>
      <c r="E606" s="3"/>
      <c r="F606" s="2"/>
      <c r="G606" s="13">
        <f>IF($B606="IN",$D606,0)</f>
      </c>
      <c r="H606" s="13">
        <f>IF($B606="OUT",$D606,0)</f>
      </c>
    </row>
    <row x14ac:dyDescent="0.25" r="607" customHeight="1" ht="17.25">
      <c r="A607" s="52"/>
      <c r="B607" s="2"/>
      <c r="C607" s="2"/>
      <c r="D607" s="3"/>
      <c r="E607" s="3"/>
      <c r="F607" s="2"/>
      <c r="G607" s="13">
        <f>IF($B607="IN",$D607,0)</f>
      </c>
      <c r="H607" s="13">
        <f>IF($B607="OUT",$D607,0)</f>
      </c>
    </row>
    <row x14ac:dyDescent="0.25" r="608" customHeight="1" ht="17.25">
      <c r="A608" s="52"/>
      <c r="B608" s="2"/>
      <c r="C608" s="2"/>
      <c r="D608" s="3"/>
      <c r="E608" s="3"/>
      <c r="F608" s="2"/>
      <c r="G608" s="13">
        <f>IF($B608="IN",$D608,0)</f>
      </c>
      <c r="H608" s="13">
        <f>IF($B608="OUT",$D608,0)</f>
      </c>
    </row>
    <row x14ac:dyDescent="0.25" r="609" customHeight="1" ht="17.25">
      <c r="A609" s="52"/>
      <c r="B609" s="2"/>
      <c r="C609" s="2"/>
      <c r="D609" s="3"/>
      <c r="E609" s="3"/>
      <c r="F609" s="2"/>
      <c r="G609" s="13">
        <f>IF($B609="IN",$D609,0)</f>
      </c>
      <c r="H609" s="13">
        <f>IF($B609="OUT",$D609,0)</f>
      </c>
    </row>
    <row x14ac:dyDescent="0.25" r="610" customHeight="1" ht="17.25">
      <c r="A610" s="52"/>
      <c r="B610" s="2"/>
      <c r="C610" s="2"/>
      <c r="D610" s="3"/>
      <c r="E610" s="3"/>
      <c r="F610" s="2"/>
      <c r="G610" s="13">
        <f>IF($B610="IN",$D610,0)</f>
      </c>
      <c r="H610" s="13">
        <f>IF($B610="OUT",$D610,0)</f>
      </c>
    </row>
    <row x14ac:dyDescent="0.25" r="611" customHeight="1" ht="17.25">
      <c r="A611" s="52"/>
      <c r="B611" s="2"/>
      <c r="C611" s="2"/>
      <c r="D611" s="3"/>
      <c r="E611" s="3"/>
      <c r="F611" s="2"/>
      <c r="G611" s="13">
        <f>IF($B611="IN",$D611,0)</f>
      </c>
      <c r="H611" s="13">
        <f>IF($B611="OUT",$D611,0)</f>
      </c>
    </row>
    <row x14ac:dyDescent="0.25" r="612" customHeight="1" ht="17.25">
      <c r="A612" s="52"/>
      <c r="B612" s="2"/>
      <c r="C612" s="2"/>
      <c r="D612" s="3"/>
      <c r="E612" s="3"/>
      <c r="F612" s="2"/>
      <c r="G612" s="13">
        <f>IF($B612="IN",$D612,0)</f>
      </c>
      <c r="H612" s="13">
        <f>IF($B612="OUT",$D612,0)</f>
      </c>
    </row>
    <row x14ac:dyDescent="0.25" r="613" customHeight="1" ht="17.25">
      <c r="A613" s="52"/>
      <c r="B613" s="2"/>
      <c r="C613" s="2"/>
      <c r="D613" s="3"/>
      <c r="E613" s="3"/>
      <c r="F613" s="2"/>
      <c r="G613" s="13">
        <f>IF($B613="IN",$D613,0)</f>
      </c>
      <c r="H613" s="13">
        <f>IF($B613="OUT",$D613,0)</f>
      </c>
    </row>
    <row x14ac:dyDescent="0.25" r="614" customHeight="1" ht="17.25">
      <c r="A614" s="52"/>
      <c r="B614" s="2"/>
      <c r="C614" s="2"/>
      <c r="D614" s="3"/>
      <c r="E614" s="3"/>
      <c r="F614" s="2"/>
      <c r="G614" s="13">
        <f>IF($B614="IN",$D614,0)</f>
      </c>
      <c r="H614" s="13">
        <f>IF($B614="OUT",$D614,0)</f>
      </c>
    </row>
    <row x14ac:dyDescent="0.25" r="615" customHeight="1" ht="17.25">
      <c r="A615" s="52"/>
      <c r="B615" s="2"/>
      <c r="C615" s="2"/>
      <c r="D615" s="3"/>
      <c r="E615" s="3"/>
      <c r="F615" s="2"/>
      <c r="G615" s="13">
        <f>IF($B615="IN",$D615,0)</f>
      </c>
      <c r="H615" s="13">
        <f>IF($B615="OUT",$D615,0)</f>
      </c>
    </row>
    <row x14ac:dyDescent="0.25" r="616" customHeight="1" ht="17.25">
      <c r="A616" s="52"/>
      <c r="B616" s="2"/>
      <c r="C616" s="2"/>
      <c r="D616" s="3"/>
      <c r="E616" s="3"/>
      <c r="F616" s="2"/>
      <c r="G616" s="13">
        <f>IF($B616="IN",$D616,0)</f>
      </c>
      <c r="H616" s="13">
        <f>IF($B616="OUT",$D616,0)</f>
      </c>
    </row>
    <row x14ac:dyDescent="0.25" r="617" customHeight="1" ht="17.25">
      <c r="A617" s="52"/>
      <c r="B617" s="2"/>
      <c r="C617" s="2"/>
      <c r="D617" s="3"/>
      <c r="E617" s="3"/>
      <c r="F617" s="2"/>
      <c r="G617" s="13">
        <f>IF($B617="IN",$D617,0)</f>
      </c>
      <c r="H617" s="13">
        <f>IF($B617="OUT",$D617,0)</f>
      </c>
    </row>
    <row x14ac:dyDescent="0.25" r="618" customHeight="1" ht="17.25">
      <c r="A618" s="52"/>
      <c r="B618" s="2"/>
      <c r="C618" s="2"/>
      <c r="D618" s="3"/>
      <c r="E618" s="3"/>
      <c r="F618" s="2"/>
      <c r="G618" s="13">
        <f>IF($B618="IN",$D618,0)</f>
      </c>
      <c r="H618" s="13">
        <f>IF($B618="OUT",$D618,0)</f>
      </c>
    </row>
    <row x14ac:dyDescent="0.25" r="619" customHeight="1" ht="17.25">
      <c r="A619" s="52"/>
      <c r="B619" s="2"/>
      <c r="C619" s="2"/>
      <c r="D619" s="3"/>
      <c r="E619" s="3"/>
      <c r="F619" s="2"/>
      <c r="G619" s="13">
        <f>IF($B619="IN",$D619,0)</f>
      </c>
      <c r="H619" s="13">
        <f>IF($B619="OUT",$D619,0)</f>
      </c>
    </row>
    <row x14ac:dyDescent="0.25" r="620" customHeight="1" ht="17.25">
      <c r="A620" s="52"/>
      <c r="B620" s="2"/>
      <c r="C620" s="2"/>
      <c r="D620" s="3"/>
      <c r="E620" s="3"/>
      <c r="F620" s="2"/>
      <c r="G620" s="13">
        <f>IF($B620="IN",$D620,0)</f>
      </c>
      <c r="H620" s="13">
        <f>IF($B620="OUT",$D620,0)</f>
      </c>
    </row>
    <row x14ac:dyDescent="0.25" r="621" customHeight="1" ht="17.25">
      <c r="A621" s="52"/>
      <c r="B621" s="2"/>
      <c r="C621" s="2"/>
      <c r="D621" s="3"/>
      <c r="E621" s="3"/>
      <c r="F621" s="2"/>
      <c r="G621" s="13">
        <f>IF($B621="IN",$D621,0)</f>
      </c>
      <c r="H621" s="13">
        <f>IF($B621="OUT",$D621,0)</f>
      </c>
    </row>
    <row x14ac:dyDescent="0.25" r="622" customHeight="1" ht="17.25">
      <c r="A622" s="52"/>
      <c r="B622" s="2"/>
      <c r="C622" s="2"/>
      <c r="D622" s="3"/>
      <c r="E622" s="3"/>
      <c r="F622" s="2"/>
      <c r="G622" s="13">
        <f>IF($B622="IN",$D622,0)</f>
      </c>
      <c r="H622" s="13">
        <f>IF($B622="OUT",$D622,0)</f>
      </c>
    </row>
    <row x14ac:dyDescent="0.25" r="623" customHeight="1" ht="17.25">
      <c r="A623" s="52"/>
      <c r="B623" s="2"/>
      <c r="C623" s="2"/>
      <c r="D623" s="3"/>
      <c r="E623" s="3"/>
      <c r="F623" s="2"/>
      <c r="G623" s="13">
        <f>IF($B623="IN",$D623,0)</f>
      </c>
      <c r="H623" s="13">
        <f>IF($B623="OUT",$D623,0)</f>
      </c>
    </row>
    <row x14ac:dyDescent="0.25" r="624" customHeight="1" ht="17.25">
      <c r="A624" s="52"/>
      <c r="B624" s="2"/>
      <c r="C624" s="2"/>
      <c r="D624" s="3"/>
      <c r="E624" s="3"/>
      <c r="F624" s="2"/>
      <c r="G624" s="13">
        <f>IF($B624="IN",$D624,0)</f>
      </c>
      <c r="H624" s="13">
        <f>IF($B624="OUT",$D624,0)</f>
      </c>
    </row>
    <row x14ac:dyDescent="0.25" r="625" customHeight="1" ht="17.25">
      <c r="A625" s="52"/>
      <c r="B625" s="2"/>
      <c r="C625" s="2"/>
      <c r="D625" s="3"/>
      <c r="E625" s="3"/>
      <c r="F625" s="2"/>
      <c r="G625" s="13">
        <f>IF($B625="IN",$D625,0)</f>
      </c>
      <c r="H625" s="13">
        <f>IF($B625="OUT",$D625,0)</f>
      </c>
    </row>
    <row x14ac:dyDescent="0.25" r="626" customHeight="1" ht="17.25">
      <c r="A626" s="52"/>
      <c r="B626" s="2"/>
      <c r="C626" s="2"/>
      <c r="D626" s="3"/>
      <c r="E626" s="3"/>
      <c r="F626" s="2"/>
      <c r="G626" s="13">
        <f>IF($B626="IN",$D626,0)</f>
      </c>
      <c r="H626" s="13">
        <f>IF($B626="OUT",$D626,0)</f>
      </c>
    </row>
    <row x14ac:dyDescent="0.25" r="627" customHeight="1" ht="17.25">
      <c r="A627" s="52"/>
      <c r="B627" s="2"/>
      <c r="C627" s="2"/>
      <c r="D627" s="3"/>
      <c r="E627" s="3"/>
      <c r="F627" s="2"/>
      <c r="G627" s="13">
        <f>IF($B627="IN",$D627,0)</f>
      </c>
      <c r="H627" s="13">
        <f>IF($B627="OUT",$D627,0)</f>
      </c>
    </row>
    <row x14ac:dyDescent="0.25" r="628" customHeight="1" ht="17.25">
      <c r="A628" s="52"/>
      <c r="B628" s="2"/>
      <c r="C628" s="2"/>
      <c r="D628" s="3"/>
      <c r="E628" s="3"/>
      <c r="F628" s="2"/>
      <c r="G628" s="13">
        <f>IF($B628="IN",$D628,0)</f>
      </c>
      <c r="H628" s="13">
        <f>IF($B628="OUT",$D628,0)</f>
      </c>
    </row>
    <row x14ac:dyDescent="0.25" r="629" customHeight="1" ht="17.25">
      <c r="A629" s="52"/>
      <c r="B629" s="2"/>
      <c r="C629" s="2"/>
      <c r="D629" s="3"/>
      <c r="E629" s="3"/>
      <c r="F629" s="2"/>
      <c r="G629" s="13">
        <f>IF($B629="IN",$D629,0)</f>
      </c>
      <c r="H629" s="13">
        <f>IF($B629="OUT",$D629,0)</f>
      </c>
    </row>
    <row x14ac:dyDescent="0.25" r="630" customHeight="1" ht="17.25">
      <c r="A630" s="52"/>
      <c r="B630" s="2"/>
      <c r="C630" s="2"/>
      <c r="D630" s="3"/>
      <c r="E630" s="3"/>
      <c r="F630" s="2"/>
      <c r="G630" s="13">
        <f>IF($B630="IN",$D630,0)</f>
      </c>
      <c r="H630" s="13">
        <f>IF($B630="OUT",$D630,0)</f>
      </c>
    </row>
    <row x14ac:dyDescent="0.25" r="631" customHeight="1" ht="17.25">
      <c r="A631" s="52"/>
      <c r="B631" s="2"/>
      <c r="C631" s="2"/>
      <c r="D631" s="3"/>
      <c r="E631" s="3"/>
      <c r="F631" s="2"/>
      <c r="G631" s="13">
        <f>IF($B631="IN",$D631,0)</f>
      </c>
      <c r="H631" s="13">
        <f>IF($B631="OUT",$D631,0)</f>
      </c>
    </row>
    <row x14ac:dyDescent="0.25" r="632" customHeight="1" ht="17.25">
      <c r="A632" s="52"/>
      <c r="B632" s="2"/>
      <c r="C632" s="2"/>
      <c r="D632" s="3"/>
      <c r="E632" s="3"/>
      <c r="F632" s="2"/>
      <c r="G632" s="13">
        <f>IF($B632="IN",$D632,0)</f>
      </c>
      <c r="H632" s="13">
        <f>IF($B632="OUT",$D632,0)</f>
      </c>
    </row>
    <row x14ac:dyDescent="0.25" r="633" customHeight="1" ht="17.25">
      <c r="A633" s="52"/>
      <c r="B633" s="2"/>
      <c r="C633" s="2"/>
      <c r="D633" s="3"/>
      <c r="E633" s="3"/>
      <c r="F633" s="2"/>
      <c r="G633" s="13">
        <f>IF($B633="IN",$D633,0)</f>
      </c>
      <c r="H633" s="13">
        <f>IF($B633="OUT",$D633,0)</f>
      </c>
    </row>
    <row x14ac:dyDescent="0.25" r="634" customHeight="1" ht="17.25">
      <c r="A634" s="52"/>
      <c r="B634" s="2"/>
      <c r="C634" s="2"/>
      <c r="D634" s="3"/>
      <c r="E634" s="3"/>
      <c r="F634" s="2"/>
      <c r="G634" s="13">
        <f>IF($B634="IN",$D634,0)</f>
      </c>
      <c r="H634" s="13">
        <f>IF($B634="OUT",$D634,0)</f>
      </c>
    </row>
    <row x14ac:dyDescent="0.25" r="635" customHeight="1" ht="17.25">
      <c r="A635" s="52"/>
      <c r="B635" s="2"/>
      <c r="C635" s="2"/>
      <c r="D635" s="3"/>
      <c r="E635" s="3"/>
      <c r="F635" s="2"/>
      <c r="G635" s="13">
        <f>IF($B635="IN",$D635,0)</f>
      </c>
      <c r="H635" s="13">
        <f>IF($B635="OUT",$D635,0)</f>
      </c>
    </row>
    <row x14ac:dyDescent="0.25" r="636" customHeight="1" ht="17.25">
      <c r="A636" s="52"/>
      <c r="B636" s="2"/>
      <c r="C636" s="2"/>
      <c r="D636" s="3"/>
      <c r="E636" s="3"/>
      <c r="F636" s="2"/>
      <c r="G636" s="13">
        <f>IF($B636="IN",$D636,0)</f>
      </c>
      <c r="H636" s="13">
        <f>IF($B636="OUT",$D636,0)</f>
      </c>
    </row>
    <row x14ac:dyDescent="0.25" r="637" customHeight="1" ht="17.25">
      <c r="A637" s="52"/>
      <c r="B637" s="2"/>
      <c r="C637" s="2"/>
      <c r="D637" s="3"/>
      <c r="E637" s="3"/>
      <c r="F637" s="2"/>
      <c r="G637" s="13">
        <f>IF($B637="IN",$D637,0)</f>
      </c>
      <c r="H637" s="13">
        <f>IF($B637="OUT",$D637,0)</f>
      </c>
    </row>
    <row x14ac:dyDescent="0.25" r="638" customHeight="1" ht="17.25">
      <c r="A638" s="52"/>
      <c r="B638" s="2"/>
      <c r="C638" s="2"/>
      <c r="D638" s="3"/>
      <c r="E638" s="3"/>
      <c r="F638" s="2"/>
      <c r="G638" s="13">
        <f>IF($B638="IN",$D638,0)</f>
      </c>
      <c r="H638" s="13">
        <f>IF($B638="OUT",$D638,0)</f>
      </c>
    </row>
    <row x14ac:dyDescent="0.25" r="639" customHeight="1" ht="17.25">
      <c r="A639" s="52"/>
      <c r="B639" s="2"/>
      <c r="C639" s="2"/>
      <c r="D639" s="3"/>
      <c r="E639" s="3"/>
      <c r="F639" s="2"/>
      <c r="G639" s="13">
        <f>IF($B639="IN",$D639,0)</f>
      </c>
      <c r="H639" s="13">
        <f>IF($B639="OUT",$D639,0)</f>
      </c>
    </row>
    <row x14ac:dyDescent="0.25" r="640" customHeight="1" ht="17.25">
      <c r="A640" s="52"/>
      <c r="B640" s="2"/>
      <c r="C640" s="2"/>
      <c r="D640" s="3"/>
      <c r="E640" s="3"/>
      <c r="F640" s="2"/>
      <c r="G640" s="13">
        <f>IF($B640="IN",$D640,0)</f>
      </c>
      <c r="H640" s="13">
        <f>IF($B640="OUT",$D640,0)</f>
      </c>
    </row>
    <row x14ac:dyDescent="0.25" r="641" customHeight="1" ht="17.25">
      <c r="A641" s="52"/>
      <c r="B641" s="2"/>
      <c r="C641" s="2"/>
      <c r="D641" s="3"/>
      <c r="E641" s="3"/>
      <c r="F641" s="2"/>
      <c r="G641" s="13">
        <f>IF($B641="IN",$D641,0)</f>
      </c>
      <c r="H641" s="13">
        <f>IF($B641="OUT",$D641,0)</f>
      </c>
    </row>
    <row x14ac:dyDescent="0.25" r="642" customHeight="1" ht="17.25">
      <c r="A642" s="52"/>
      <c r="B642" s="2"/>
      <c r="C642" s="2"/>
      <c r="D642" s="3"/>
      <c r="E642" s="3"/>
      <c r="F642" s="2"/>
      <c r="G642" s="13">
        <f>IF($B642="IN",$D642,0)</f>
      </c>
      <c r="H642" s="13">
        <f>IF($B642="OUT",$D642,0)</f>
      </c>
    </row>
    <row x14ac:dyDescent="0.25" r="643" customHeight="1" ht="17.25">
      <c r="A643" s="52"/>
      <c r="B643" s="2"/>
      <c r="C643" s="2"/>
      <c r="D643" s="3"/>
      <c r="E643" s="3"/>
      <c r="F643" s="2"/>
      <c r="G643" s="13">
        <f>IF($B643="IN",$D643,0)</f>
      </c>
      <c r="H643" s="13">
        <f>IF($B643="OUT",$D643,0)</f>
      </c>
    </row>
    <row x14ac:dyDescent="0.25" r="644" customHeight="1" ht="17.25">
      <c r="A644" s="52"/>
      <c r="B644" s="2"/>
      <c r="C644" s="2"/>
      <c r="D644" s="3"/>
      <c r="E644" s="3"/>
      <c r="F644" s="2"/>
      <c r="G644" s="13">
        <f>IF($B644="IN",$D644,0)</f>
      </c>
      <c r="H644" s="13">
        <f>IF($B644="OUT",$D644,0)</f>
      </c>
    </row>
    <row x14ac:dyDescent="0.25" r="645" customHeight="1" ht="17.25">
      <c r="A645" s="52"/>
      <c r="B645" s="2"/>
      <c r="C645" s="2"/>
      <c r="D645" s="3"/>
      <c r="E645" s="3"/>
      <c r="F645" s="2"/>
      <c r="G645" s="13">
        <f>IF($B645="IN",$D645,0)</f>
      </c>
      <c r="H645" s="13">
        <f>IF($B645="OUT",$D645,0)</f>
      </c>
    </row>
    <row x14ac:dyDescent="0.25" r="646" customHeight="1" ht="17.25">
      <c r="A646" s="52"/>
      <c r="B646" s="2"/>
      <c r="C646" s="2"/>
      <c r="D646" s="3"/>
      <c r="E646" s="3"/>
      <c r="F646" s="2"/>
      <c r="G646" s="13">
        <f>IF($B646="IN",$D646,0)</f>
      </c>
      <c r="H646" s="13">
        <f>IF($B646="OUT",$D646,0)</f>
      </c>
    </row>
    <row x14ac:dyDescent="0.25" r="647" customHeight="1" ht="17.25">
      <c r="A647" s="52"/>
      <c r="B647" s="2"/>
      <c r="C647" s="2"/>
      <c r="D647" s="3"/>
      <c r="E647" s="3"/>
      <c r="F647" s="2"/>
      <c r="G647" s="13">
        <f>IF($B647="IN",$D647,0)</f>
      </c>
      <c r="H647" s="13">
        <f>IF($B647="OUT",$D647,0)</f>
      </c>
    </row>
    <row x14ac:dyDescent="0.25" r="648" customHeight="1" ht="17.25">
      <c r="A648" s="52"/>
      <c r="B648" s="2"/>
      <c r="C648" s="2"/>
      <c r="D648" s="3"/>
      <c r="E648" s="3"/>
      <c r="F648" s="2"/>
      <c r="G648" s="13">
        <f>IF($B648="IN",$D648,0)</f>
      </c>
      <c r="H648" s="13">
        <f>IF($B648="OUT",$D648,0)</f>
      </c>
    </row>
    <row x14ac:dyDescent="0.25" r="649" customHeight="1" ht="17.25">
      <c r="A649" s="52"/>
      <c r="B649" s="2"/>
      <c r="C649" s="2"/>
      <c r="D649" s="3"/>
      <c r="E649" s="3"/>
      <c r="F649" s="2"/>
      <c r="G649" s="13">
        <f>IF($B649="IN",$D649,0)</f>
      </c>
      <c r="H649" s="13">
        <f>IF($B649="OUT",$D649,0)</f>
      </c>
    </row>
    <row x14ac:dyDescent="0.25" r="650" customHeight="1" ht="17.25">
      <c r="A650" s="52"/>
      <c r="B650" s="2"/>
      <c r="C650" s="2"/>
      <c r="D650" s="3"/>
      <c r="E650" s="3"/>
      <c r="F650" s="2"/>
      <c r="G650" s="13">
        <f>IF($B650="IN",$D650,0)</f>
      </c>
      <c r="H650" s="13">
        <f>IF($B650="OUT",$D650,0)</f>
      </c>
    </row>
    <row x14ac:dyDescent="0.25" r="651" customHeight="1" ht="17.25">
      <c r="A651" s="52"/>
      <c r="B651" s="2"/>
      <c r="C651" s="2"/>
      <c r="D651" s="3"/>
      <c r="E651" s="3"/>
      <c r="F651" s="2"/>
      <c r="G651" s="13">
        <f>IF($B651="IN",$D651,0)</f>
      </c>
      <c r="H651" s="13">
        <f>IF($B651="OUT",$D651,0)</f>
      </c>
    </row>
    <row x14ac:dyDescent="0.25" r="652" customHeight="1" ht="17.25">
      <c r="A652" s="52"/>
      <c r="B652" s="2"/>
      <c r="C652" s="2"/>
      <c r="D652" s="3"/>
      <c r="E652" s="3"/>
      <c r="F652" s="2"/>
      <c r="G652" s="13">
        <f>IF($B652="IN",$D652,0)</f>
      </c>
      <c r="H652" s="13">
        <f>IF($B652="OUT",$D652,0)</f>
      </c>
    </row>
    <row x14ac:dyDescent="0.25" r="653" customHeight="1" ht="17.25">
      <c r="A653" s="52"/>
      <c r="B653" s="2"/>
      <c r="C653" s="2"/>
      <c r="D653" s="3"/>
      <c r="E653" s="3"/>
      <c r="F653" s="2"/>
      <c r="G653" s="13">
        <f>IF($B653="IN",$D653,0)</f>
      </c>
      <c r="H653" s="13">
        <f>IF($B653="OUT",$D653,0)</f>
      </c>
    </row>
    <row x14ac:dyDescent="0.25" r="654" customHeight="1" ht="17.25">
      <c r="A654" s="52"/>
      <c r="B654" s="2"/>
      <c r="C654" s="2"/>
      <c r="D654" s="3"/>
      <c r="E654" s="3"/>
      <c r="F654" s="2"/>
      <c r="G654" s="13">
        <f>IF($B654="IN",$D654,0)</f>
      </c>
      <c r="H654" s="13">
        <f>IF($B654="OUT",$D654,0)</f>
      </c>
    </row>
    <row x14ac:dyDescent="0.25" r="655" customHeight="1" ht="17.25">
      <c r="A655" s="52"/>
      <c r="B655" s="2"/>
      <c r="C655" s="2"/>
      <c r="D655" s="3"/>
      <c r="E655" s="3"/>
      <c r="F655" s="2"/>
      <c r="G655" s="13">
        <f>IF($B655="IN",$D655,0)</f>
      </c>
      <c r="H655" s="13">
        <f>IF($B655="OUT",$D655,0)</f>
      </c>
    </row>
    <row x14ac:dyDescent="0.25" r="656" customHeight="1" ht="17.25">
      <c r="A656" s="52"/>
      <c r="B656" s="2"/>
      <c r="C656" s="2"/>
      <c r="D656" s="3"/>
      <c r="E656" s="3"/>
      <c r="F656" s="2"/>
      <c r="G656" s="13">
        <f>IF($B656="IN",$D656,0)</f>
      </c>
      <c r="H656" s="13">
        <f>IF($B656="OUT",$D656,0)</f>
      </c>
    </row>
    <row x14ac:dyDescent="0.25" r="657" customHeight="1" ht="17.25">
      <c r="A657" s="52"/>
      <c r="B657" s="2"/>
      <c r="C657" s="2"/>
      <c r="D657" s="3"/>
      <c r="E657" s="3"/>
      <c r="F657" s="2"/>
      <c r="G657" s="13">
        <f>IF($B657="IN",$D657,0)</f>
      </c>
      <c r="H657" s="13">
        <f>IF($B657="OUT",$D657,0)</f>
      </c>
    </row>
    <row x14ac:dyDescent="0.25" r="658" customHeight="1" ht="17.25">
      <c r="A658" s="52"/>
      <c r="B658" s="2"/>
      <c r="C658" s="2"/>
      <c r="D658" s="3"/>
      <c r="E658" s="3"/>
      <c r="F658" s="2"/>
      <c r="G658" s="13">
        <f>IF($B658="IN",$D658,0)</f>
      </c>
      <c r="H658" s="13">
        <f>IF($B658="OUT",$D658,0)</f>
      </c>
    </row>
    <row x14ac:dyDescent="0.25" r="659" customHeight="1" ht="17.25">
      <c r="A659" s="52"/>
      <c r="B659" s="2"/>
      <c r="C659" s="2"/>
      <c r="D659" s="3"/>
      <c r="E659" s="3"/>
      <c r="F659" s="2"/>
      <c r="G659" s="13">
        <f>IF($B659="IN",$D659,0)</f>
      </c>
      <c r="H659" s="13">
        <f>IF($B659="OUT",$D659,0)</f>
      </c>
    </row>
    <row x14ac:dyDescent="0.25" r="660" customHeight="1" ht="17.25">
      <c r="A660" s="52"/>
      <c r="B660" s="2"/>
      <c r="C660" s="2"/>
      <c r="D660" s="3"/>
      <c r="E660" s="3"/>
      <c r="F660" s="2"/>
      <c r="G660" s="13">
        <f>IF($B660="IN",$D660,0)</f>
      </c>
      <c r="H660" s="13">
        <f>IF($B660="OUT",$D660,0)</f>
      </c>
    </row>
    <row x14ac:dyDescent="0.25" r="661" customHeight="1" ht="17.25">
      <c r="A661" s="52"/>
      <c r="B661" s="2"/>
      <c r="C661" s="2"/>
      <c r="D661" s="3"/>
      <c r="E661" s="3"/>
      <c r="F661" s="2"/>
      <c r="G661" s="13">
        <f>IF($B661="IN",$D661,0)</f>
      </c>
      <c r="H661" s="13">
        <f>IF($B661="OUT",$D661,0)</f>
      </c>
    </row>
    <row x14ac:dyDescent="0.25" r="662" customHeight="1" ht="17.25">
      <c r="A662" s="52"/>
      <c r="B662" s="2"/>
      <c r="C662" s="2"/>
      <c r="D662" s="3"/>
      <c r="E662" s="3"/>
      <c r="F662" s="2"/>
      <c r="G662" s="13">
        <f>IF($B662="IN",$D662,0)</f>
      </c>
      <c r="H662" s="13">
        <f>IF($B662="OUT",$D662,0)</f>
      </c>
    </row>
    <row x14ac:dyDescent="0.25" r="663" customHeight="1" ht="17.25">
      <c r="A663" s="52"/>
      <c r="B663" s="2"/>
      <c r="C663" s="2"/>
      <c r="D663" s="3"/>
      <c r="E663" s="3"/>
      <c r="F663" s="2"/>
      <c r="G663" s="13">
        <f>IF($B663="IN",$D663,0)</f>
      </c>
      <c r="H663" s="13">
        <f>IF($B663="OUT",$D663,0)</f>
      </c>
    </row>
    <row x14ac:dyDescent="0.25" r="664" customHeight="1" ht="17.25">
      <c r="A664" s="52"/>
      <c r="B664" s="2"/>
      <c r="C664" s="2"/>
      <c r="D664" s="3"/>
      <c r="E664" s="3"/>
      <c r="F664" s="2"/>
      <c r="G664" s="13">
        <f>IF($B664="IN",$D664,0)</f>
      </c>
      <c r="H664" s="13">
        <f>IF($B664="OUT",$D664,0)</f>
      </c>
    </row>
    <row x14ac:dyDescent="0.25" r="665" customHeight="1" ht="17.25">
      <c r="A665" s="52"/>
      <c r="B665" s="2"/>
      <c r="C665" s="2"/>
      <c r="D665" s="3"/>
      <c r="E665" s="3"/>
      <c r="F665" s="2"/>
      <c r="G665" s="13">
        <f>IF($B665="IN",$D665,0)</f>
      </c>
      <c r="H665" s="13">
        <f>IF($B665="OUT",$D665,0)</f>
      </c>
    </row>
    <row x14ac:dyDescent="0.25" r="666" customHeight="1" ht="17.25">
      <c r="A666" s="52"/>
      <c r="B666" s="2"/>
      <c r="C666" s="2"/>
      <c r="D666" s="3"/>
      <c r="E666" s="3"/>
      <c r="F666" s="2"/>
      <c r="G666" s="13">
        <f>IF($B666="IN",$D666,0)</f>
      </c>
      <c r="H666" s="13">
        <f>IF($B666="OUT",$D666,0)</f>
      </c>
    </row>
    <row x14ac:dyDescent="0.25" r="667" customHeight="1" ht="17.25">
      <c r="A667" s="52"/>
      <c r="B667" s="2"/>
      <c r="C667" s="2"/>
      <c r="D667" s="3"/>
      <c r="E667" s="3"/>
      <c r="F667" s="2"/>
      <c r="G667" s="13">
        <f>IF($B667="IN",$D667,0)</f>
      </c>
      <c r="H667" s="13">
        <f>IF($B667="OUT",$D667,0)</f>
      </c>
    </row>
    <row x14ac:dyDescent="0.25" r="668" customHeight="1" ht="17.25">
      <c r="A668" s="52"/>
      <c r="B668" s="2"/>
      <c r="C668" s="2"/>
      <c r="D668" s="3"/>
      <c r="E668" s="3"/>
      <c r="F668" s="2"/>
      <c r="G668" s="13">
        <f>IF($B668="IN",$D668,0)</f>
      </c>
      <c r="H668" s="13">
        <f>IF($B668="OUT",$D668,0)</f>
      </c>
    </row>
    <row x14ac:dyDescent="0.25" r="669" customHeight="1" ht="17.25">
      <c r="A669" s="52"/>
      <c r="B669" s="2"/>
      <c r="C669" s="2"/>
      <c r="D669" s="3"/>
      <c r="E669" s="3"/>
      <c r="F669" s="2"/>
      <c r="G669" s="13">
        <f>IF($B669="IN",$D669,0)</f>
      </c>
      <c r="H669" s="13">
        <f>IF($B669="OUT",$D669,0)</f>
      </c>
    </row>
    <row x14ac:dyDescent="0.25" r="670" customHeight="1" ht="17.25">
      <c r="A670" s="52"/>
      <c r="B670" s="2"/>
      <c r="C670" s="2"/>
      <c r="D670" s="3"/>
      <c r="E670" s="3"/>
      <c r="F670" s="2"/>
      <c r="G670" s="13">
        <f>IF($B670="IN",$D670,0)</f>
      </c>
      <c r="H670" s="13">
        <f>IF($B670="OUT",$D670,0)</f>
      </c>
    </row>
    <row x14ac:dyDescent="0.25" r="671" customHeight="1" ht="17.25">
      <c r="A671" s="52"/>
      <c r="B671" s="2"/>
      <c r="C671" s="2"/>
      <c r="D671" s="3"/>
      <c r="E671" s="3"/>
      <c r="F671" s="2"/>
      <c r="G671" s="13">
        <f>IF($B671="IN",$D671,0)</f>
      </c>
      <c r="H671" s="13">
        <f>IF($B671="OUT",$D671,0)</f>
      </c>
    </row>
    <row x14ac:dyDescent="0.25" r="672" customHeight="1" ht="17.25">
      <c r="A672" s="52"/>
      <c r="B672" s="2"/>
      <c r="C672" s="2"/>
      <c r="D672" s="3"/>
      <c r="E672" s="3"/>
      <c r="F672" s="2"/>
      <c r="G672" s="13">
        <f>IF($B672="IN",$D672,0)</f>
      </c>
      <c r="H672" s="13">
        <f>IF($B672="OUT",$D672,0)</f>
      </c>
    </row>
    <row x14ac:dyDescent="0.25" r="673" customHeight="1" ht="17.25">
      <c r="A673" s="52"/>
      <c r="B673" s="2"/>
      <c r="C673" s="2"/>
      <c r="D673" s="3"/>
      <c r="E673" s="3"/>
      <c r="F673" s="2"/>
      <c r="G673" s="13">
        <f>IF($B673="IN",$D673,0)</f>
      </c>
      <c r="H673" s="13">
        <f>IF($B673="OUT",$D673,0)</f>
      </c>
    </row>
    <row x14ac:dyDescent="0.25" r="674" customHeight="1" ht="17.25">
      <c r="A674" s="52"/>
      <c r="B674" s="2"/>
      <c r="C674" s="2"/>
      <c r="D674" s="3"/>
      <c r="E674" s="3"/>
      <c r="F674" s="2"/>
      <c r="G674" s="13">
        <f>IF($B674="IN",$D674,0)</f>
      </c>
      <c r="H674" s="13">
        <f>IF($B674="OUT",$D674,0)</f>
      </c>
    </row>
    <row x14ac:dyDescent="0.25" r="675" customHeight="1" ht="17.25">
      <c r="A675" s="52"/>
      <c r="B675" s="2"/>
      <c r="C675" s="2"/>
      <c r="D675" s="3"/>
      <c r="E675" s="3"/>
      <c r="F675" s="2"/>
      <c r="G675" s="13">
        <f>IF($B675="IN",$D675,0)</f>
      </c>
      <c r="H675" s="13">
        <f>IF($B675="OUT",$D675,0)</f>
      </c>
    </row>
    <row x14ac:dyDescent="0.25" r="676" customHeight="1" ht="17.25">
      <c r="A676" s="52"/>
      <c r="B676" s="2"/>
      <c r="C676" s="2"/>
      <c r="D676" s="3"/>
      <c r="E676" s="3"/>
      <c r="F676" s="2"/>
      <c r="G676" s="13">
        <f>IF($B676="IN",$D676,0)</f>
      </c>
      <c r="H676" s="13">
        <f>IF($B676="OUT",$D676,0)</f>
      </c>
    </row>
    <row x14ac:dyDescent="0.25" r="677" customHeight="1" ht="17.25">
      <c r="A677" s="52"/>
      <c r="B677" s="2"/>
      <c r="C677" s="2"/>
      <c r="D677" s="3"/>
      <c r="E677" s="3"/>
      <c r="F677" s="2"/>
      <c r="G677" s="13">
        <f>IF($B677="IN",$D677,0)</f>
      </c>
      <c r="H677" s="13">
        <f>IF($B677="OUT",$D677,0)</f>
      </c>
    </row>
    <row x14ac:dyDescent="0.25" r="678" customHeight="1" ht="17.25">
      <c r="A678" s="52"/>
      <c r="B678" s="2"/>
      <c r="C678" s="2"/>
      <c r="D678" s="3"/>
      <c r="E678" s="3"/>
      <c r="F678" s="2"/>
      <c r="G678" s="13">
        <f>IF($B678="IN",$D678,0)</f>
      </c>
      <c r="H678" s="13">
        <f>IF($B678="OUT",$D678,0)</f>
      </c>
    </row>
    <row x14ac:dyDescent="0.25" r="679" customHeight="1" ht="17.25">
      <c r="A679" s="52"/>
      <c r="B679" s="2"/>
      <c r="C679" s="2"/>
      <c r="D679" s="3"/>
      <c r="E679" s="3"/>
      <c r="F679" s="2"/>
      <c r="G679" s="13">
        <f>IF($B679="IN",$D679,0)</f>
      </c>
      <c r="H679" s="13">
        <f>IF($B679="OUT",$D679,0)</f>
      </c>
    </row>
    <row x14ac:dyDescent="0.25" r="680" customHeight="1" ht="17.25">
      <c r="A680" s="52"/>
      <c r="B680" s="2"/>
      <c r="C680" s="2"/>
      <c r="D680" s="3"/>
      <c r="E680" s="3"/>
      <c r="F680" s="2"/>
      <c r="G680" s="13">
        <f>IF($B680="IN",$D680,0)</f>
      </c>
      <c r="H680" s="13">
        <f>IF($B680="OUT",$D680,0)</f>
      </c>
    </row>
    <row x14ac:dyDescent="0.25" r="681" customHeight="1" ht="17.25">
      <c r="A681" s="52"/>
      <c r="B681" s="2"/>
      <c r="C681" s="2"/>
      <c r="D681" s="3"/>
      <c r="E681" s="3"/>
      <c r="F681" s="2"/>
      <c r="G681" s="13">
        <f>IF($B681="IN",$D681,0)</f>
      </c>
      <c r="H681" s="13">
        <f>IF($B681="OUT",$D681,0)</f>
      </c>
    </row>
    <row x14ac:dyDescent="0.25" r="682" customHeight="1" ht="17.25">
      <c r="A682" s="52"/>
      <c r="B682" s="2"/>
      <c r="C682" s="2"/>
      <c r="D682" s="3"/>
      <c r="E682" s="3"/>
      <c r="F682" s="2"/>
      <c r="G682" s="13">
        <f>IF($B682="IN",$D682,0)</f>
      </c>
      <c r="H682" s="13">
        <f>IF($B682="OUT",$D682,0)</f>
      </c>
    </row>
    <row x14ac:dyDescent="0.25" r="683" customHeight="1" ht="17.25">
      <c r="A683" s="52"/>
      <c r="B683" s="2"/>
      <c r="C683" s="2"/>
      <c r="D683" s="3"/>
      <c r="E683" s="3"/>
      <c r="F683" s="2"/>
      <c r="G683" s="13">
        <f>IF($B683="IN",$D683,0)</f>
      </c>
      <c r="H683" s="13">
        <f>IF($B683="OUT",$D683,0)</f>
      </c>
    </row>
    <row x14ac:dyDescent="0.25" r="684" customHeight="1" ht="17.25">
      <c r="A684" s="52"/>
      <c r="B684" s="2"/>
      <c r="C684" s="2"/>
      <c r="D684" s="3"/>
      <c r="E684" s="3"/>
      <c r="F684" s="2"/>
      <c r="G684" s="13">
        <f>IF($B684="IN",$D684,0)</f>
      </c>
      <c r="H684" s="13">
        <f>IF($B684="OUT",$D684,0)</f>
      </c>
    </row>
    <row x14ac:dyDescent="0.25" r="685" customHeight="1" ht="17.25">
      <c r="A685" s="52"/>
      <c r="B685" s="2"/>
      <c r="C685" s="2"/>
      <c r="D685" s="3"/>
      <c r="E685" s="3"/>
      <c r="F685" s="2"/>
      <c r="G685" s="13">
        <f>IF($B685="IN",$D685,0)</f>
      </c>
      <c r="H685" s="13">
        <f>IF($B685="OUT",$D685,0)</f>
      </c>
    </row>
    <row x14ac:dyDescent="0.25" r="686" customHeight="1" ht="17.25">
      <c r="A686" s="52"/>
      <c r="B686" s="2"/>
      <c r="C686" s="2"/>
      <c r="D686" s="3"/>
      <c r="E686" s="3"/>
      <c r="F686" s="2"/>
      <c r="G686" s="13">
        <f>IF($B686="IN",$D686,0)</f>
      </c>
      <c r="H686" s="13">
        <f>IF($B686="OUT",$D686,0)</f>
      </c>
    </row>
    <row x14ac:dyDescent="0.25" r="687" customHeight="1" ht="17.25">
      <c r="A687" s="52"/>
      <c r="B687" s="2"/>
      <c r="C687" s="2"/>
      <c r="D687" s="3"/>
      <c r="E687" s="3"/>
      <c r="F687" s="2"/>
      <c r="G687" s="13">
        <f>IF($B687="IN",$D687,0)</f>
      </c>
      <c r="H687" s="13">
        <f>IF($B687="OUT",$D687,0)</f>
      </c>
    </row>
    <row x14ac:dyDescent="0.25" r="688" customHeight="1" ht="17.25">
      <c r="A688" s="52"/>
      <c r="B688" s="2"/>
      <c r="C688" s="2"/>
      <c r="D688" s="3"/>
      <c r="E688" s="3"/>
      <c r="F688" s="2"/>
      <c r="G688" s="13">
        <f>IF($B688="IN",$D688,0)</f>
      </c>
      <c r="H688" s="13">
        <f>IF($B688="OUT",$D688,0)</f>
      </c>
    </row>
    <row x14ac:dyDescent="0.25" r="689" customHeight="1" ht="17.25">
      <c r="A689" s="52"/>
      <c r="B689" s="2"/>
      <c r="C689" s="2"/>
      <c r="D689" s="3"/>
      <c r="E689" s="3"/>
      <c r="F689" s="2"/>
      <c r="G689" s="13">
        <f>IF($B689="IN",$D689,0)</f>
      </c>
      <c r="H689" s="13">
        <f>IF($B689="OUT",$D689,0)</f>
      </c>
    </row>
    <row x14ac:dyDescent="0.25" r="690" customHeight="1" ht="17.25">
      <c r="A690" s="52"/>
      <c r="B690" s="2"/>
      <c r="C690" s="2"/>
      <c r="D690" s="3"/>
      <c r="E690" s="3"/>
      <c r="F690" s="2"/>
      <c r="G690" s="13">
        <f>IF($B690="IN",$D690,0)</f>
      </c>
      <c r="H690" s="13">
        <f>IF($B690="OUT",$D690,0)</f>
      </c>
    </row>
    <row x14ac:dyDescent="0.25" r="691" customHeight="1" ht="17.25">
      <c r="A691" s="52"/>
      <c r="B691" s="2"/>
      <c r="C691" s="2"/>
      <c r="D691" s="3"/>
      <c r="E691" s="3"/>
      <c r="F691" s="2"/>
      <c r="G691" s="13">
        <f>IF($B691="IN",$D691,0)</f>
      </c>
      <c r="H691" s="13">
        <f>IF($B691="OUT",$D691,0)</f>
      </c>
    </row>
    <row x14ac:dyDescent="0.25" r="692" customHeight="1" ht="17.25">
      <c r="A692" s="52"/>
      <c r="B692" s="2"/>
      <c r="C692" s="2"/>
      <c r="D692" s="3"/>
      <c r="E692" s="3"/>
      <c r="F692" s="2"/>
      <c r="G692" s="13">
        <f>IF($B692="IN",$D692,0)</f>
      </c>
      <c r="H692" s="13">
        <f>IF($B692="OUT",$D692,0)</f>
      </c>
    </row>
    <row x14ac:dyDescent="0.25" r="693" customHeight="1" ht="17.25">
      <c r="A693" s="52"/>
      <c r="B693" s="2"/>
      <c r="C693" s="2"/>
      <c r="D693" s="3"/>
      <c r="E693" s="3"/>
      <c r="F693" s="2"/>
      <c r="G693" s="13">
        <f>IF($B693="IN",$D693,0)</f>
      </c>
      <c r="H693" s="13">
        <f>IF($B693="OUT",$D693,0)</f>
      </c>
    </row>
    <row x14ac:dyDescent="0.25" r="694" customHeight="1" ht="17.25">
      <c r="A694" s="52"/>
      <c r="B694" s="2"/>
      <c r="C694" s="2"/>
      <c r="D694" s="3"/>
      <c r="E694" s="3"/>
      <c r="F694" s="2"/>
      <c r="G694" s="13">
        <f>IF($B694="IN",$D694,0)</f>
      </c>
      <c r="H694" s="13">
        <f>IF($B694="OUT",$D694,0)</f>
      </c>
    </row>
    <row x14ac:dyDescent="0.25" r="695" customHeight="1" ht="17.25">
      <c r="A695" s="52"/>
      <c r="B695" s="2"/>
      <c r="C695" s="2"/>
      <c r="D695" s="3"/>
      <c r="E695" s="3"/>
      <c r="F695" s="2"/>
      <c r="G695" s="13">
        <f>IF($B695="IN",$D695,0)</f>
      </c>
      <c r="H695" s="13">
        <f>IF($B695="OUT",$D695,0)</f>
      </c>
    </row>
    <row x14ac:dyDescent="0.25" r="696" customHeight="1" ht="17.25">
      <c r="A696" s="52"/>
      <c r="B696" s="2"/>
      <c r="C696" s="2"/>
      <c r="D696" s="3"/>
      <c r="E696" s="3"/>
      <c r="F696" s="2"/>
      <c r="G696" s="13">
        <f>IF($B696="IN",$D696,0)</f>
      </c>
      <c r="H696" s="13">
        <f>IF($B696="OUT",$D696,0)</f>
      </c>
    </row>
    <row x14ac:dyDescent="0.25" r="697" customHeight="1" ht="17.25">
      <c r="A697" s="52"/>
      <c r="B697" s="2"/>
      <c r="C697" s="2"/>
      <c r="D697" s="3"/>
      <c r="E697" s="3"/>
      <c r="F697" s="2"/>
      <c r="G697" s="13">
        <f>IF($B697="IN",$D697,0)</f>
      </c>
      <c r="H697" s="13">
        <f>IF($B697="OUT",$D697,0)</f>
      </c>
    </row>
    <row x14ac:dyDescent="0.25" r="698" customHeight="1" ht="17.25">
      <c r="A698" s="52"/>
      <c r="B698" s="2"/>
      <c r="C698" s="2"/>
      <c r="D698" s="3"/>
      <c r="E698" s="3"/>
      <c r="F698" s="2"/>
      <c r="G698" s="13">
        <f>IF($B698="IN",$D698,0)</f>
      </c>
      <c r="H698" s="13">
        <f>IF($B698="OUT",$D698,0)</f>
      </c>
    </row>
    <row x14ac:dyDescent="0.25" r="699" customHeight="1" ht="17.25">
      <c r="A699" s="52"/>
      <c r="B699" s="2"/>
      <c r="C699" s="2"/>
      <c r="D699" s="3"/>
      <c r="E699" s="3"/>
      <c r="F699" s="2"/>
      <c r="G699" s="13">
        <f>IF($B699="IN",$D699,0)</f>
      </c>
      <c r="H699" s="13">
        <f>IF($B699="OUT",$D699,0)</f>
      </c>
    </row>
    <row x14ac:dyDescent="0.25" r="700" customHeight="1" ht="17.25">
      <c r="A700" s="52"/>
      <c r="B700" s="2"/>
      <c r="C700" s="2"/>
      <c r="D700" s="3"/>
      <c r="E700" s="3"/>
      <c r="F700" s="2"/>
      <c r="G700" s="13">
        <f>IF($B700="IN",$D700,0)</f>
      </c>
      <c r="H700" s="13">
        <f>IF($B700="OUT",$D700,0)</f>
      </c>
    </row>
    <row x14ac:dyDescent="0.25" r="701" customHeight="1" ht="17.25">
      <c r="A701" s="52"/>
      <c r="B701" s="2"/>
      <c r="C701" s="2"/>
      <c r="D701" s="3"/>
      <c r="E701" s="3"/>
      <c r="F701" s="2"/>
      <c r="G701" s="13">
        <f>IF($B701="IN",$D701,0)</f>
      </c>
      <c r="H701" s="13">
        <f>IF($B701="OUT",$D701,0)</f>
      </c>
    </row>
    <row x14ac:dyDescent="0.25" r="702" customHeight="1" ht="17.25">
      <c r="A702" s="52"/>
      <c r="B702" s="2"/>
      <c r="C702" s="2"/>
      <c r="D702" s="3"/>
      <c r="E702" s="3"/>
      <c r="F702" s="2"/>
      <c r="G702" s="13">
        <f>IF($B702="IN",$D702,0)</f>
      </c>
      <c r="H702" s="13">
        <f>IF($B702="OUT",$D702,0)</f>
      </c>
    </row>
    <row x14ac:dyDescent="0.25" r="703" customHeight="1" ht="17.25">
      <c r="A703" s="52"/>
      <c r="B703" s="2"/>
      <c r="C703" s="2"/>
      <c r="D703" s="3"/>
      <c r="E703" s="3"/>
      <c r="F703" s="2"/>
      <c r="G703" s="13">
        <f>IF($B703="IN",$D703,0)</f>
      </c>
      <c r="H703" s="13">
        <f>IF($B703="OUT",$D703,0)</f>
      </c>
    </row>
    <row x14ac:dyDescent="0.25" r="704" customHeight="1" ht="17.25">
      <c r="A704" s="52"/>
      <c r="B704" s="2"/>
      <c r="C704" s="2"/>
      <c r="D704" s="3"/>
      <c r="E704" s="3"/>
      <c r="F704" s="2"/>
      <c r="G704" s="13">
        <f>IF($B704="IN",$D704,0)</f>
      </c>
      <c r="H704" s="13">
        <f>IF($B704="OUT",$D704,0)</f>
      </c>
    </row>
    <row x14ac:dyDescent="0.25" r="705" customHeight="1" ht="17.25">
      <c r="A705" s="52"/>
      <c r="B705" s="2"/>
      <c r="C705" s="2"/>
      <c r="D705" s="3"/>
      <c r="E705" s="3"/>
      <c r="F705" s="2"/>
      <c r="G705" s="13">
        <f>IF($B705="IN",$D705,0)</f>
      </c>
      <c r="H705" s="13">
        <f>IF($B705="OUT",$D705,0)</f>
      </c>
    </row>
    <row x14ac:dyDescent="0.25" r="706" customHeight="1" ht="17.25">
      <c r="A706" s="52"/>
      <c r="B706" s="2"/>
      <c r="C706" s="2"/>
      <c r="D706" s="3"/>
      <c r="E706" s="3"/>
      <c r="F706" s="2"/>
      <c r="G706" s="13">
        <f>IF($B706="IN",$D706,0)</f>
      </c>
      <c r="H706" s="13">
        <f>IF($B706="OUT",$D706,0)</f>
      </c>
    </row>
    <row x14ac:dyDescent="0.25" r="707" customHeight="1" ht="17.25">
      <c r="A707" s="52"/>
      <c r="B707" s="2"/>
      <c r="C707" s="2"/>
      <c r="D707" s="3"/>
      <c r="E707" s="3"/>
      <c r="F707" s="2"/>
      <c r="G707" s="13">
        <f>IF($B707="IN",$D707,0)</f>
      </c>
      <c r="H707" s="13">
        <f>IF($B707="OUT",$D707,0)</f>
      </c>
    </row>
    <row x14ac:dyDescent="0.25" r="708" customHeight="1" ht="17.25">
      <c r="A708" s="52"/>
      <c r="B708" s="2"/>
      <c r="C708" s="2"/>
      <c r="D708" s="3"/>
      <c r="E708" s="3"/>
      <c r="F708" s="2"/>
      <c r="G708" s="13">
        <f>IF($B708="IN",$D708,0)</f>
      </c>
      <c r="H708" s="13">
        <f>IF($B708="OUT",$D708,0)</f>
      </c>
    </row>
    <row x14ac:dyDescent="0.25" r="709" customHeight="1" ht="17.25">
      <c r="A709" s="52"/>
      <c r="B709" s="2"/>
      <c r="C709" s="2"/>
      <c r="D709" s="3"/>
      <c r="E709" s="3"/>
      <c r="F709" s="2"/>
      <c r="G709" s="13">
        <f>IF($B709="IN",$D709,0)</f>
      </c>
      <c r="H709" s="13">
        <f>IF($B709="OUT",$D709,0)</f>
      </c>
    </row>
    <row x14ac:dyDescent="0.25" r="710" customHeight="1" ht="17.25">
      <c r="A710" s="52"/>
      <c r="B710" s="2"/>
      <c r="C710" s="2"/>
      <c r="D710" s="3"/>
      <c r="E710" s="3"/>
      <c r="F710" s="2"/>
      <c r="G710" s="13">
        <f>IF($B710="IN",$D710,0)</f>
      </c>
      <c r="H710" s="13">
        <f>IF($B710="OUT",$D710,0)</f>
      </c>
    </row>
    <row x14ac:dyDescent="0.25" r="711" customHeight="1" ht="17.25">
      <c r="A711" s="52"/>
      <c r="B711" s="2"/>
      <c r="C711" s="2"/>
      <c r="D711" s="3"/>
      <c r="E711" s="3"/>
      <c r="F711" s="2"/>
      <c r="G711" s="13">
        <f>IF($B711="IN",$D711,0)</f>
      </c>
      <c r="H711" s="13">
        <f>IF($B711="OUT",$D711,0)</f>
      </c>
    </row>
    <row x14ac:dyDescent="0.25" r="712" customHeight="1" ht="17.25">
      <c r="A712" s="52"/>
      <c r="B712" s="2"/>
      <c r="C712" s="2"/>
      <c r="D712" s="3"/>
      <c r="E712" s="3"/>
      <c r="F712" s="2"/>
      <c r="G712" s="13">
        <f>IF($B712="IN",$D712,0)</f>
      </c>
      <c r="H712" s="13">
        <f>IF($B712="OUT",$D712,0)</f>
      </c>
    </row>
    <row x14ac:dyDescent="0.25" r="713" customHeight="1" ht="17.25">
      <c r="A713" s="52"/>
      <c r="B713" s="2"/>
      <c r="C713" s="2"/>
      <c r="D713" s="3"/>
      <c r="E713" s="3"/>
      <c r="F713" s="2"/>
      <c r="G713" s="13">
        <f>IF($B713="IN",$D713,0)</f>
      </c>
      <c r="H713" s="13">
        <f>IF($B713="OUT",$D713,0)</f>
      </c>
    </row>
    <row x14ac:dyDescent="0.25" r="714" customHeight="1" ht="17.25">
      <c r="A714" s="52"/>
      <c r="B714" s="2"/>
      <c r="C714" s="2"/>
      <c r="D714" s="3"/>
      <c r="E714" s="3"/>
      <c r="F714" s="2"/>
      <c r="G714" s="13">
        <f>IF($B714="IN",$D714,0)</f>
      </c>
      <c r="H714" s="13">
        <f>IF($B714="OUT",$D714,0)</f>
      </c>
    </row>
    <row x14ac:dyDescent="0.25" r="715" customHeight="1" ht="17.25">
      <c r="A715" s="52"/>
      <c r="B715" s="2"/>
      <c r="C715" s="2"/>
      <c r="D715" s="3"/>
      <c r="E715" s="3"/>
      <c r="F715" s="2"/>
      <c r="G715" s="13">
        <f>IF($B715="IN",$D715,0)</f>
      </c>
      <c r="H715" s="13">
        <f>IF($B715="OUT",$D715,0)</f>
      </c>
    </row>
    <row x14ac:dyDescent="0.25" r="716" customHeight="1" ht="17.25">
      <c r="A716" s="52"/>
      <c r="B716" s="2"/>
      <c r="C716" s="2"/>
      <c r="D716" s="3"/>
      <c r="E716" s="3"/>
      <c r="F716" s="2"/>
      <c r="G716" s="13">
        <f>IF($B716="IN",$D716,0)</f>
      </c>
      <c r="H716" s="13">
        <f>IF($B716="OUT",$D716,0)</f>
      </c>
    </row>
    <row x14ac:dyDescent="0.25" r="717" customHeight="1" ht="17.25">
      <c r="A717" s="52"/>
      <c r="B717" s="2"/>
      <c r="C717" s="2"/>
      <c r="D717" s="3"/>
      <c r="E717" s="3"/>
      <c r="F717" s="2"/>
      <c r="G717" s="13">
        <f>IF($B717="IN",$D717,0)</f>
      </c>
      <c r="H717" s="13">
        <f>IF($B717="OUT",$D717,0)</f>
      </c>
    </row>
    <row x14ac:dyDescent="0.25" r="718" customHeight="1" ht="17.25">
      <c r="A718" s="52"/>
      <c r="B718" s="2"/>
      <c r="C718" s="2"/>
      <c r="D718" s="3"/>
      <c r="E718" s="3"/>
      <c r="F718" s="2"/>
      <c r="G718" s="13">
        <f>IF($B718="IN",$D718,0)</f>
      </c>
      <c r="H718" s="13">
        <f>IF($B718="OUT",$D718,0)</f>
      </c>
    </row>
    <row x14ac:dyDescent="0.25" r="719" customHeight="1" ht="17.25">
      <c r="A719" s="52"/>
      <c r="B719" s="2"/>
      <c r="C719" s="2"/>
      <c r="D719" s="3"/>
      <c r="E719" s="3"/>
      <c r="F719" s="2"/>
      <c r="G719" s="13">
        <f>IF($B719="IN",$D719,0)</f>
      </c>
      <c r="H719" s="13">
        <f>IF($B719="OUT",$D719,0)</f>
      </c>
    </row>
    <row x14ac:dyDescent="0.25" r="720" customHeight="1" ht="17.25">
      <c r="A720" s="52"/>
      <c r="B720" s="2"/>
      <c r="C720" s="2"/>
      <c r="D720" s="3"/>
      <c r="E720" s="3"/>
      <c r="F720" s="2"/>
      <c r="G720" s="13">
        <f>IF($B720="IN",$D720,0)</f>
      </c>
      <c r="H720" s="13">
        <f>IF($B720="OUT",$D720,0)</f>
      </c>
    </row>
    <row x14ac:dyDescent="0.25" r="721" customHeight="1" ht="17.25">
      <c r="A721" s="52"/>
      <c r="B721" s="2"/>
      <c r="C721" s="2"/>
      <c r="D721" s="3"/>
      <c r="E721" s="3"/>
      <c r="F721" s="2"/>
      <c r="G721" s="13">
        <f>IF($B721="IN",$D721,0)</f>
      </c>
      <c r="H721" s="13">
        <f>IF($B721="OUT",$D721,0)</f>
      </c>
    </row>
    <row x14ac:dyDescent="0.25" r="722" customHeight="1" ht="17.25">
      <c r="A722" s="52"/>
      <c r="B722" s="2"/>
      <c r="C722" s="2"/>
      <c r="D722" s="3"/>
      <c r="E722" s="3"/>
      <c r="F722" s="2"/>
      <c r="G722" s="13">
        <f>IF($B722="IN",$D722,0)</f>
      </c>
      <c r="H722" s="13">
        <f>IF($B722="OUT",$D722,0)</f>
      </c>
    </row>
    <row x14ac:dyDescent="0.25" r="723" customHeight="1" ht="17.25">
      <c r="A723" s="52"/>
      <c r="B723" s="2"/>
      <c r="C723" s="2"/>
      <c r="D723" s="3"/>
      <c r="E723" s="3"/>
      <c r="F723" s="2"/>
      <c r="G723" s="13">
        <f>IF($B723="IN",$D723,0)</f>
      </c>
      <c r="H723" s="13">
        <f>IF($B723="OUT",$D723,0)</f>
      </c>
    </row>
    <row x14ac:dyDescent="0.25" r="724" customHeight="1" ht="17.25">
      <c r="A724" s="52"/>
      <c r="B724" s="2"/>
      <c r="C724" s="2"/>
      <c r="D724" s="3"/>
      <c r="E724" s="3"/>
      <c r="F724" s="2"/>
      <c r="G724" s="13">
        <f>IF($B724="IN",$D724,0)</f>
      </c>
      <c r="H724" s="13">
        <f>IF($B724="OUT",$D724,0)</f>
      </c>
    </row>
    <row x14ac:dyDescent="0.25" r="725" customHeight="1" ht="17.25">
      <c r="A725" s="52"/>
      <c r="B725" s="2"/>
      <c r="C725" s="2"/>
      <c r="D725" s="3"/>
      <c r="E725" s="3"/>
      <c r="F725" s="2"/>
      <c r="G725" s="13">
        <f>IF($B725="IN",$D725,0)</f>
      </c>
      <c r="H725" s="13">
        <f>IF($B725="OUT",$D725,0)</f>
      </c>
    </row>
    <row x14ac:dyDescent="0.25" r="726" customHeight="1" ht="17.25">
      <c r="A726" s="52"/>
      <c r="B726" s="2"/>
      <c r="C726" s="2"/>
      <c r="D726" s="3"/>
      <c r="E726" s="3"/>
      <c r="F726" s="2"/>
      <c r="G726" s="13">
        <f>IF($B726="IN",$D726,0)</f>
      </c>
      <c r="H726" s="13">
        <f>IF($B726="OUT",$D726,0)</f>
      </c>
    </row>
    <row x14ac:dyDescent="0.25" r="727" customHeight="1" ht="17.25">
      <c r="A727" s="52"/>
      <c r="B727" s="2"/>
      <c r="C727" s="2"/>
      <c r="D727" s="3"/>
      <c r="E727" s="3"/>
      <c r="F727" s="2"/>
      <c r="G727" s="13">
        <f>IF($B727="IN",$D727,0)</f>
      </c>
      <c r="H727" s="13">
        <f>IF($B727="OUT",$D727,0)</f>
      </c>
    </row>
    <row x14ac:dyDescent="0.25" r="728" customHeight="1" ht="17.25">
      <c r="A728" s="52"/>
      <c r="B728" s="2"/>
      <c r="C728" s="2"/>
      <c r="D728" s="3"/>
      <c r="E728" s="3"/>
      <c r="F728" s="2"/>
      <c r="G728" s="13">
        <f>IF($B728="IN",$D728,0)</f>
      </c>
      <c r="H728" s="13">
        <f>IF($B728="OUT",$D728,0)</f>
      </c>
    </row>
    <row x14ac:dyDescent="0.25" r="729" customHeight="1" ht="17.25">
      <c r="A729" s="52"/>
      <c r="B729" s="2"/>
      <c r="C729" s="2"/>
      <c r="D729" s="3"/>
      <c r="E729" s="3"/>
      <c r="F729" s="2"/>
      <c r="G729" s="13">
        <f>IF($B729="IN",$D729,0)</f>
      </c>
      <c r="H729" s="13">
        <f>IF($B729="OUT",$D729,0)</f>
      </c>
    </row>
    <row x14ac:dyDescent="0.25" r="730" customHeight="1" ht="17.25">
      <c r="A730" s="52"/>
      <c r="B730" s="2"/>
      <c r="C730" s="2"/>
      <c r="D730" s="3"/>
      <c r="E730" s="3"/>
      <c r="F730" s="2"/>
      <c r="G730" s="13">
        <f>IF($B730="IN",$D730,0)</f>
      </c>
      <c r="H730" s="13">
        <f>IF($B730="OUT",$D730,0)</f>
      </c>
    </row>
    <row x14ac:dyDescent="0.25" r="731" customHeight="1" ht="17.25">
      <c r="A731" s="52"/>
      <c r="B731" s="2"/>
      <c r="C731" s="2"/>
      <c r="D731" s="3"/>
      <c r="E731" s="3"/>
      <c r="F731" s="2"/>
      <c r="G731" s="13">
        <f>IF($B731="IN",$D731,0)</f>
      </c>
      <c r="H731" s="13">
        <f>IF($B731="OUT",$D731,0)</f>
      </c>
    </row>
    <row x14ac:dyDescent="0.25" r="732" customHeight="1" ht="17.25">
      <c r="A732" s="52"/>
      <c r="B732" s="2"/>
      <c r="C732" s="2"/>
      <c r="D732" s="3"/>
      <c r="E732" s="3"/>
      <c r="F732" s="2"/>
      <c r="G732" s="13">
        <f>IF($B732="IN",$D732,0)</f>
      </c>
      <c r="H732" s="13">
        <f>IF($B732="OUT",$D732,0)</f>
      </c>
    </row>
    <row x14ac:dyDescent="0.25" r="733" customHeight="1" ht="17.25">
      <c r="A733" s="52"/>
      <c r="B733" s="2"/>
      <c r="C733" s="2"/>
      <c r="D733" s="3"/>
      <c r="E733" s="3"/>
      <c r="F733" s="2"/>
      <c r="G733" s="13">
        <f>IF($B733="IN",$D733,0)</f>
      </c>
      <c r="H733" s="13">
        <f>IF($B733="OUT",$D733,0)</f>
      </c>
    </row>
    <row x14ac:dyDescent="0.25" r="734" customHeight="1" ht="17.25">
      <c r="A734" s="52"/>
      <c r="B734" s="2"/>
      <c r="C734" s="2"/>
      <c r="D734" s="3"/>
      <c r="E734" s="3"/>
      <c r="F734" s="2"/>
      <c r="G734" s="13">
        <f>IF($B734="IN",$D734,0)</f>
      </c>
      <c r="H734" s="13">
        <f>IF($B734="OUT",$D734,0)</f>
      </c>
    </row>
    <row x14ac:dyDescent="0.25" r="735" customHeight="1" ht="17.25">
      <c r="A735" s="52"/>
      <c r="B735" s="2"/>
      <c r="C735" s="2"/>
      <c r="D735" s="3"/>
      <c r="E735" s="3"/>
      <c r="F735" s="2"/>
      <c r="G735" s="13">
        <f>IF($B735="IN",$D735,0)</f>
      </c>
      <c r="H735" s="13">
        <f>IF($B735="OUT",$D735,0)</f>
      </c>
    </row>
    <row x14ac:dyDescent="0.25" r="736" customHeight="1" ht="17.25">
      <c r="A736" s="52"/>
      <c r="B736" s="2"/>
      <c r="C736" s="2"/>
      <c r="D736" s="3"/>
      <c r="E736" s="3"/>
      <c r="F736" s="2"/>
      <c r="G736" s="13">
        <f>IF($B736="IN",$D736,0)</f>
      </c>
      <c r="H736" s="13">
        <f>IF($B736="OUT",$D736,0)</f>
      </c>
    </row>
    <row x14ac:dyDescent="0.25" r="737" customHeight="1" ht="17.25">
      <c r="A737" s="52"/>
      <c r="B737" s="2"/>
      <c r="C737" s="2"/>
      <c r="D737" s="3"/>
      <c r="E737" s="3"/>
      <c r="F737" s="2"/>
      <c r="G737" s="13">
        <f>IF($B737="IN",$D737,0)</f>
      </c>
      <c r="H737" s="13">
        <f>IF($B737="OUT",$D737,0)</f>
      </c>
    </row>
    <row x14ac:dyDescent="0.25" r="738" customHeight="1" ht="17.25">
      <c r="A738" s="52"/>
      <c r="B738" s="2"/>
      <c r="C738" s="2"/>
      <c r="D738" s="3"/>
      <c r="E738" s="3"/>
      <c r="F738" s="2"/>
      <c r="G738" s="13">
        <f>IF($B738="IN",$D738,0)</f>
      </c>
      <c r="H738" s="13">
        <f>IF($B738="OUT",$D738,0)</f>
      </c>
    </row>
    <row x14ac:dyDescent="0.25" r="739" customHeight="1" ht="17.25">
      <c r="A739" s="52"/>
      <c r="B739" s="2"/>
      <c r="C739" s="2"/>
      <c r="D739" s="3"/>
      <c r="E739" s="3"/>
      <c r="F739" s="2"/>
      <c r="G739" s="13">
        <f>IF($B739="IN",$D739,0)</f>
      </c>
      <c r="H739" s="13">
        <f>IF($B739="OUT",$D739,0)</f>
      </c>
    </row>
    <row x14ac:dyDescent="0.25" r="740" customHeight="1" ht="17.25">
      <c r="A740" s="52"/>
      <c r="B740" s="2"/>
      <c r="C740" s="2"/>
      <c r="D740" s="3"/>
      <c r="E740" s="3"/>
      <c r="F740" s="2"/>
      <c r="G740" s="13">
        <f>IF($B740="IN",$D740,0)</f>
      </c>
      <c r="H740" s="13">
        <f>IF($B740="OUT",$D740,0)</f>
      </c>
    </row>
    <row x14ac:dyDescent="0.25" r="741" customHeight="1" ht="17.25">
      <c r="A741" s="52"/>
      <c r="B741" s="2"/>
      <c r="C741" s="2"/>
      <c r="D741" s="3"/>
      <c r="E741" s="3"/>
      <c r="F741" s="2"/>
      <c r="G741" s="13">
        <f>IF($B741="IN",$D741,0)</f>
      </c>
      <c r="H741" s="13">
        <f>IF($B741="OUT",$D741,0)</f>
      </c>
    </row>
    <row x14ac:dyDescent="0.25" r="742" customHeight="1" ht="17.25">
      <c r="A742" s="52"/>
      <c r="B742" s="2"/>
      <c r="C742" s="2"/>
      <c r="D742" s="3"/>
      <c r="E742" s="3"/>
      <c r="F742" s="2"/>
      <c r="G742" s="13">
        <f>IF($B742="IN",$D742,0)</f>
      </c>
      <c r="H742" s="13">
        <f>IF($B742="OUT",$D742,0)</f>
      </c>
    </row>
    <row x14ac:dyDescent="0.25" r="743" customHeight="1" ht="17.25">
      <c r="A743" s="52"/>
      <c r="B743" s="2"/>
      <c r="C743" s="2"/>
      <c r="D743" s="3"/>
      <c r="E743" s="3"/>
      <c r="F743" s="2"/>
      <c r="G743" s="13">
        <f>IF($B743="IN",$D743,0)</f>
      </c>
      <c r="H743" s="13">
        <f>IF($B743="OUT",$D743,0)</f>
      </c>
    </row>
    <row x14ac:dyDescent="0.25" r="744" customHeight="1" ht="17.25">
      <c r="A744" s="52"/>
      <c r="B744" s="2"/>
      <c r="C744" s="2"/>
      <c r="D744" s="3"/>
      <c r="E744" s="3"/>
      <c r="F744" s="2"/>
      <c r="G744" s="13">
        <f>IF($B744="IN",$D744,0)</f>
      </c>
      <c r="H744" s="13">
        <f>IF($B744="OUT",$D744,0)</f>
      </c>
    </row>
    <row x14ac:dyDescent="0.25" r="745" customHeight="1" ht="17.25">
      <c r="A745" s="52"/>
      <c r="B745" s="2"/>
      <c r="C745" s="2"/>
      <c r="D745" s="3"/>
      <c r="E745" s="3"/>
      <c r="F745" s="2"/>
      <c r="G745" s="13">
        <f>IF($B745="IN",$D745,0)</f>
      </c>
      <c r="H745" s="13">
        <f>IF($B745="OUT",$D745,0)</f>
      </c>
    </row>
    <row x14ac:dyDescent="0.25" r="746" customHeight="1" ht="17.25">
      <c r="A746" s="52"/>
      <c r="B746" s="2"/>
      <c r="C746" s="2"/>
      <c r="D746" s="3"/>
      <c r="E746" s="3"/>
      <c r="F746" s="2"/>
      <c r="G746" s="13">
        <f>IF($B746="IN",$D746,0)</f>
      </c>
      <c r="H746" s="13">
        <f>IF($B746="OUT",$D746,0)</f>
      </c>
    </row>
    <row x14ac:dyDescent="0.25" r="747" customHeight="1" ht="17.25">
      <c r="A747" s="52"/>
      <c r="B747" s="2"/>
      <c r="C747" s="2"/>
      <c r="D747" s="3"/>
      <c r="E747" s="3"/>
      <c r="F747" s="2"/>
      <c r="G747" s="13">
        <f>IF($B747="IN",$D747,0)</f>
      </c>
      <c r="H747" s="13">
        <f>IF($B747="OUT",$D747,0)</f>
      </c>
    </row>
    <row x14ac:dyDescent="0.25" r="748" customHeight="1" ht="17.25">
      <c r="A748" s="52"/>
      <c r="B748" s="2"/>
      <c r="C748" s="2"/>
      <c r="D748" s="3"/>
      <c r="E748" s="3"/>
      <c r="F748" s="2"/>
      <c r="G748" s="13">
        <f>IF($B748="IN",$D748,0)</f>
      </c>
      <c r="H748" s="13">
        <f>IF($B748="OUT",$D748,0)</f>
      </c>
    </row>
    <row x14ac:dyDescent="0.25" r="749" customHeight="1" ht="17.25">
      <c r="A749" s="52"/>
      <c r="B749" s="2"/>
      <c r="C749" s="2"/>
      <c r="D749" s="3"/>
      <c r="E749" s="3"/>
      <c r="F749" s="2"/>
      <c r="G749" s="13">
        <f>IF($B749="IN",$D749,0)</f>
      </c>
      <c r="H749" s="13">
        <f>IF($B749="OUT",$D749,0)</f>
      </c>
    </row>
    <row x14ac:dyDescent="0.25" r="750" customHeight="1" ht="17.25">
      <c r="A750" s="52"/>
      <c r="B750" s="2"/>
      <c r="C750" s="2"/>
      <c r="D750" s="3"/>
      <c r="E750" s="3"/>
      <c r="F750" s="2"/>
      <c r="G750" s="13">
        <f>IF($B750="IN",$D750,0)</f>
      </c>
      <c r="H750" s="13">
        <f>IF($B750="OUT",$D750,0)</f>
      </c>
    </row>
    <row x14ac:dyDescent="0.25" r="751" customHeight="1" ht="17.25">
      <c r="A751" s="52"/>
      <c r="B751" s="2"/>
      <c r="C751" s="2"/>
      <c r="D751" s="3"/>
      <c r="E751" s="3"/>
      <c r="F751" s="2"/>
      <c r="G751" s="13">
        <f>IF($B751="IN",$D751,0)</f>
      </c>
      <c r="H751" s="13">
        <f>IF($B751="OUT",$D751,0)</f>
      </c>
    </row>
    <row x14ac:dyDescent="0.25" r="752" customHeight="1" ht="17.25">
      <c r="A752" s="52"/>
      <c r="B752" s="2"/>
      <c r="C752" s="2"/>
      <c r="D752" s="3"/>
      <c r="E752" s="3"/>
      <c r="F752" s="2"/>
      <c r="G752" s="13">
        <f>IF($B752="IN",$D752,0)</f>
      </c>
      <c r="H752" s="13">
        <f>IF($B752="OUT",$D752,0)</f>
      </c>
    </row>
    <row x14ac:dyDescent="0.25" r="753" customHeight="1" ht="17.25">
      <c r="A753" s="52"/>
      <c r="B753" s="2"/>
      <c r="C753" s="2"/>
      <c r="D753" s="3"/>
      <c r="E753" s="3"/>
      <c r="F753" s="2"/>
      <c r="G753" s="13">
        <f>IF($B753="IN",$D753,0)</f>
      </c>
      <c r="H753" s="13">
        <f>IF($B753="OUT",$D753,0)</f>
      </c>
    </row>
    <row x14ac:dyDescent="0.25" r="754" customHeight="1" ht="17.25">
      <c r="A754" s="52"/>
      <c r="B754" s="2"/>
      <c r="C754" s="2"/>
      <c r="D754" s="3"/>
      <c r="E754" s="3"/>
      <c r="F754" s="2"/>
      <c r="G754" s="13">
        <f>IF($B754="IN",$D754,0)</f>
      </c>
      <c r="H754" s="13">
        <f>IF($B754="OUT",$D754,0)</f>
      </c>
    </row>
    <row x14ac:dyDescent="0.25" r="755" customHeight="1" ht="17.25">
      <c r="A755" s="52"/>
      <c r="B755" s="2"/>
      <c r="C755" s="2"/>
      <c r="D755" s="3"/>
      <c r="E755" s="3"/>
      <c r="F755" s="2"/>
      <c r="G755" s="13">
        <f>IF($B755="IN",$D755,0)</f>
      </c>
      <c r="H755" s="13">
        <f>IF($B755="OUT",$D755,0)</f>
      </c>
    </row>
    <row x14ac:dyDescent="0.25" r="756" customHeight="1" ht="17.25">
      <c r="A756" s="52"/>
      <c r="B756" s="2"/>
      <c r="C756" s="2"/>
      <c r="D756" s="3"/>
      <c r="E756" s="3"/>
      <c r="F756" s="2"/>
      <c r="G756" s="13">
        <f>IF($B756="IN",$D756,0)</f>
      </c>
      <c r="H756" s="13">
        <f>IF($B756="OUT",$D756,0)</f>
      </c>
    </row>
    <row x14ac:dyDescent="0.25" r="757" customHeight="1" ht="17.25">
      <c r="A757" s="52"/>
      <c r="B757" s="2"/>
      <c r="C757" s="2"/>
      <c r="D757" s="3"/>
      <c r="E757" s="3"/>
      <c r="F757" s="2"/>
      <c r="G757" s="13">
        <f>IF($B757="IN",$D757,0)</f>
      </c>
      <c r="H757" s="13">
        <f>IF($B757="OUT",$D757,0)</f>
      </c>
    </row>
    <row x14ac:dyDescent="0.25" r="758" customHeight="1" ht="17.25">
      <c r="A758" s="52"/>
      <c r="B758" s="2"/>
      <c r="C758" s="2"/>
      <c r="D758" s="3"/>
      <c r="E758" s="3"/>
      <c r="F758" s="2"/>
      <c r="G758" s="13">
        <f>IF($B758="IN",$D758,0)</f>
      </c>
      <c r="H758" s="13">
        <f>IF($B758="OUT",$D758,0)</f>
      </c>
    </row>
    <row x14ac:dyDescent="0.25" r="759" customHeight="1" ht="17.25">
      <c r="A759" s="52"/>
      <c r="B759" s="2"/>
      <c r="C759" s="2"/>
      <c r="D759" s="3"/>
      <c r="E759" s="3"/>
      <c r="F759" s="2"/>
      <c r="G759" s="13">
        <f>IF($B759="IN",$D759,0)</f>
      </c>
      <c r="H759" s="13">
        <f>IF($B759="OUT",$D759,0)</f>
      </c>
    </row>
    <row x14ac:dyDescent="0.25" r="760" customHeight="1" ht="17.25">
      <c r="A760" s="52"/>
      <c r="B760" s="2"/>
      <c r="C760" s="2"/>
      <c r="D760" s="3"/>
      <c r="E760" s="3"/>
      <c r="F760" s="2"/>
      <c r="G760" s="13">
        <f>IF($B760="IN",$D760,0)</f>
      </c>
      <c r="H760" s="13">
        <f>IF($B760="OUT",$D760,0)</f>
      </c>
    </row>
    <row x14ac:dyDescent="0.25" r="761" customHeight="1" ht="17.25">
      <c r="A761" s="52"/>
      <c r="B761" s="2"/>
      <c r="C761" s="2"/>
      <c r="D761" s="3"/>
      <c r="E761" s="3"/>
      <c r="F761" s="2"/>
      <c r="G761" s="13">
        <f>IF($B761="IN",$D761,0)</f>
      </c>
      <c r="H761" s="13">
        <f>IF($B761="OUT",$D761,0)</f>
      </c>
    </row>
    <row x14ac:dyDescent="0.25" r="762" customHeight="1" ht="17.25">
      <c r="A762" s="52"/>
      <c r="B762" s="2"/>
      <c r="C762" s="2"/>
      <c r="D762" s="3"/>
      <c r="E762" s="3"/>
      <c r="F762" s="2"/>
      <c r="G762" s="13">
        <f>IF($B762="IN",$D762,0)</f>
      </c>
      <c r="H762" s="13">
        <f>IF($B762="OUT",$D762,0)</f>
      </c>
    </row>
    <row x14ac:dyDescent="0.25" r="763" customHeight="1" ht="17.25">
      <c r="A763" s="52"/>
      <c r="B763" s="2"/>
      <c r="C763" s="2"/>
      <c r="D763" s="3"/>
      <c r="E763" s="3"/>
      <c r="F763" s="2"/>
      <c r="G763" s="13">
        <f>IF($B763="IN",$D763,0)</f>
      </c>
      <c r="H763" s="13">
        <f>IF($B763="OUT",$D763,0)</f>
      </c>
    </row>
    <row x14ac:dyDescent="0.25" r="764" customHeight="1" ht="17.25">
      <c r="A764" s="52"/>
      <c r="B764" s="2"/>
      <c r="C764" s="2"/>
      <c r="D764" s="3"/>
      <c r="E764" s="3"/>
      <c r="F764" s="2"/>
      <c r="G764" s="13">
        <f>IF($B764="IN",$D764,0)</f>
      </c>
      <c r="H764" s="13">
        <f>IF($B764="OUT",$D764,0)</f>
      </c>
    </row>
    <row x14ac:dyDescent="0.25" r="765" customHeight="1" ht="17.25">
      <c r="A765" s="52"/>
      <c r="B765" s="2"/>
      <c r="C765" s="2"/>
      <c r="D765" s="3"/>
      <c r="E765" s="3"/>
      <c r="F765" s="2"/>
      <c r="G765" s="13">
        <f>IF($B765="IN",$D765,0)</f>
      </c>
      <c r="H765" s="13">
        <f>IF($B765="OUT",$D765,0)</f>
      </c>
    </row>
    <row x14ac:dyDescent="0.25" r="766" customHeight="1" ht="17.25">
      <c r="A766" s="52"/>
      <c r="B766" s="2"/>
      <c r="C766" s="2"/>
      <c r="D766" s="3"/>
      <c r="E766" s="3"/>
      <c r="F766" s="2"/>
      <c r="G766" s="13">
        <f>IF($B766="IN",$D766,0)</f>
      </c>
      <c r="H766" s="13">
        <f>IF($B766="OUT",$D766,0)</f>
      </c>
    </row>
    <row x14ac:dyDescent="0.25" r="767" customHeight="1" ht="17.25">
      <c r="A767" s="52"/>
      <c r="B767" s="2"/>
      <c r="C767" s="2"/>
      <c r="D767" s="3"/>
      <c r="E767" s="3"/>
      <c r="F767" s="2"/>
      <c r="G767" s="13">
        <f>IF($B767="IN",$D767,0)</f>
      </c>
      <c r="H767" s="13">
        <f>IF($B767="OUT",$D767,0)</f>
      </c>
    </row>
    <row x14ac:dyDescent="0.25" r="768" customHeight="1" ht="17.25">
      <c r="A768" s="52"/>
      <c r="B768" s="2"/>
      <c r="C768" s="2"/>
      <c r="D768" s="3"/>
      <c r="E768" s="3"/>
      <c r="F768" s="2"/>
      <c r="G768" s="13">
        <f>IF($B768="IN",$D768,0)</f>
      </c>
      <c r="H768" s="13">
        <f>IF($B768="OUT",$D768,0)</f>
      </c>
    </row>
    <row x14ac:dyDescent="0.25" r="769" customHeight="1" ht="17.25">
      <c r="A769" s="52"/>
      <c r="B769" s="2"/>
      <c r="C769" s="2"/>
      <c r="D769" s="3"/>
      <c r="E769" s="3"/>
      <c r="F769" s="2"/>
      <c r="G769" s="13">
        <f>IF($B769="IN",$D769,0)</f>
      </c>
      <c r="H769" s="13">
        <f>IF($B769="OUT",$D769,0)</f>
      </c>
    </row>
    <row x14ac:dyDescent="0.25" r="770" customHeight="1" ht="17.25">
      <c r="A770" s="52"/>
      <c r="B770" s="2"/>
      <c r="C770" s="2"/>
      <c r="D770" s="3"/>
      <c r="E770" s="3"/>
      <c r="F770" s="2"/>
      <c r="G770" s="13">
        <f>IF($B770="IN",$D770,0)</f>
      </c>
      <c r="H770" s="13">
        <f>IF($B770="OUT",$D770,0)</f>
      </c>
    </row>
    <row x14ac:dyDescent="0.25" r="771" customHeight="1" ht="17.25">
      <c r="A771" s="52"/>
      <c r="B771" s="2"/>
      <c r="C771" s="2"/>
      <c r="D771" s="3"/>
      <c r="E771" s="3"/>
      <c r="F771" s="2"/>
      <c r="G771" s="13">
        <f>IF($B771="IN",$D771,0)</f>
      </c>
      <c r="H771" s="13">
        <f>IF($B771="OUT",$D771,0)</f>
      </c>
    </row>
    <row x14ac:dyDescent="0.25" r="772" customHeight="1" ht="17.25">
      <c r="A772" s="52"/>
      <c r="B772" s="2"/>
      <c r="C772" s="2"/>
      <c r="D772" s="3"/>
      <c r="E772" s="3"/>
      <c r="F772" s="2"/>
      <c r="G772" s="13">
        <f>IF($B772="IN",$D772,0)</f>
      </c>
      <c r="H772" s="13">
        <f>IF($B772="OUT",$D772,0)</f>
      </c>
    </row>
    <row x14ac:dyDescent="0.25" r="773" customHeight="1" ht="17.25">
      <c r="A773" s="52"/>
      <c r="B773" s="2"/>
      <c r="C773" s="2"/>
      <c r="D773" s="3"/>
      <c r="E773" s="3"/>
      <c r="F773" s="2"/>
      <c r="G773" s="13">
        <f>IF($B773="IN",$D773,0)</f>
      </c>
      <c r="H773" s="13">
        <f>IF($B773="OUT",$D773,0)</f>
      </c>
    </row>
    <row x14ac:dyDescent="0.25" r="774" customHeight="1" ht="17.25">
      <c r="A774" s="52"/>
      <c r="B774" s="2"/>
      <c r="C774" s="2"/>
      <c r="D774" s="3"/>
      <c r="E774" s="3"/>
      <c r="F774" s="2"/>
      <c r="G774" s="13">
        <f>IF($B774="IN",$D774,0)</f>
      </c>
      <c r="H774" s="13">
        <f>IF($B774="OUT",$D774,0)</f>
      </c>
    </row>
    <row x14ac:dyDescent="0.25" r="775" customHeight="1" ht="17.25">
      <c r="A775" s="52"/>
      <c r="B775" s="2"/>
      <c r="C775" s="2"/>
      <c r="D775" s="3"/>
      <c r="E775" s="3"/>
      <c r="F775" s="2"/>
      <c r="G775" s="13">
        <f>IF($B775="IN",$D775,0)</f>
      </c>
      <c r="H775" s="13">
        <f>IF($B775="OUT",$D775,0)</f>
      </c>
    </row>
    <row x14ac:dyDescent="0.25" r="776" customHeight="1" ht="17.25">
      <c r="A776" s="52"/>
      <c r="B776" s="2"/>
      <c r="C776" s="2"/>
      <c r="D776" s="3"/>
      <c r="E776" s="3"/>
      <c r="F776" s="2"/>
      <c r="G776" s="13">
        <f>IF($B776="IN",$D776,0)</f>
      </c>
      <c r="H776" s="13">
        <f>IF($B776="OUT",$D776,0)</f>
      </c>
    </row>
    <row x14ac:dyDescent="0.25" r="777" customHeight="1" ht="17.25">
      <c r="A777" s="52"/>
      <c r="B777" s="2"/>
      <c r="C777" s="2"/>
      <c r="D777" s="3"/>
      <c r="E777" s="3"/>
      <c r="F777" s="2"/>
      <c r="G777" s="13">
        <f>IF($B777="IN",$D777,0)</f>
      </c>
      <c r="H777" s="13">
        <f>IF($B777="OUT",$D777,0)</f>
      </c>
    </row>
    <row x14ac:dyDescent="0.25" r="778" customHeight="1" ht="17.25">
      <c r="A778" s="52"/>
      <c r="B778" s="2"/>
      <c r="C778" s="2"/>
      <c r="D778" s="3"/>
      <c r="E778" s="3"/>
      <c r="F778" s="2"/>
      <c r="G778" s="13">
        <f>IF($B778="IN",$D778,0)</f>
      </c>
      <c r="H778" s="13">
        <f>IF($B778="OUT",$D778,0)</f>
      </c>
    </row>
    <row x14ac:dyDescent="0.25" r="779" customHeight="1" ht="17.25">
      <c r="A779" s="52"/>
      <c r="B779" s="2"/>
      <c r="C779" s="2"/>
      <c r="D779" s="3"/>
      <c r="E779" s="3"/>
      <c r="F779" s="2"/>
      <c r="G779" s="13">
        <f>IF($B779="IN",$D779,0)</f>
      </c>
      <c r="H779" s="13">
        <f>IF($B779="OUT",$D779,0)</f>
      </c>
    </row>
    <row x14ac:dyDescent="0.25" r="780" customHeight="1" ht="17.25">
      <c r="A780" s="52"/>
      <c r="B780" s="2"/>
      <c r="C780" s="2"/>
      <c r="D780" s="3"/>
      <c r="E780" s="3"/>
      <c r="F780" s="2"/>
      <c r="G780" s="13">
        <f>IF($B780="IN",$D780,0)</f>
      </c>
      <c r="H780" s="13">
        <f>IF($B780="OUT",$D780,0)</f>
      </c>
    </row>
    <row x14ac:dyDescent="0.25" r="781" customHeight="1" ht="17.25">
      <c r="A781" s="52"/>
      <c r="B781" s="2"/>
      <c r="C781" s="2"/>
      <c r="D781" s="3"/>
      <c r="E781" s="3"/>
      <c r="F781" s="2"/>
      <c r="G781" s="13">
        <f>IF($B781="IN",$D781,0)</f>
      </c>
      <c r="H781" s="13">
        <f>IF($B781="OUT",$D781,0)</f>
      </c>
    </row>
    <row x14ac:dyDescent="0.25" r="782" customHeight="1" ht="17.25">
      <c r="A782" s="52"/>
      <c r="B782" s="2"/>
      <c r="C782" s="2"/>
      <c r="D782" s="3"/>
      <c r="E782" s="3"/>
      <c r="F782" s="2"/>
      <c r="G782" s="13">
        <f>IF($B782="IN",$D782,0)</f>
      </c>
      <c r="H782" s="13">
        <f>IF($B782="OUT",$D782,0)</f>
      </c>
    </row>
    <row x14ac:dyDescent="0.25" r="783" customHeight="1" ht="17.25">
      <c r="A783" s="52"/>
      <c r="B783" s="2"/>
      <c r="C783" s="2"/>
      <c r="D783" s="3"/>
      <c r="E783" s="3"/>
      <c r="F783" s="2"/>
      <c r="G783" s="13">
        <f>IF($B783="IN",$D783,0)</f>
      </c>
      <c r="H783" s="13">
        <f>IF($B783="OUT",$D783,0)</f>
      </c>
    </row>
    <row x14ac:dyDescent="0.25" r="784" customHeight="1" ht="17.25">
      <c r="A784" s="52"/>
      <c r="B784" s="2"/>
      <c r="C784" s="2"/>
      <c r="D784" s="3"/>
      <c r="E784" s="3"/>
      <c r="F784" s="2"/>
      <c r="G784" s="13">
        <f>IF($B784="IN",$D784,0)</f>
      </c>
      <c r="H784" s="13">
        <f>IF($B784="OUT",$D784,0)</f>
      </c>
    </row>
    <row x14ac:dyDescent="0.25" r="785" customHeight="1" ht="17.25">
      <c r="A785" s="52"/>
      <c r="B785" s="2"/>
      <c r="C785" s="2"/>
      <c r="D785" s="3"/>
      <c r="E785" s="3"/>
      <c r="F785" s="2"/>
      <c r="G785" s="13">
        <f>IF($B785="IN",$D785,0)</f>
      </c>
      <c r="H785" s="13">
        <f>IF($B785="OUT",$D785,0)</f>
      </c>
    </row>
    <row x14ac:dyDescent="0.25" r="786" customHeight="1" ht="17.25">
      <c r="A786" s="52"/>
      <c r="B786" s="2"/>
      <c r="C786" s="2"/>
      <c r="D786" s="3"/>
      <c r="E786" s="3"/>
      <c r="F786" s="2"/>
      <c r="G786" s="13">
        <f>IF($B786="IN",$D786,0)</f>
      </c>
      <c r="H786" s="13">
        <f>IF($B786="OUT",$D786,0)</f>
      </c>
    </row>
    <row x14ac:dyDescent="0.25" r="787" customHeight="1" ht="17.25">
      <c r="A787" s="52"/>
      <c r="B787" s="2"/>
      <c r="C787" s="2"/>
      <c r="D787" s="3"/>
      <c r="E787" s="3"/>
      <c r="F787" s="2"/>
      <c r="G787" s="13">
        <f>IF($B787="IN",$D787,0)</f>
      </c>
      <c r="H787" s="13">
        <f>IF($B787="OUT",$D787,0)</f>
      </c>
    </row>
    <row x14ac:dyDescent="0.25" r="788" customHeight="1" ht="17.25">
      <c r="A788" s="52"/>
      <c r="B788" s="2"/>
      <c r="C788" s="2"/>
      <c r="D788" s="3"/>
      <c r="E788" s="3"/>
      <c r="F788" s="2"/>
      <c r="G788" s="13">
        <f>IF($B788="IN",$D788,0)</f>
      </c>
      <c r="H788" s="13">
        <f>IF($B788="OUT",$D788,0)</f>
      </c>
    </row>
    <row x14ac:dyDescent="0.25" r="789" customHeight="1" ht="17.25">
      <c r="A789" s="52"/>
      <c r="B789" s="2"/>
      <c r="C789" s="2"/>
      <c r="D789" s="3"/>
      <c r="E789" s="3"/>
      <c r="F789" s="2"/>
      <c r="G789" s="13">
        <f>IF($B789="IN",$D789,0)</f>
      </c>
      <c r="H789" s="13">
        <f>IF($B789="OUT",$D789,0)</f>
      </c>
    </row>
    <row x14ac:dyDescent="0.25" r="790" customHeight="1" ht="17.25">
      <c r="A790" s="52"/>
      <c r="B790" s="2"/>
      <c r="C790" s="2"/>
      <c r="D790" s="3"/>
      <c r="E790" s="3"/>
      <c r="F790" s="2"/>
      <c r="G790" s="13">
        <f>IF($B790="IN",$D790,0)</f>
      </c>
      <c r="H790" s="13">
        <f>IF($B790="OUT",$D790,0)</f>
      </c>
    </row>
    <row x14ac:dyDescent="0.25" r="791" customHeight="1" ht="17.25">
      <c r="A791" s="52"/>
      <c r="B791" s="2"/>
      <c r="C791" s="2"/>
      <c r="D791" s="3"/>
      <c r="E791" s="3"/>
      <c r="F791" s="2"/>
      <c r="G791" s="13">
        <f>IF($B791="IN",$D791,0)</f>
      </c>
      <c r="H791" s="13">
        <f>IF($B791="OUT",$D791,0)</f>
      </c>
    </row>
    <row x14ac:dyDescent="0.25" r="792" customHeight="1" ht="17.25">
      <c r="A792" s="52"/>
      <c r="B792" s="2"/>
      <c r="C792" s="2"/>
      <c r="D792" s="3"/>
      <c r="E792" s="3"/>
      <c r="F792" s="2"/>
      <c r="G792" s="13">
        <f>IF($B792="IN",$D792,0)</f>
      </c>
      <c r="H792" s="13">
        <f>IF($B792="OUT",$D792,0)</f>
      </c>
    </row>
    <row x14ac:dyDescent="0.25" r="793" customHeight="1" ht="17.25">
      <c r="A793" s="52"/>
      <c r="B793" s="2"/>
      <c r="C793" s="2"/>
      <c r="D793" s="3"/>
      <c r="E793" s="3"/>
      <c r="F793" s="2"/>
      <c r="G793" s="13">
        <f>IF($B793="IN",$D793,0)</f>
      </c>
      <c r="H793" s="13">
        <f>IF($B793="OUT",$D793,0)</f>
      </c>
    </row>
    <row x14ac:dyDescent="0.25" r="794" customHeight="1" ht="17.25">
      <c r="A794" s="52"/>
      <c r="B794" s="2"/>
      <c r="C794" s="2"/>
      <c r="D794" s="3"/>
      <c r="E794" s="3"/>
      <c r="F794" s="2"/>
      <c r="G794" s="13">
        <f>IF($B794="IN",$D794,0)</f>
      </c>
      <c r="H794" s="13">
        <f>IF($B794="OUT",$D794,0)</f>
      </c>
    </row>
    <row x14ac:dyDescent="0.25" r="795" customHeight="1" ht="17.25">
      <c r="A795" s="52"/>
      <c r="B795" s="2"/>
      <c r="C795" s="2"/>
      <c r="D795" s="3"/>
      <c r="E795" s="3"/>
      <c r="F795" s="2"/>
      <c r="G795" s="13">
        <f>IF($B795="IN",$D795,0)</f>
      </c>
      <c r="H795" s="13">
        <f>IF($B795="OUT",$D795,0)</f>
      </c>
    </row>
    <row x14ac:dyDescent="0.25" r="796" customHeight="1" ht="17.25">
      <c r="A796" s="52"/>
      <c r="B796" s="2"/>
      <c r="C796" s="2"/>
      <c r="D796" s="3"/>
      <c r="E796" s="3"/>
      <c r="F796" s="2"/>
      <c r="G796" s="13">
        <f>IF($B796="IN",$D796,0)</f>
      </c>
      <c r="H796" s="13">
        <f>IF($B796="OUT",$D796,0)</f>
      </c>
    </row>
    <row x14ac:dyDescent="0.25" r="797" customHeight="1" ht="17.25">
      <c r="A797" s="52"/>
      <c r="B797" s="2"/>
      <c r="C797" s="2"/>
      <c r="D797" s="3"/>
      <c r="E797" s="3"/>
      <c r="F797" s="2"/>
      <c r="G797" s="13">
        <f>IF($B797="IN",$D797,0)</f>
      </c>
      <c r="H797" s="13">
        <f>IF($B797="OUT",$D797,0)</f>
      </c>
    </row>
    <row x14ac:dyDescent="0.25" r="798" customHeight="1" ht="17.25">
      <c r="A798" s="52"/>
      <c r="B798" s="2"/>
      <c r="C798" s="2"/>
      <c r="D798" s="3"/>
      <c r="E798" s="3"/>
      <c r="F798" s="2"/>
      <c r="G798" s="13">
        <f>IF($B798="IN",$D798,0)</f>
      </c>
      <c r="H798" s="13">
        <f>IF($B798="OUT",$D798,0)</f>
      </c>
    </row>
    <row x14ac:dyDescent="0.25" r="799" customHeight="1" ht="17.25">
      <c r="A799" s="52"/>
      <c r="B799" s="2"/>
      <c r="C799" s="2"/>
      <c r="D799" s="3"/>
      <c r="E799" s="3"/>
      <c r="F799" s="2"/>
      <c r="G799" s="13">
        <f>IF($B799="IN",$D799,0)</f>
      </c>
      <c r="H799" s="13">
        <f>IF($B799="OUT",$D799,0)</f>
      </c>
    </row>
    <row x14ac:dyDescent="0.25" r="800" customHeight="1" ht="17.25">
      <c r="A800" s="52"/>
      <c r="B800" s="2"/>
      <c r="C800" s="2"/>
      <c r="D800" s="3"/>
      <c r="E800" s="3"/>
      <c r="F800" s="2"/>
      <c r="G800" s="13">
        <f>IF($B800="IN",$D800,0)</f>
      </c>
      <c r="H800" s="13">
        <f>IF($B800="OUT",$D800,0)</f>
      </c>
    </row>
    <row x14ac:dyDescent="0.25" r="801" customHeight="1" ht="17.25">
      <c r="A801" s="52"/>
      <c r="B801" s="2"/>
      <c r="C801" s="2"/>
      <c r="D801" s="3"/>
      <c r="E801" s="3"/>
      <c r="F801" s="2"/>
      <c r="G801" s="13">
        <f>IF($B801="IN",$D801,0)</f>
      </c>
      <c r="H801" s="13">
        <f>IF($B801="OUT",$D801,0)</f>
      </c>
    </row>
    <row x14ac:dyDescent="0.25" r="802" customHeight="1" ht="17.25">
      <c r="A802" s="52"/>
      <c r="B802" s="2"/>
      <c r="C802" s="2"/>
      <c r="D802" s="3"/>
      <c r="E802" s="3"/>
      <c r="F802" s="2"/>
      <c r="G802" s="13">
        <f>IF($B802="IN",$D802,0)</f>
      </c>
      <c r="H802" s="13">
        <f>IF($B802="OUT",$D802,0)</f>
      </c>
    </row>
    <row x14ac:dyDescent="0.25" r="803" customHeight="1" ht="17.25">
      <c r="A803" s="52"/>
      <c r="B803" s="2"/>
      <c r="C803" s="2"/>
      <c r="D803" s="3"/>
      <c r="E803" s="3"/>
      <c r="F803" s="2"/>
      <c r="G803" s="13">
        <f>IF($B803="IN",$D803,0)</f>
      </c>
      <c r="H803" s="13">
        <f>IF($B803="OUT",$D803,0)</f>
      </c>
    </row>
    <row x14ac:dyDescent="0.25" r="804" customHeight="1" ht="17.25">
      <c r="A804" s="52"/>
      <c r="B804" s="2"/>
      <c r="C804" s="2"/>
      <c r="D804" s="3"/>
      <c r="E804" s="3"/>
      <c r="F804" s="2"/>
      <c r="G804" s="13">
        <f>IF($B804="IN",$D804,0)</f>
      </c>
      <c r="H804" s="13">
        <f>IF($B804="OUT",$D804,0)</f>
      </c>
    </row>
    <row x14ac:dyDescent="0.25" r="805" customHeight="1" ht="17.25">
      <c r="A805" s="52"/>
      <c r="B805" s="2"/>
      <c r="C805" s="2"/>
      <c r="D805" s="3"/>
      <c r="E805" s="3"/>
      <c r="F805" s="2"/>
      <c r="G805" s="13">
        <f>IF($B805="IN",$D805,0)</f>
      </c>
      <c r="H805" s="13">
        <f>IF($B805="OUT",$D805,0)</f>
      </c>
    </row>
    <row x14ac:dyDescent="0.25" r="806" customHeight="1" ht="17.25">
      <c r="A806" s="52"/>
      <c r="B806" s="2"/>
      <c r="C806" s="2"/>
      <c r="D806" s="3"/>
      <c r="E806" s="3"/>
      <c r="F806" s="2"/>
      <c r="G806" s="13">
        <f>IF($B806="IN",$D806,0)</f>
      </c>
      <c r="H806" s="13">
        <f>IF($B806="OUT",$D806,0)</f>
      </c>
    </row>
    <row x14ac:dyDescent="0.25" r="807" customHeight="1" ht="17.25">
      <c r="A807" s="52"/>
      <c r="B807" s="2"/>
      <c r="C807" s="2"/>
      <c r="D807" s="3"/>
      <c r="E807" s="3"/>
      <c r="F807" s="2"/>
      <c r="G807" s="13">
        <f>IF($B807="IN",$D807,0)</f>
      </c>
      <c r="H807" s="13">
        <f>IF($B807="OUT",$D807,0)</f>
      </c>
    </row>
    <row x14ac:dyDescent="0.25" r="808" customHeight="1" ht="17.25">
      <c r="A808" s="52"/>
      <c r="B808" s="2"/>
      <c r="C808" s="2"/>
      <c r="D808" s="3"/>
      <c r="E808" s="3"/>
      <c r="F808" s="2"/>
      <c r="G808" s="13">
        <f>IF($B808="IN",$D808,0)</f>
      </c>
      <c r="H808" s="13">
        <f>IF($B808="OUT",$D808,0)</f>
      </c>
    </row>
    <row x14ac:dyDescent="0.25" r="809" customHeight="1" ht="17.25">
      <c r="A809" s="52"/>
      <c r="B809" s="2"/>
      <c r="C809" s="2"/>
      <c r="D809" s="3"/>
      <c r="E809" s="3"/>
      <c r="F809" s="2"/>
      <c r="G809" s="13">
        <f>IF($B809="IN",$D809,0)</f>
      </c>
      <c r="H809" s="13">
        <f>IF($B809="OUT",$D809,0)</f>
      </c>
    </row>
    <row x14ac:dyDescent="0.25" r="810" customHeight="1" ht="17.25">
      <c r="A810" s="52"/>
      <c r="B810" s="2"/>
      <c r="C810" s="2"/>
      <c r="D810" s="3"/>
      <c r="E810" s="3"/>
      <c r="F810" s="2"/>
      <c r="G810" s="13">
        <f>IF($B810="IN",$D810,0)</f>
      </c>
      <c r="H810" s="13">
        <f>IF($B810="OUT",$D810,0)</f>
      </c>
    </row>
    <row x14ac:dyDescent="0.25" r="811" customHeight="1" ht="17.25">
      <c r="A811" s="52"/>
      <c r="B811" s="2"/>
      <c r="C811" s="2"/>
      <c r="D811" s="3"/>
      <c r="E811" s="3"/>
      <c r="F811" s="2"/>
      <c r="G811" s="13">
        <f>IF($B811="IN",$D811,0)</f>
      </c>
      <c r="H811" s="13">
        <f>IF($B811="OUT",$D811,0)</f>
      </c>
    </row>
    <row x14ac:dyDescent="0.25" r="812" customHeight="1" ht="17.25">
      <c r="A812" s="52"/>
      <c r="B812" s="2"/>
      <c r="C812" s="2"/>
      <c r="D812" s="3"/>
      <c r="E812" s="3"/>
      <c r="F812" s="2"/>
      <c r="G812" s="13">
        <f>IF($B812="IN",$D812,0)</f>
      </c>
      <c r="H812" s="13">
        <f>IF($B812="OUT",$D812,0)</f>
      </c>
    </row>
    <row x14ac:dyDescent="0.25" r="813" customHeight="1" ht="17.25">
      <c r="A813" s="52"/>
      <c r="B813" s="2"/>
      <c r="C813" s="2"/>
      <c r="D813" s="3"/>
      <c r="E813" s="3"/>
      <c r="F813" s="2"/>
      <c r="G813" s="13">
        <f>IF($B813="IN",$D813,0)</f>
      </c>
      <c r="H813" s="13">
        <f>IF($B813="OUT",$D813,0)</f>
      </c>
    </row>
    <row x14ac:dyDescent="0.25" r="814" customHeight="1" ht="17.25">
      <c r="A814" s="52"/>
      <c r="B814" s="2"/>
      <c r="C814" s="2"/>
      <c r="D814" s="3"/>
      <c r="E814" s="3"/>
      <c r="F814" s="2"/>
      <c r="G814" s="13">
        <f>IF($B814="IN",$D814,0)</f>
      </c>
      <c r="H814" s="13">
        <f>IF($B814="OUT",$D814,0)</f>
      </c>
    </row>
    <row x14ac:dyDescent="0.25" r="815" customHeight="1" ht="17.25">
      <c r="A815" s="52"/>
      <c r="B815" s="2"/>
      <c r="C815" s="2"/>
      <c r="D815" s="3"/>
      <c r="E815" s="3"/>
      <c r="F815" s="2"/>
      <c r="G815" s="13">
        <f>IF($B815="IN",$D815,0)</f>
      </c>
      <c r="H815" s="13">
        <f>IF($B815="OUT",$D815,0)</f>
      </c>
    </row>
    <row x14ac:dyDescent="0.25" r="816" customHeight="1" ht="17.25">
      <c r="A816" s="52"/>
      <c r="B816" s="2"/>
      <c r="C816" s="2"/>
      <c r="D816" s="3"/>
      <c r="E816" s="3"/>
      <c r="F816" s="2"/>
      <c r="G816" s="13">
        <f>IF($B816="IN",$D816,0)</f>
      </c>
      <c r="H816" s="13">
        <f>IF($B816="OUT",$D816,0)</f>
      </c>
    </row>
    <row x14ac:dyDescent="0.25" r="817" customHeight="1" ht="17.25">
      <c r="A817" s="52"/>
      <c r="B817" s="2"/>
      <c r="C817" s="2"/>
      <c r="D817" s="3"/>
      <c r="E817" s="3"/>
      <c r="F817" s="2"/>
      <c r="G817" s="13">
        <f>IF($B817="IN",$D817,0)</f>
      </c>
      <c r="H817" s="13">
        <f>IF($B817="OUT",$D817,0)</f>
      </c>
    </row>
    <row x14ac:dyDescent="0.25" r="818" customHeight="1" ht="17.25">
      <c r="A818" s="52"/>
      <c r="B818" s="2"/>
      <c r="C818" s="2"/>
      <c r="D818" s="3"/>
      <c r="E818" s="3"/>
      <c r="F818" s="2"/>
      <c r="G818" s="13">
        <f>IF($B818="IN",$D818,0)</f>
      </c>
      <c r="H818" s="13">
        <f>IF($B818="OUT",$D818,0)</f>
      </c>
    </row>
    <row x14ac:dyDescent="0.25" r="819" customHeight="1" ht="17.25">
      <c r="A819" s="52"/>
      <c r="B819" s="2"/>
      <c r="C819" s="2"/>
      <c r="D819" s="3"/>
      <c r="E819" s="3"/>
      <c r="F819" s="2"/>
      <c r="G819" s="13">
        <f>IF($B819="IN",$D819,0)</f>
      </c>
      <c r="H819" s="13">
        <f>IF($B819="OUT",$D819,0)</f>
      </c>
    </row>
    <row x14ac:dyDescent="0.25" r="820" customHeight="1" ht="17.25">
      <c r="A820" s="52"/>
      <c r="B820" s="2"/>
      <c r="C820" s="2"/>
      <c r="D820" s="3"/>
      <c r="E820" s="3"/>
      <c r="F820" s="2"/>
      <c r="G820" s="13">
        <f>IF($B820="IN",$D820,0)</f>
      </c>
      <c r="H820" s="13">
        <f>IF($B820="OUT",$D820,0)</f>
      </c>
    </row>
    <row x14ac:dyDescent="0.25" r="821" customHeight="1" ht="17.25">
      <c r="A821" s="52"/>
      <c r="B821" s="2"/>
      <c r="C821" s="2"/>
      <c r="D821" s="3"/>
      <c r="E821" s="3"/>
      <c r="F821" s="2"/>
      <c r="G821" s="13">
        <f>IF($B821="IN",$D821,0)</f>
      </c>
      <c r="H821" s="13">
        <f>IF($B821="OUT",$D821,0)</f>
      </c>
    </row>
    <row x14ac:dyDescent="0.25" r="822" customHeight="1" ht="17.25">
      <c r="A822" s="52"/>
      <c r="B822" s="2"/>
      <c r="C822" s="2"/>
      <c r="D822" s="3"/>
      <c r="E822" s="3"/>
      <c r="F822" s="2"/>
      <c r="G822" s="13">
        <f>IF($B822="IN",$D822,0)</f>
      </c>
      <c r="H822" s="13">
        <f>IF($B822="OUT",$D822,0)</f>
      </c>
    </row>
    <row x14ac:dyDescent="0.25" r="823" customHeight="1" ht="17.25">
      <c r="A823" s="52"/>
      <c r="B823" s="2"/>
      <c r="C823" s="2"/>
      <c r="D823" s="3"/>
      <c r="E823" s="3"/>
      <c r="F823" s="2"/>
      <c r="G823" s="13">
        <f>IF($B823="IN",$D823,0)</f>
      </c>
      <c r="H823" s="13">
        <f>IF($B823="OUT",$D823,0)</f>
      </c>
    </row>
    <row x14ac:dyDescent="0.25" r="824" customHeight="1" ht="17.25">
      <c r="A824" s="52"/>
      <c r="B824" s="2"/>
      <c r="C824" s="2"/>
      <c r="D824" s="3"/>
      <c r="E824" s="3"/>
      <c r="F824" s="2"/>
      <c r="G824" s="13">
        <f>IF($B824="IN",$D824,0)</f>
      </c>
      <c r="H824" s="13">
        <f>IF($B824="OUT",$D824,0)</f>
      </c>
    </row>
    <row x14ac:dyDescent="0.25" r="825" customHeight="1" ht="17.25">
      <c r="A825" s="52"/>
      <c r="B825" s="2"/>
      <c r="C825" s="2"/>
      <c r="D825" s="3"/>
      <c r="E825" s="3"/>
      <c r="F825" s="2"/>
      <c r="G825" s="13">
        <f>IF($B825="IN",$D825,0)</f>
      </c>
      <c r="H825" s="13">
        <f>IF($B825="OUT",$D825,0)</f>
      </c>
    </row>
    <row x14ac:dyDescent="0.25" r="826" customHeight="1" ht="17.25">
      <c r="A826" s="52"/>
      <c r="B826" s="2"/>
      <c r="C826" s="2"/>
      <c r="D826" s="3"/>
      <c r="E826" s="3"/>
      <c r="F826" s="2"/>
      <c r="G826" s="13">
        <f>IF($B826="IN",$D826,0)</f>
      </c>
      <c r="H826" s="13">
        <f>IF($B826="OUT",$D826,0)</f>
      </c>
    </row>
    <row x14ac:dyDescent="0.25" r="827" customHeight="1" ht="17.25">
      <c r="A827" s="52"/>
      <c r="B827" s="2"/>
      <c r="C827" s="2"/>
      <c r="D827" s="3"/>
      <c r="E827" s="3"/>
      <c r="F827" s="2"/>
      <c r="G827" s="13">
        <f>IF($B827="IN",$D827,0)</f>
      </c>
      <c r="H827" s="13">
        <f>IF($B827="OUT",$D827,0)</f>
      </c>
    </row>
    <row x14ac:dyDescent="0.25" r="828" customHeight="1" ht="17.25">
      <c r="A828" s="52"/>
      <c r="B828" s="2"/>
      <c r="C828" s="2"/>
      <c r="D828" s="3"/>
      <c r="E828" s="3"/>
      <c r="F828" s="2"/>
      <c r="G828" s="13">
        <f>IF($B828="IN",$D828,0)</f>
      </c>
      <c r="H828" s="13">
        <f>IF($B828="OUT",$D828,0)</f>
      </c>
    </row>
    <row x14ac:dyDescent="0.25" r="829" customHeight="1" ht="17.25">
      <c r="A829" s="52"/>
      <c r="B829" s="2"/>
      <c r="C829" s="2"/>
      <c r="D829" s="3"/>
      <c r="E829" s="3"/>
      <c r="F829" s="2"/>
      <c r="G829" s="13">
        <f>IF($B829="IN",$D829,0)</f>
      </c>
      <c r="H829" s="13">
        <f>IF($B829="OUT",$D829,0)</f>
      </c>
    </row>
    <row x14ac:dyDescent="0.25" r="830" customHeight="1" ht="17.25">
      <c r="A830" s="52"/>
      <c r="B830" s="2"/>
      <c r="C830" s="2"/>
      <c r="D830" s="3"/>
      <c r="E830" s="3"/>
      <c r="F830" s="2"/>
      <c r="G830" s="13">
        <f>IF($B830="IN",$D830,0)</f>
      </c>
      <c r="H830" s="13">
        <f>IF($B830="OUT",$D830,0)</f>
      </c>
    </row>
    <row x14ac:dyDescent="0.25" r="831" customHeight="1" ht="17.25">
      <c r="A831" s="52"/>
      <c r="B831" s="2"/>
      <c r="C831" s="2"/>
      <c r="D831" s="3"/>
      <c r="E831" s="3"/>
      <c r="F831" s="2"/>
      <c r="G831" s="13">
        <f>IF($B831="IN",$D831,0)</f>
      </c>
      <c r="H831" s="13">
        <f>IF($B831="OUT",$D831,0)</f>
      </c>
    </row>
    <row x14ac:dyDescent="0.25" r="832" customHeight="1" ht="17.25">
      <c r="A832" s="52"/>
      <c r="B832" s="2"/>
      <c r="C832" s="2"/>
      <c r="D832" s="3"/>
      <c r="E832" s="3"/>
      <c r="F832" s="2"/>
      <c r="G832" s="13">
        <f>IF($B832="IN",$D832,0)</f>
      </c>
      <c r="H832" s="13">
        <f>IF($B832="OUT",$D832,0)</f>
      </c>
    </row>
    <row x14ac:dyDescent="0.25" r="833" customHeight="1" ht="17.25">
      <c r="A833" s="52"/>
      <c r="B833" s="2"/>
      <c r="C833" s="2"/>
      <c r="D833" s="3"/>
      <c r="E833" s="3"/>
      <c r="F833" s="2"/>
      <c r="G833" s="13">
        <f>IF($B833="IN",$D833,0)</f>
      </c>
      <c r="H833" s="13">
        <f>IF($B833="OUT",$D833,0)</f>
      </c>
    </row>
    <row x14ac:dyDescent="0.25" r="834" customHeight="1" ht="17.25">
      <c r="A834" s="52"/>
      <c r="B834" s="2"/>
      <c r="C834" s="2"/>
      <c r="D834" s="3"/>
      <c r="E834" s="3"/>
      <c r="F834" s="2"/>
      <c r="G834" s="13">
        <f>IF($B834="IN",$D834,0)</f>
      </c>
      <c r="H834" s="13">
        <f>IF($B834="OUT",$D834,0)</f>
      </c>
    </row>
    <row x14ac:dyDescent="0.25" r="835" customHeight="1" ht="17.25">
      <c r="A835" s="52"/>
      <c r="B835" s="2"/>
      <c r="C835" s="2"/>
      <c r="D835" s="3"/>
      <c r="E835" s="3"/>
      <c r="F835" s="2"/>
      <c r="G835" s="13">
        <f>IF($B835="IN",$D835,0)</f>
      </c>
      <c r="H835" s="13">
        <f>IF($B835="OUT",$D835,0)</f>
      </c>
    </row>
    <row x14ac:dyDescent="0.25" r="836" customHeight="1" ht="17.25">
      <c r="A836" s="52"/>
      <c r="B836" s="2"/>
      <c r="C836" s="2"/>
      <c r="D836" s="3"/>
      <c r="E836" s="3"/>
      <c r="F836" s="2"/>
      <c r="G836" s="13">
        <f>IF($B836="IN",$D836,0)</f>
      </c>
      <c r="H836" s="13">
        <f>IF($B836="OUT",$D836,0)</f>
      </c>
    </row>
    <row x14ac:dyDescent="0.25" r="837" customHeight="1" ht="17.25">
      <c r="A837" s="52"/>
      <c r="B837" s="2"/>
      <c r="C837" s="2"/>
      <c r="D837" s="3"/>
      <c r="E837" s="3"/>
      <c r="F837" s="2"/>
      <c r="G837" s="13">
        <f>IF($B837="IN",$D837,0)</f>
      </c>
      <c r="H837" s="13">
        <f>IF($B837="OUT",$D837,0)</f>
      </c>
    </row>
    <row x14ac:dyDescent="0.25" r="838" customHeight="1" ht="17.25">
      <c r="A838" s="52"/>
      <c r="B838" s="2"/>
      <c r="C838" s="2"/>
      <c r="D838" s="3"/>
      <c r="E838" s="3"/>
      <c r="F838" s="2"/>
      <c r="G838" s="13">
        <f>IF($B838="IN",$D838,0)</f>
      </c>
      <c r="H838" s="13">
        <f>IF($B838="OUT",$D838,0)</f>
      </c>
    </row>
    <row x14ac:dyDescent="0.25" r="839" customHeight="1" ht="17.25">
      <c r="A839" s="52"/>
      <c r="B839" s="2"/>
      <c r="C839" s="2"/>
      <c r="D839" s="3"/>
      <c r="E839" s="3"/>
      <c r="F839" s="2"/>
      <c r="G839" s="13">
        <f>IF($B839="IN",$D839,0)</f>
      </c>
      <c r="H839" s="13">
        <f>IF($B839="OUT",$D839,0)</f>
      </c>
    </row>
    <row x14ac:dyDescent="0.25" r="840" customHeight="1" ht="17.25">
      <c r="A840" s="52"/>
      <c r="B840" s="2"/>
      <c r="C840" s="2"/>
      <c r="D840" s="3"/>
      <c r="E840" s="3"/>
      <c r="F840" s="2"/>
      <c r="G840" s="13">
        <f>IF($B840="IN",$D840,0)</f>
      </c>
      <c r="H840" s="13">
        <f>IF($B840="OUT",$D840,0)</f>
      </c>
    </row>
    <row x14ac:dyDescent="0.25" r="841" customHeight="1" ht="17.25">
      <c r="A841" s="52"/>
      <c r="B841" s="2"/>
      <c r="C841" s="2"/>
      <c r="D841" s="3"/>
      <c r="E841" s="3"/>
      <c r="F841" s="2"/>
      <c r="G841" s="13">
        <f>IF($B841="IN",$D841,0)</f>
      </c>
      <c r="H841" s="13">
        <f>IF($B841="OUT",$D841,0)</f>
      </c>
    </row>
    <row x14ac:dyDescent="0.25" r="842" customHeight="1" ht="17.25">
      <c r="A842" s="52"/>
      <c r="B842" s="2"/>
      <c r="C842" s="2"/>
      <c r="D842" s="3"/>
      <c r="E842" s="3"/>
      <c r="F842" s="2"/>
      <c r="G842" s="13">
        <f>IF($B842="IN",$D842,0)</f>
      </c>
      <c r="H842" s="13">
        <f>IF($B842="OUT",$D842,0)</f>
      </c>
    </row>
    <row x14ac:dyDescent="0.25" r="843" customHeight="1" ht="17.25">
      <c r="A843" s="52"/>
      <c r="B843" s="2"/>
      <c r="C843" s="2"/>
      <c r="D843" s="3"/>
      <c r="E843" s="3"/>
      <c r="F843" s="2"/>
      <c r="G843" s="13">
        <f>IF($B843="IN",$D843,0)</f>
      </c>
      <c r="H843" s="13">
        <f>IF($B843="OUT",$D843,0)</f>
      </c>
    </row>
    <row x14ac:dyDescent="0.25" r="844" customHeight="1" ht="17.25">
      <c r="A844" s="52"/>
      <c r="B844" s="2"/>
      <c r="C844" s="2"/>
      <c r="D844" s="3"/>
      <c r="E844" s="3"/>
      <c r="F844" s="2"/>
      <c r="G844" s="13">
        <f>IF($B844="IN",$D844,0)</f>
      </c>
      <c r="H844" s="13">
        <f>IF($B844="OUT",$D844,0)</f>
      </c>
    </row>
    <row x14ac:dyDescent="0.25" r="845" customHeight="1" ht="17.25">
      <c r="A845" s="52"/>
      <c r="B845" s="2"/>
      <c r="C845" s="2"/>
      <c r="D845" s="3"/>
      <c r="E845" s="3"/>
      <c r="F845" s="2"/>
      <c r="G845" s="13">
        <f>IF($B845="IN",$D845,0)</f>
      </c>
      <c r="H845" s="13">
        <f>IF($B845="OUT",$D845,0)</f>
      </c>
    </row>
    <row x14ac:dyDescent="0.25" r="846" customHeight="1" ht="17.25">
      <c r="A846" s="52"/>
      <c r="B846" s="2"/>
      <c r="C846" s="2"/>
      <c r="D846" s="3"/>
      <c r="E846" s="3"/>
      <c r="F846" s="2"/>
      <c r="G846" s="13">
        <f>IF($B846="IN",$D846,0)</f>
      </c>
      <c r="H846" s="13">
        <f>IF($B846="OUT",$D846,0)</f>
      </c>
    </row>
    <row x14ac:dyDescent="0.25" r="847" customHeight="1" ht="17.25">
      <c r="A847" s="52"/>
      <c r="B847" s="2"/>
      <c r="C847" s="2"/>
      <c r="D847" s="3"/>
      <c r="E847" s="3"/>
      <c r="F847" s="2"/>
      <c r="G847" s="13">
        <f>IF($B847="IN",$D847,0)</f>
      </c>
      <c r="H847" s="13">
        <f>IF($B847="OUT",$D847,0)</f>
      </c>
    </row>
    <row x14ac:dyDescent="0.25" r="848" customHeight="1" ht="17.25">
      <c r="A848" s="52"/>
      <c r="B848" s="2"/>
      <c r="C848" s="2"/>
      <c r="D848" s="3"/>
      <c r="E848" s="3"/>
      <c r="F848" s="2"/>
      <c r="G848" s="13">
        <f>IF($B848="IN",$D848,0)</f>
      </c>
      <c r="H848" s="13">
        <f>IF($B848="OUT",$D848,0)</f>
      </c>
    </row>
    <row x14ac:dyDescent="0.25" r="849" customHeight="1" ht="17.25">
      <c r="A849" s="52"/>
      <c r="B849" s="2"/>
      <c r="C849" s="2"/>
      <c r="D849" s="3"/>
      <c r="E849" s="3"/>
      <c r="F849" s="2"/>
      <c r="G849" s="13">
        <f>IF($B849="IN",$D849,0)</f>
      </c>
      <c r="H849" s="13">
        <f>IF($B849="OUT",$D849,0)</f>
      </c>
    </row>
    <row x14ac:dyDescent="0.25" r="850" customHeight="1" ht="17.25">
      <c r="A850" s="52"/>
      <c r="B850" s="2"/>
      <c r="C850" s="2"/>
      <c r="D850" s="3"/>
      <c r="E850" s="3"/>
      <c r="F850" s="2"/>
      <c r="G850" s="13">
        <f>IF($B850="IN",$D850,0)</f>
      </c>
      <c r="H850" s="13">
        <f>IF($B850="OUT",$D850,0)</f>
      </c>
    </row>
    <row x14ac:dyDescent="0.25" r="851" customHeight="1" ht="17.25">
      <c r="A851" s="52"/>
      <c r="B851" s="2"/>
      <c r="C851" s="2"/>
      <c r="D851" s="3"/>
      <c r="E851" s="3"/>
      <c r="F851" s="2"/>
      <c r="G851" s="13">
        <f>IF($B851="IN",$D851,0)</f>
      </c>
      <c r="H851" s="13">
        <f>IF($B851="OUT",$D851,0)</f>
      </c>
    </row>
    <row x14ac:dyDescent="0.25" r="852" customHeight="1" ht="17.25">
      <c r="A852" s="52"/>
      <c r="B852" s="2"/>
      <c r="C852" s="2"/>
      <c r="D852" s="3"/>
      <c r="E852" s="3"/>
      <c r="F852" s="2"/>
      <c r="G852" s="13">
        <f>IF($B852="IN",$D852,0)</f>
      </c>
      <c r="H852" s="13">
        <f>IF($B852="OUT",$D852,0)</f>
      </c>
    </row>
    <row x14ac:dyDescent="0.25" r="853" customHeight="1" ht="17.25">
      <c r="A853" s="52"/>
      <c r="B853" s="2"/>
      <c r="C853" s="2"/>
      <c r="D853" s="3"/>
      <c r="E853" s="3"/>
      <c r="F853" s="2"/>
      <c r="G853" s="13">
        <f>IF($B853="IN",$D853,0)</f>
      </c>
      <c r="H853" s="13">
        <f>IF($B853="OUT",$D853,0)</f>
      </c>
    </row>
    <row x14ac:dyDescent="0.25" r="854" customHeight="1" ht="17.25">
      <c r="A854" s="52"/>
      <c r="B854" s="2"/>
      <c r="C854" s="2"/>
      <c r="D854" s="3"/>
      <c r="E854" s="3"/>
      <c r="F854" s="2"/>
      <c r="G854" s="13">
        <f>IF($B854="IN",$D854,0)</f>
      </c>
      <c r="H854" s="13">
        <f>IF($B854="OUT",$D854,0)</f>
      </c>
    </row>
    <row x14ac:dyDescent="0.25" r="855" customHeight="1" ht="17.25">
      <c r="A855" s="52"/>
      <c r="B855" s="2"/>
      <c r="C855" s="2"/>
      <c r="D855" s="3"/>
      <c r="E855" s="3"/>
      <c r="F855" s="2"/>
      <c r="G855" s="13">
        <f>IF($B855="IN",$D855,0)</f>
      </c>
      <c r="H855" s="13">
        <f>IF($B855="OUT",$D855,0)</f>
      </c>
    </row>
    <row x14ac:dyDescent="0.25" r="856" customHeight="1" ht="17.25">
      <c r="A856" s="52"/>
      <c r="B856" s="2"/>
      <c r="C856" s="2"/>
      <c r="D856" s="3"/>
      <c r="E856" s="3"/>
      <c r="F856" s="2"/>
      <c r="G856" s="13">
        <f>IF($B856="IN",$D856,0)</f>
      </c>
      <c r="H856" s="13">
        <f>IF($B856="OUT",$D856,0)</f>
      </c>
    </row>
    <row x14ac:dyDescent="0.25" r="857" customHeight="1" ht="17.25">
      <c r="A857" s="52"/>
      <c r="B857" s="2"/>
      <c r="C857" s="2"/>
      <c r="D857" s="3"/>
      <c r="E857" s="3"/>
      <c r="F857" s="2"/>
      <c r="G857" s="13">
        <f>IF($B857="IN",$D857,0)</f>
      </c>
      <c r="H857" s="13">
        <f>IF($B857="OUT",$D857,0)</f>
      </c>
    </row>
    <row x14ac:dyDescent="0.25" r="858" customHeight="1" ht="17.25">
      <c r="A858" s="52"/>
      <c r="B858" s="2"/>
      <c r="C858" s="2"/>
      <c r="D858" s="3"/>
      <c r="E858" s="3"/>
      <c r="F858" s="2"/>
      <c r="G858" s="13">
        <f>IF($B858="IN",$D858,0)</f>
      </c>
      <c r="H858" s="13">
        <f>IF($B858="OUT",$D858,0)</f>
      </c>
    </row>
    <row x14ac:dyDescent="0.25" r="859" customHeight="1" ht="17.25">
      <c r="A859" s="52"/>
      <c r="B859" s="2"/>
      <c r="C859" s="2"/>
      <c r="D859" s="3"/>
      <c r="E859" s="3"/>
      <c r="F859" s="2"/>
      <c r="G859" s="13">
        <f>IF($B859="IN",$D859,0)</f>
      </c>
      <c r="H859" s="13">
        <f>IF($B859="OUT",$D859,0)</f>
      </c>
    </row>
    <row x14ac:dyDescent="0.25" r="860" customHeight="1" ht="17.25">
      <c r="A860" s="52"/>
      <c r="B860" s="2"/>
      <c r="C860" s="2"/>
      <c r="D860" s="3"/>
      <c r="E860" s="3"/>
      <c r="F860" s="2"/>
      <c r="G860" s="13">
        <f>IF($B860="IN",$D860,0)</f>
      </c>
      <c r="H860" s="13">
        <f>IF($B860="OUT",$D860,0)</f>
      </c>
    </row>
    <row x14ac:dyDescent="0.25" r="861" customHeight="1" ht="17.25">
      <c r="A861" s="52"/>
      <c r="B861" s="2"/>
      <c r="C861" s="2"/>
      <c r="D861" s="3"/>
      <c r="E861" s="3"/>
      <c r="F861" s="2"/>
      <c r="G861" s="13">
        <f>IF($B861="IN",$D861,0)</f>
      </c>
      <c r="H861" s="13">
        <f>IF($B861="OUT",$D861,0)</f>
      </c>
    </row>
    <row x14ac:dyDescent="0.25" r="862" customHeight="1" ht="17.25">
      <c r="A862" s="52"/>
      <c r="B862" s="2"/>
      <c r="C862" s="2"/>
      <c r="D862" s="3"/>
      <c r="E862" s="3"/>
      <c r="F862" s="2"/>
      <c r="G862" s="13">
        <f>IF($B862="IN",$D862,0)</f>
      </c>
      <c r="H862" s="13">
        <f>IF($B862="OUT",$D862,0)</f>
      </c>
    </row>
    <row x14ac:dyDescent="0.25" r="863" customHeight="1" ht="17.25">
      <c r="A863" s="52"/>
      <c r="B863" s="2"/>
      <c r="C863" s="2"/>
      <c r="D863" s="3"/>
      <c r="E863" s="3"/>
      <c r="F863" s="2"/>
      <c r="G863" s="13">
        <f>IF($B863="IN",$D863,0)</f>
      </c>
      <c r="H863" s="13">
        <f>IF($B863="OUT",$D863,0)</f>
      </c>
    </row>
    <row x14ac:dyDescent="0.25" r="864" customHeight="1" ht="17.25">
      <c r="A864" s="52"/>
      <c r="B864" s="2"/>
      <c r="C864" s="2"/>
      <c r="D864" s="3"/>
      <c r="E864" s="3"/>
      <c r="F864" s="2"/>
      <c r="G864" s="13">
        <f>IF($B864="IN",$D864,0)</f>
      </c>
      <c r="H864" s="13">
        <f>IF($B864="OUT",$D864,0)</f>
      </c>
    </row>
    <row x14ac:dyDescent="0.25" r="865" customHeight="1" ht="17.25">
      <c r="A865" s="52"/>
      <c r="B865" s="2"/>
      <c r="C865" s="2"/>
      <c r="D865" s="3"/>
      <c r="E865" s="3"/>
      <c r="F865" s="2"/>
      <c r="G865" s="13">
        <f>IF($B865="IN",$D865,0)</f>
      </c>
      <c r="H865" s="13">
        <f>IF($B865="OUT",$D865,0)</f>
      </c>
    </row>
    <row x14ac:dyDescent="0.25" r="866" customHeight="1" ht="17.25">
      <c r="A866" s="52"/>
      <c r="B866" s="2"/>
      <c r="C866" s="2"/>
      <c r="D866" s="3"/>
      <c r="E866" s="3"/>
      <c r="F866" s="2"/>
      <c r="G866" s="13">
        <f>IF($B866="IN",$D866,0)</f>
      </c>
      <c r="H866" s="13">
        <f>IF($B866="OUT",$D866,0)</f>
      </c>
    </row>
    <row x14ac:dyDescent="0.25" r="867" customHeight="1" ht="17.25">
      <c r="A867" s="52"/>
      <c r="B867" s="2"/>
      <c r="C867" s="2"/>
      <c r="D867" s="3"/>
      <c r="E867" s="3"/>
      <c r="F867" s="2"/>
      <c r="G867" s="13">
        <f>IF($B867="IN",$D867,0)</f>
      </c>
      <c r="H867" s="13">
        <f>IF($B867="OUT",$D867,0)</f>
      </c>
    </row>
    <row x14ac:dyDescent="0.25" r="868" customHeight="1" ht="17.25">
      <c r="A868" s="52"/>
      <c r="B868" s="2"/>
      <c r="C868" s="2"/>
      <c r="D868" s="3"/>
      <c r="E868" s="3"/>
      <c r="F868" s="2"/>
      <c r="G868" s="13">
        <f>IF($B868="IN",$D868,0)</f>
      </c>
      <c r="H868" s="13">
        <f>IF($B868="OUT",$D868,0)</f>
      </c>
    </row>
    <row x14ac:dyDescent="0.25" r="869" customHeight="1" ht="17.25">
      <c r="A869" s="52"/>
      <c r="B869" s="2"/>
      <c r="C869" s="2"/>
      <c r="D869" s="3"/>
      <c r="E869" s="3"/>
      <c r="F869" s="2"/>
      <c r="G869" s="13">
        <f>IF($B869="IN",$D869,0)</f>
      </c>
      <c r="H869" s="13">
        <f>IF($B869="OUT",$D869,0)</f>
      </c>
    </row>
    <row x14ac:dyDescent="0.25" r="870" customHeight="1" ht="17.25">
      <c r="A870" s="52"/>
      <c r="B870" s="2"/>
      <c r="C870" s="2"/>
      <c r="D870" s="3"/>
      <c r="E870" s="3"/>
      <c r="F870" s="2"/>
      <c r="G870" s="13">
        <f>IF($B870="IN",$D870,0)</f>
      </c>
      <c r="H870" s="13">
        <f>IF($B870="OUT",$D870,0)</f>
      </c>
    </row>
    <row x14ac:dyDescent="0.25" r="871" customHeight="1" ht="17.25">
      <c r="A871" s="52"/>
      <c r="B871" s="2"/>
      <c r="C871" s="2"/>
      <c r="D871" s="3"/>
      <c r="E871" s="3"/>
      <c r="F871" s="2"/>
      <c r="G871" s="13">
        <f>IF($B871="IN",$D871,0)</f>
      </c>
      <c r="H871" s="13">
        <f>IF($B871="OUT",$D871,0)</f>
      </c>
    </row>
    <row x14ac:dyDescent="0.25" r="872" customHeight="1" ht="17.25">
      <c r="A872" s="52"/>
      <c r="B872" s="2"/>
      <c r="C872" s="2"/>
      <c r="D872" s="3"/>
      <c r="E872" s="3"/>
      <c r="F872" s="2"/>
      <c r="G872" s="13">
        <f>IF($B872="IN",$D872,0)</f>
      </c>
      <c r="H872" s="13">
        <f>IF($B872="OUT",$D872,0)</f>
      </c>
    </row>
    <row x14ac:dyDescent="0.25" r="873" customHeight="1" ht="17.25">
      <c r="A873" s="52"/>
      <c r="B873" s="2"/>
      <c r="C873" s="2"/>
      <c r="D873" s="3"/>
      <c r="E873" s="3"/>
      <c r="F873" s="2"/>
      <c r="G873" s="13">
        <f>IF($B873="IN",$D873,0)</f>
      </c>
      <c r="H873" s="13">
        <f>IF($B873="OUT",$D873,0)</f>
      </c>
    </row>
    <row x14ac:dyDescent="0.25" r="874" customHeight="1" ht="17.25">
      <c r="A874" s="52"/>
      <c r="B874" s="2"/>
      <c r="C874" s="2"/>
      <c r="D874" s="3"/>
      <c r="E874" s="3"/>
      <c r="F874" s="2"/>
      <c r="G874" s="13">
        <f>IF($B874="IN",$D874,0)</f>
      </c>
      <c r="H874" s="13">
        <f>IF($B874="OUT",$D874,0)</f>
      </c>
    </row>
    <row x14ac:dyDescent="0.25" r="875" customHeight="1" ht="17.25">
      <c r="A875" s="52"/>
      <c r="B875" s="2"/>
      <c r="C875" s="2"/>
      <c r="D875" s="3"/>
      <c r="E875" s="3"/>
      <c r="F875" s="2"/>
      <c r="G875" s="13">
        <f>IF($B875="IN",$D875,0)</f>
      </c>
      <c r="H875" s="13">
        <f>IF($B875="OUT",$D875,0)</f>
      </c>
    </row>
    <row x14ac:dyDescent="0.25" r="876" customHeight="1" ht="17.25">
      <c r="A876" s="52"/>
      <c r="B876" s="2"/>
      <c r="C876" s="2"/>
      <c r="D876" s="3"/>
      <c r="E876" s="3"/>
      <c r="F876" s="2"/>
      <c r="G876" s="13">
        <f>IF($B876="IN",$D876,0)</f>
      </c>
      <c r="H876" s="13">
        <f>IF($B876="OUT",$D876,0)</f>
      </c>
    </row>
    <row x14ac:dyDescent="0.25" r="877" customHeight="1" ht="17.25">
      <c r="A877" s="52"/>
      <c r="B877" s="2"/>
      <c r="C877" s="2"/>
      <c r="D877" s="3"/>
      <c r="E877" s="3"/>
      <c r="F877" s="2"/>
      <c r="G877" s="13">
        <f>IF($B877="IN",$D877,0)</f>
      </c>
      <c r="H877" s="13">
        <f>IF($B877="OUT",$D877,0)</f>
      </c>
    </row>
    <row x14ac:dyDescent="0.25" r="878" customHeight="1" ht="17.25">
      <c r="A878" s="52"/>
      <c r="B878" s="2"/>
      <c r="C878" s="2"/>
      <c r="D878" s="3"/>
      <c r="E878" s="3"/>
      <c r="F878" s="2"/>
      <c r="G878" s="13">
        <f>IF($B878="IN",$D878,0)</f>
      </c>
      <c r="H878" s="13">
        <f>IF($B878="OUT",$D878,0)</f>
      </c>
    </row>
    <row x14ac:dyDescent="0.25" r="879" customHeight="1" ht="17.25">
      <c r="A879" s="52"/>
      <c r="B879" s="2"/>
      <c r="C879" s="2"/>
      <c r="D879" s="3"/>
      <c r="E879" s="3"/>
      <c r="F879" s="2"/>
      <c r="G879" s="13">
        <f>IF($B879="IN",$D879,0)</f>
      </c>
      <c r="H879" s="13">
        <f>IF($B879="OUT",$D879,0)</f>
      </c>
    </row>
    <row x14ac:dyDescent="0.25" r="880" customHeight="1" ht="17.25">
      <c r="A880" s="52"/>
      <c r="B880" s="2"/>
      <c r="C880" s="2"/>
      <c r="D880" s="3"/>
      <c r="E880" s="3"/>
      <c r="F880" s="2"/>
      <c r="G880" s="13">
        <f>IF($B880="IN",$D880,0)</f>
      </c>
      <c r="H880" s="13">
        <f>IF($B880="OUT",$D880,0)</f>
      </c>
    </row>
    <row x14ac:dyDescent="0.25" r="881" customHeight="1" ht="17.25">
      <c r="A881" s="52"/>
      <c r="B881" s="2"/>
      <c r="C881" s="2"/>
      <c r="D881" s="3"/>
      <c r="E881" s="3"/>
      <c r="F881" s="2"/>
      <c r="G881" s="13">
        <f>IF($B881="IN",$D881,0)</f>
      </c>
      <c r="H881" s="13">
        <f>IF($B881="OUT",$D881,0)</f>
      </c>
    </row>
    <row x14ac:dyDescent="0.25" r="882" customHeight="1" ht="17.25">
      <c r="A882" s="52"/>
      <c r="B882" s="2"/>
      <c r="C882" s="2"/>
      <c r="D882" s="3"/>
      <c r="E882" s="3"/>
      <c r="F882" s="2"/>
      <c r="G882" s="13">
        <f>IF($B882="IN",$D882,0)</f>
      </c>
      <c r="H882" s="13">
        <f>IF($B882="OUT",$D882,0)</f>
      </c>
    </row>
    <row x14ac:dyDescent="0.25" r="883" customHeight="1" ht="17.25">
      <c r="A883" s="52"/>
      <c r="B883" s="2"/>
      <c r="C883" s="2"/>
      <c r="D883" s="3"/>
      <c r="E883" s="3"/>
      <c r="F883" s="2"/>
      <c r="G883" s="13">
        <f>IF($B883="IN",$D883,0)</f>
      </c>
      <c r="H883" s="13">
        <f>IF($B883="OUT",$D883,0)</f>
      </c>
    </row>
    <row x14ac:dyDescent="0.25" r="884" customHeight="1" ht="17.25">
      <c r="A884" s="52"/>
      <c r="B884" s="2"/>
      <c r="C884" s="2"/>
      <c r="D884" s="3"/>
      <c r="E884" s="3"/>
      <c r="F884" s="2"/>
      <c r="G884" s="13">
        <f>IF($B884="IN",$D884,0)</f>
      </c>
      <c r="H884" s="13">
        <f>IF($B884="OUT",$D884,0)</f>
      </c>
    </row>
    <row x14ac:dyDescent="0.25" r="885" customHeight="1" ht="17.25">
      <c r="A885" s="52"/>
      <c r="B885" s="2"/>
      <c r="C885" s="2"/>
      <c r="D885" s="3"/>
      <c r="E885" s="3"/>
      <c r="F885" s="2"/>
      <c r="G885" s="13">
        <f>IF($B885="IN",$D885,0)</f>
      </c>
      <c r="H885" s="13">
        <f>IF($B885="OUT",$D885,0)</f>
      </c>
    </row>
    <row x14ac:dyDescent="0.25" r="886" customHeight="1" ht="17.25">
      <c r="A886" s="52"/>
      <c r="B886" s="2"/>
      <c r="C886" s="2"/>
      <c r="D886" s="3"/>
      <c r="E886" s="3"/>
      <c r="F886" s="2"/>
      <c r="G886" s="13">
        <f>IF($B886="IN",$D886,0)</f>
      </c>
      <c r="H886" s="13">
        <f>IF($B886="OUT",$D886,0)</f>
      </c>
    </row>
    <row x14ac:dyDescent="0.25" r="887" customHeight="1" ht="17.25">
      <c r="A887" s="52"/>
      <c r="B887" s="2"/>
      <c r="C887" s="2"/>
      <c r="D887" s="3"/>
      <c r="E887" s="3"/>
      <c r="F887" s="2"/>
      <c r="G887" s="13">
        <f>IF($B887="IN",$D887,0)</f>
      </c>
      <c r="H887" s="13">
        <f>IF($B887="OUT",$D887,0)</f>
      </c>
    </row>
    <row x14ac:dyDescent="0.25" r="888" customHeight="1" ht="17.25">
      <c r="A888" s="52"/>
      <c r="B888" s="2"/>
      <c r="C888" s="2"/>
      <c r="D888" s="3"/>
      <c r="E888" s="3"/>
      <c r="F888" s="2"/>
      <c r="G888" s="13">
        <f>IF($B888="IN",$D888,0)</f>
      </c>
      <c r="H888" s="13">
        <f>IF($B888="OUT",$D888,0)</f>
      </c>
    </row>
    <row x14ac:dyDescent="0.25" r="889" customHeight="1" ht="17.25">
      <c r="A889" s="52"/>
      <c r="B889" s="2"/>
      <c r="C889" s="2"/>
      <c r="D889" s="3"/>
      <c r="E889" s="3"/>
      <c r="F889" s="2"/>
      <c r="G889" s="13">
        <f>IF($B889="IN",$D889,0)</f>
      </c>
      <c r="H889" s="13">
        <f>IF($B889="OUT",$D889,0)</f>
      </c>
    </row>
    <row x14ac:dyDescent="0.25" r="890" customHeight="1" ht="17.25">
      <c r="A890" s="52"/>
      <c r="B890" s="2"/>
      <c r="C890" s="2"/>
      <c r="D890" s="3"/>
      <c r="E890" s="3"/>
      <c r="F890" s="2"/>
      <c r="G890" s="13">
        <f>IF($B890="IN",$D890,0)</f>
      </c>
      <c r="H890" s="13">
        <f>IF($B890="OUT",$D890,0)</f>
      </c>
    </row>
    <row x14ac:dyDescent="0.25" r="891" customHeight="1" ht="17.25">
      <c r="A891" s="52"/>
      <c r="B891" s="2"/>
      <c r="C891" s="2"/>
      <c r="D891" s="3"/>
      <c r="E891" s="3"/>
      <c r="F891" s="2"/>
      <c r="G891" s="13">
        <f>IF($B891="IN",$D891,0)</f>
      </c>
      <c r="H891" s="13">
        <f>IF($B891="OUT",$D891,0)</f>
      </c>
    </row>
    <row x14ac:dyDescent="0.25" r="892" customHeight="1" ht="17.25">
      <c r="A892" s="52"/>
      <c r="B892" s="2"/>
      <c r="C892" s="2"/>
      <c r="D892" s="3"/>
      <c r="E892" s="3"/>
      <c r="F892" s="2"/>
      <c r="G892" s="13">
        <f>IF($B892="IN",$D892,0)</f>
      </c>
      <c r="H892" s="13">
        <f>IF($B892="OUT",$D892,0)</f>
      </c>
    </row>
    <row x14ac:dyDescent="0.25" r="893" customHeight="1" ht="17.25">
      <c r="A893" s="52"/>
      <c r="B893" s="2"/>
      <c r="C893" s="2"/>
      <c r="D893" s="3"/>
      <c r="E893" s="3"/>
      <c r="F893" s="2"/>
      <c r="G893" s="13">
        <f>IF($B893="IN",$D893,0)</f>
      </c>
      <c r="H893" s="13">
        <f>IF($B893="OUT",$D893,0)</f>
      </c>
    </row>
    <row x14ac:dyDescent="0.25" r="894" customHeight="1" ht="17.25">
      <c r="A894" s="52"/>
      <c r="B894" s="2"/>
      <c r="C894" s="2"/>
      <c r="D894" s="3"/>
      <c r="E894" s="3"/>
      <c r="F894" s="2"/>
      <c r="G894" s="13">
        <f>IF($B894="IN",$D894,0)</f>
      </c>
      <c r="H894" s="13">
        <f>IF($B894="OUT",$D894,0)</f>
      </c>
    </row>
    <row x14ac:dyDescent="0.25" r="895" customHeight="1" ht="17.25">
      <c r="A895" s="52"/>
      <c r="B895" s="2"/>
      <c r="C895" s="2"/>
      <c r="D895" s="3"/>
      <c r="E895" s="3"/>
      <c r="F895" s="2"/>
      <c r="G895" s="13">
        <f>IF($B895="IN",$D895,0)</f>
      </c>
      <c r="H895" s="13">
        <f>IF($B895="OUT",$D895,0)</f>
      </c>
    </row>
    <row x14ac:dyDescent="0.25" r="896" customHeight="1" ht="17.25">
      <c r="A896" s="52"/>
      <c r="B896" s="2"/>
      <c r="C896" s="2"/>
      <c r="D896" s="3"/>
      <c r="E896" s="3"/>
      <c r="F896" s="2"/>
      <c r="G896" s="13">
        <f>IF($B896="IN",$D896,0)</f>
      </c>
      <c r="H896" s="13">
        <f>IF($B896="OUT",$D896,0)</f>
      </c>
    </row>
    <row x14ac:dyDescent="0.25" r="897" customHeight="1" ht="17.25">
      <c r="A897" s="52"/>
      <c r="B897" s="2"/>
      <c r="C897" s="2"/>
      <c r="D897" s="3"/>
      <c r="E897" s="3"/>
      <c r="F897" s="2"/>
      <c r="G897" s="13">
        <f>IF($B897="IN",$D897,0)</f>
      </c>
      <c r="H897" s="13">
        <f>IF($B897="OUT",$D897,0)</f>
      </c>
    </row>
    <row x14ac:dyDescent="0.25" r="898" customHeight="1" ht="17.25">
      <c r="A898" s="52"/>
      <c r="B898" s="2"/>
      <c r="C898" s="2"/>
      <c r="D898" s="3"/>
      <c r="E898" s="3"/>
      <c r="F898" s="2"/>
      <c r="G898" s="13">
        <f>IF($B898="IN",$D898,0)</f>
      </c>
      <c r="H898" s="13">
        <f>IF($B898="OUT",$D898,0)</f>
      </c>
    </row>
    <row x14ac:dyDescent="0.25" r="899" customHeight="1" ht="17.25">
      <c r="A899" s="52"/>
      <c r="B899" s="2"/>
      <c r="C899" s="2"/>
      <c r="D899" s="3"/>
      <c r="E899" s="3"/>
      <c r="F899" s="2"/>
      <c r="G899" s="13">
        <f>IF($B899="IN",$D899,0)</f>
      </c>
      <c r="H899" s="13">
        <f>IF($B899="OUT",$D899,0)</f>
      </c>
    </row>
    <row x14ac:dyDescent="0.25" r="900" customHeight="1" ht="17.25">
      <c r="A900" s="52"/>
      <c r="B900" s="2"/>
      <c r="C900" s="2"/>
      <c r="D900" s="3"/>
      <c r="E900" s="3"/>
      <c r="F900" s="2"/>
      <c r="G900" s="13">
        <f>IF($B900="IN",$D900,0)</f>
      </c>
      <c r="H900" s="13">
        <f>IF($B900="OUT",$D900,0)</f>
      </c>
    </row>
    <row x14ac:dyDescent="0.25" r="901" customHeight="1" ht="17.25">
      <c r="A901" s="52"/>
      <c r="B901" s="2"/>
      <c r="C901" s="2"/>
      <c r="D901" s="3"/>
      <c r="E901" s="3"/>
      <c r="F901" s="2"/>
      <c r="G901" s="13">
        <f>IF($B901="IN",$D901,0)</f>
      </c>
      <c r="H901" s="13">
        <f>IF($B901="OUT",$D901,0)</f>
      </c>
    </row>
    <row x14ac:dyDescent="0.25" r="902" customHeight="1" ht="17.25">
      <c r="A902" s="52"/>
      <c r="B902" s="2"/>
      <c r="C902" s="2"/>
      <c r="D902" s="3"/>
      <c r="E902" s="3"/>
      <c r="F902" s="2"/>
      <c r="G902" s="13">
        <f>IF($B902="IN",$D902,0)</f>
      </c>
      <c r="H902" s="13">
        <f>IF($B902="OUT",$D902,0)</f>
      </c>
    </row>
    <row x14ac:dyDescent="0.25" r="903" customHeight="1" ht="17.25">
      <c r="A903" s="52"/>
      <c r="B903" s="2"/>
      <c r="C903" s="2"/>
      <c r="D903" s="3"/>
      <c r="E903" s="3"/>
      <c r="F903" s="2"/>
      <c r="G903" s="13">
        <f>IF($B903="IN",$D903,0)</f>
      </c>
      <c r="H903" s="13">
        <f>IF($B903="OUT",$D903,0)</f>
      </c>
    </row>
    <row x14ac:dyDescent="0.25" r="904" customHeight="1" ht="17.25">
      <c r="A904" s="52"/>
      <c r="B904" s="2"/>
      <c r="C904" s="2"/>
      <c r="D904" s="3"/>
      <c r="E904" s="3"/>
      <c r="F904" s="2"/>
      <c r="G904" s="13">
        <f>IF($B904="IN",$D904,0)</f>
      </c>
      <c r="H904" s="13">
        <f>IF($B904="OUT",$D904,0)</f>
      </c>
    </row>
    <row x14ac:dyDescent="0.25" r="905" customHeight="1" ht="17.25">
      <c r="A905" s="52"/>
      <c r="B905" s="2"/>
      <c r="C905" s="2"/>
      <c r="D905" s="3"/>
      <c r="E905" s="3"/>
      <c r="F905" s="2"/>
      <c r="G905" s="13">
        <f>IF($B905="IN",$D905,0)</f>
      </c>
      <c r="H905" s="13">
        <f>IF($B905="OUT",$D905,0)</f>
      </c>
    </row>
    <row x14ac:dyDescent="0.25" r="906" customHeight="1" ht="17.25">
      <c r="A906" s="52"/>
      <c r="B906" s="2"/>
      <c r="C906" s="2"/>
      <c r="D906" s="3"/>
      <c r="E906" s="3"/>
      <c r="F906" s="2"/>
      <c r="G906" s="13">
        <f>IF($B906="IN",$D906,0)</f>
      </c>
      <c r="H906" s="13">
        <f>IF($B906="OUT",$D906,0)</f>
      </c>
    </row>
    <row x14ac:dyDescent="0.25" r="907" customHeight="1" ht="17.25">
      <c r="A907" s="52"/>
      <c r="B907" s="2"/>
      <c r="C907" s="2"/>
      <c r="D907" s="3"/>
      <c r="E907" s="3"/>
      <c r="F907" s="2"/>
      <c r="G907" s="13">
        <f>IF($B907="IN",$D907,0)</f>
      </c>
      <c r="H907" s="13">
        <f>IF($B907="OUT",$D907,0)</f>
      </c>
    </row>
    <row x14ac:dyDescent="0.25" r="908" customHeight="1" ht="17.25">
      <c r="A908" s="52"/>
      <c r="B908" s="2"/>
      <c r="C908" s="2"/>
      <c r="D908" s="3"/>
      <c r="E908" s="3"/>
      <c r="F908" s="2"/>
      <c r="G908" s="13">
        <f>IF($B908="IN",$D908,0)</f>
      </c>
      <c r="H908" s="13">
        <f>IF($B908="OUT",$D908,0)</f>
      </c>
    </row>
    <row x14ac:dyDescent="0.25" r="909" customHeight="1" ht="17.25">
      <c r="A909" s="52"/>
      <c r="B909" s="2"/>
      <c r="C909" s="2"/>
      <c r="D909" s="3"/>
      <c r="E909" s="3"/>
      <c r="F909" s="2"/>
      <c r="G909" s="13">
        <f>IF($B909="IN",$D909,0)</f>
      </c>
      <c r="H909" s="13">
        <f>IF($B909="OUT",$D909,0)</f>
      </c>
    </row>
    <row x14ac:dyDescent="0.25" r="910" customHeight="1" ht="17.25">
      <c r="A910" s="52"/>
      <c r="B910" s="2"/>
      <c r="C910" s="2"/>
      <c r="D910" s="3"/>
      <c r="E910" s="3"/>
      <c r="F910" s="2"/>
      <c r="G910" s="13">
        <f>IF($B910="IN",$D910,0)</f>
      </c>
      <c r="H910" s="13">
        <f>IF($B910="OUT",$D910,0)</f>
      </c>
    </row>
    <row x14ac:dyDescent="0.25" r="911" customHeight="1" ht="17.25">
      <c r="A911" s="52"/>
      <c r="B911" s="2"/>
      <c r="C911" s="2"/>
      <c r="D911" s="3"/>
      <c r="E911" s="3"/>
      <c r="F911" s="2"/>
      <c r="G911" s="13">
        <f>IF($B911="IN",$D911,0)</f>
      </c>
      <c r="H911" s="13">
        <f>IF($B911="OUT",$D911,0)</f>
      </c>
    </row>
    <row x14ac:dyDescent="0.25" r="912" customHeight="1" ht="17.25">
      <c r="A912" s="52"/>
      <c r="B912" s="2"/>
      <c r="C912" s="2"/>
      <c r="D912" s="3"/>
      <c r="E912" s="3"/>
      <c r="F912" s="2"/>
      <c r="G912" s="13">
        <f>IF($B912="IN",$D912,0)</f>
      </c>
      <c r="H912" s="13">
        <f>IF($B912="OUT",$D912,0)</f>
      </c>
    </row>
    <row x14ac:dyDescent="0.25" r="913" customHeight="1" ht="17.25">
      <c r="A913" s="52"/>
      <c r="B913" s="2"/>
      <c r="C913" s="2"/>
      <c r="D913" s="3"/>
      <c r="E913" s="3"/>
      <c r="F913" s="2"/>
      <c r="G913" s="13">
        <f>IF($B913="IN",$D913,0)</f>
      </c>
      <c r="H913" s="13">
        <f>IF($B913="OUT",$D913,0)</f>
      </c>
    </row>
    <row x14ac:dyDescent="0.25" r="914" customHeight="1" ht="17.25">
      <c r="A914" s="52"/>
      <c r="B914" s="2"/>
      <c r="C914" s="2"/>
      <c r="D914" s="3"/>
      <c r="E914" s="3"/>
      <c r="F914" s="2"/>
      <c r="G914" s="13">
        <f>IF($B914="IN",$D914,0)</f>
      </c>
      <c r="H914" s="13">
        <f>IF($B914="OUT",$D914,0)</f>
      </c>
    </row>
    <row x14ac:dyDescent="0.25" r="915" customHeight="1" ht="17.25">
      <c r="A915" s="52"/>
      <c r="B915" s="2"/>
      <c r="C915" s="2"/>
      <c r="D915" s="3"/>
      <c r="E915" s="3"/>
      <c r="F915" s="2"/>
      <c r="G915" s="13">
        <f>IF($B915="IN",$D915,0)</f>
      </c>
      <c r="H915" s="13">
        <f>IF($B915="OUT",$D915,0)</f>
      </c>
    </row>
    <row x14ac:dyDescent="0.25" r="916" customHeight="1" ht="17.25">
      <c r="A916" s="52"/>
      <c r="B916" s="2"/>
      <c r="C916" s="2"/>
      <c r="D916" s="3"/>
      <c r="E916" s="3"/>
      <c r="F916" s="2"/>
      <c r="G916" s="13">
        <f>IF($B916="IN",$D916,0)</f>
      </c>
      <c r="H916" s="13">
        <f>IF($B916="OUT",$D916,0)</f>
      </c>
    </row>
    <row x14ac:dyDescent="0.25" r="917" customHeight="1" ht="17.25">
      <c r="A917" s="52"/>
      <c r="B917" s="2"/>
      <c r="C917" s="2"/>
      <c r="D917" s="3"/>
      <c r="E917" s="3"/>
      <c r="F917" s="2"/>
      <c r="G917" s="13">
        <f>IF($B917="IN",$D917,0)</f>
      </c>
      <c r="H917" s="13">
        <f>IF($B917="OUT",$D917,0)</f>
      </c>
    </row>
    <row x14ac:dyDescent="0.25" r="918" customHeight="1" ht="17.25">
      <c r="A918" s="52"/>
      <c r="B918" s="2"/>
      <c r="C918" s="2"/>
      <c r="D918" s="3"/>
      <c r="E918" s="3"/>
      <c r="F918" s="2"/>
      <c r="G918" s="13">
        <f>IF($B918="IN",$D918,0)</f>
      </c>
      <c r="H918" s="13">
        <f>IF($B918="OUT",$D918,0)</f>
      </c>
    </row>
    <row x14ac:dyDescent="0.25" r="919" customHeight="1" ht="17.25">
      <c r="A919" s="52"/>
      <c r="B919" s="2"/>
      <c r="C919" s="2"/>
      <c r="D919" s="3"/>
      <c r="E919" s="3"/>
      <c r="F919" s="2"/>
      <c r="G919" s="13">
        <f>IF($B919="IN",$D919,0)</f>
      </c>
      <c r="H919" s="13">
        <f>IF($B919="OUT",$D919,0)</f>
      </c>
    </row>
    <row x14ac:dyDescent="0.25" r="920" customHeight="1" ht="17.25">
      <c r="A920" s="52"/>
      <c r="B920" s="2"/>
      <c r="C920" s="2"/>
      <c r="D920" s="3"/>
      <c r="E920" s="3"/>
      <c r="F920" s="2"/>
      <c r="G920" s="13">
        <f>IF($B920="IN",$D920,0)</f>
      </c>
      <c r="H920" s="13">
        <f>IF($B920="OUT",$D920,0)</f>
      </c>
    </row>
    <row x14ac:dyDescent="0.25" r="921" customHeight="1" ht="17.25">
      <c r="A921" s="52"/>
      <c r="B921" s="2"/>
      <c r="C921" s="2"/>
      <c r="D921" s="3"/>
      <c r="E921" s="3"/>
      <c r="F921" s="2"/>
      <c r="G921" s="13">
        <f>IF($B921="IN",$D921,0)</f>
      </c>
      <c r="H921" s="13">
        <f>IF($B921="OUT",$D921,0)</f>
      </c>
    </row>
    <row x14ac:dyDescent="0.25" r="922" customHeight="1" ht="17.25">
      <c r="A922" s="52"/>
      <c r="B922" s="2"/>
      <c r="C922" s="2"/>
      <c r="D922" s="3"/>
      <c r="E922" s="3"/>
      <c r="F922" s="2"/>
      <c r="G922" s="13">
        <f>IF($B922="IN",$D922,0)</f>
      </c>
      <c r="H922" s="13">
        <f>IF($B922="OUT",$D922,0)</f>
      </c>
    </row>
    <row x14ac:dyDescent="0.25" r="923" customHeight="1" ht="17.25">
      <c r="A923" s="52"/>
      <c r="B923" s="2"/>
      <c r="C923" s="2"/>
      <c r="D923" s="3"/>
      <c r="E923" s="3"/>
      <c r="F923" s="2"/>
      <c r="G923" s="13">
        <f>IF($B923="IN",$D923,0)</f>
      </c>
      <c r="H923" s="13">
        <f>IF($B923="OUT",$D923,0)</f>
      </c>
    </row>
    <row x14ac:dyDescent="0.25" r="924" customHeight="1" ht="17.25">
      <c r="A924" s="52"/>
      <c r="B924" s="2"/>
      <c r="C924" s="2"/>
      <c r="D924" s="3"/>
      <c r="E924" s="3"/>
      <c r="F924" s="2"/>
      <c r="G924" s="13">
        <f>IF($B924="IN",$D924,0)</f>
      </c>
      <c r="H924" s="13">
        <f>IF($B924="OUT",$D924,0)</f>
      </c>
    </row>
    <row x14ac:dyDescent="0.25" r="925" customHeight="1" ht="17.25">
      <c r="A925" s="52"/>
      <c r="B925" s="2"/>
      <c r="C925" s="2"/>
      <c r="D925" s="3"/>
      <c r="E925" s="3"/>
      <c r="F925" s="2"/>
      <c r="G925" s="13">
        <f>IF($B925="IN",$D925,0)</f>
      </c>
      <c r="H925" s="13">
        <f>IF($B925="OUT",$D925,0)</f>
      </c>
    </row>
    <row x14ac:dyDescent="0.25" r="926" customHeight="1" ht="17.25">
      <c r="A926" s="52"/>
      <c r="B926" s="2"/>
      <c r="C926" s="2"/>
      <c r="D926" s="3"/>
      <c r="E926" s="3"/>
      <c r="F926" s="2"/>
      <c r="G926" s="13">
        <f>IF($B926="IN",$D926,0)</f>
      </c>
      <c r="H926" s="13">
        <f>IF($B926="OUT",$D926,0)</f>
      </c>
    </row>
    <row x14ac:dyDescent="0.25" r="927" customHeight="1" ht="17.25">
      <c r="A927" s="52"/>
      <c r="B927" s="2"/>
      <c r="C927" s="2"/>
      <c r="D927" s="3"/>
      <c r="E927" s="3"/>
      <c r="F927" s="2"/>
      <c r="G927" s="13">
        <f>IF($B927="IN",$D927,0)</f>
      </c>
      <c r="H927" s="13">
        <f>IF($B927="OUT",$D927,0)</f>
      </c>
    </row>
    <row x14ac:dyDescent="0.25" r="928" customHeight="1" ht="17.25">
      <c r="A928" s="52"/>
      <c r="B928" s="2"/>
      <c r="C928" s="2"/>
      <c r="D928" s="3"/>
      <c r="E928" s="3"/>
      <c r="F928" s="2"/>
      <c r="G928" s="13">
        <f>IF($B928="IN",$D928,0)</f>
      </c>
      <c r="H928" s="13">
        <f>IF($B928="OUT",$D928,0)</f>
      </c>
    </row>
    <row x14ac:dyDescent="0.25" r="929" customHeight="1" ht="17.25">
      <c r="A929" s="52"/>
      <c r="B929" s="2"/>
      <c r="C929" s="2"/>
      <c r="D929" s="3"/>
      <c r="E929" s="3"/>
      <c r="F929" s="2"/>
      <c r="G929" s="13">
        <f>IF($B929="IN",$D929,0)</f>
      </c>
      <c r="H929" s="13">
        <f>IF($B929="OUT",$D929,0)</f>
      </c>
    </row>
    <row x14ac:dyDescent="0.25" r="930" customHeight="1" ht="17.25">
      <c r="A930" s="52"/>
      <c r="B930" s="2"/>
      <c r="C930" s="2"/>
      <c r="D930" s="3"/>
      <c r="E930" s="3"/>
      <c r="F930" s="2"/>
      <c r="G930" s="13">
        <f>IF($B930="IN",$D930,0)</f>
      </c>
      <c r="H930" s="13">
        <f>IF($B930="OUT",$D930,0)</f>
      </c>
    </row>
    <row x14ac:dyDescent="0.25" r="931" customHeight="1" ht="17.25">
      <c r="A931" s="52"/>
      <c r="B931" s="2"/>
      <c r="C931" s="2"/>
      <c r="D931" s="3"/>
      <c r="E931" s="3"/>
      <c r="F931" s="2"/>
      <c r="G931" s="13">
        <f>IF($B931="IN",$D931,0)</f>
      </c>
      <c r="H931" s="13">
        <f>IF($B931="OUT",$D931,0)</f>
      </c>
    </row>
    <row x14ac:dyDescent="0.25" r="932" customHeight="1" ht="17.25">
      <c r="A932" s="52"/>
      <c r="B932" s="2"/>
      <c r="C932" s="2"/>
      <c r="D932" s="3"/>
      <c r="E932" s="3"/>
      <c r="F932" s="2"/>
      <c r="G932" s="13">
        <f>IF($B932="IN",$D932,0)</f>
      </c>
      <c r="H932" s="13">
        <f>IF($B932="OUT",$D932,0)</f>
      </c>
    </row>
    <row x14ac:dyDescent="0.25" r="933" customHeight="1" ht="17.25">
      <c r="A933" s="52"/>
      <c r="B933" s="2"/>
      <c r="C933" s="2"/>
      <c r="D933" s="3"/>
      <c r="E933" s="3"/>
      <c r="F933" s="2"/>
      <c r="G933" s="13">
        <f>IF($B933="IN",$D933,0)</f>
      </c>
      <c r="H933" s="13">
        <f>IF($B933="OUT",$D933,0)</f>
      </c>
    </row>
    <row x14ac:dyDescent="0.25" r="934" customHeight="1" ht="17.25">
      <c r="A934" s="52"/>
      <c r="B934" s="2"/>
      <c r="C934" s="2"/>
      <c r="D934" s="3"/>
      <c r="E934" s="3"/>
      <c r="F934" s="2"/>
      <c r="G934" s="13">
        <f>IF($B934="IN",$D934,0)</f>
      </c>
      <c r="H934" s="13">
        <f>IF($B934="OUT",$D934,0)</f>
      </c>
    </row>
    <row x14ac:dyDescent="0.25" r="935" customHeight="1" ht="17.25">
      <c r="A935" s="52"/>
      <c r="B935" s="2"/>
      <c r="C935" s="2"/>
      <c r="D935" s="3"/>
      <c r="E935" s="3"/>
      <c r="F935" s="2"/>
      <c r="G935" s="13">
        <f>IF($B935="IN",$D935,0)</f>
      </c>
      <c r="H935" s="13">
        <f>IF($B935="OUT",$D935,0)</f>
      </c>
    </row>
    <row x14ac:dyDescent="0.25" r="936" customHeight="1" ht="17.25">
      <c r="A936" s="52"/>
      <c r="B936" s="2"/>
      <c r="C936" s="2"/>
      <c r="D936" s="3"/>
      <c r="E936" s="3"/>
      <c r="F936" s="2"/>
      <c r="G936" s="13">
        <f>IF($B936="IN",$D936,0)</f>
      </c>
      <c r="H936" s="13">
        <f>IF($B936="OUT",$D936,0)</f>
      </c>
    </row>
    <row x14ac:dyDescent="0.25" r="937" customHeight="1" ht="17.25">
      <c r="A937" s="52"/>
      <c r="B937" s="2"/>
      <c r="C937" s="2"/>
      <c r="D937" s="3"/>
      <c r="E937" s="3"/>
      <c r="F937" s="2"/>
      <c r="G937" s="13">
        <f>IF($B937="IN",$D937,0)</f>
      </c>
      <c r="H937" s="13">
        <f>IF($B937="OUT",$D937,0)</f>
      </c>
    </row>
    <row x14ac:dyDescent="0.25" r="938" customHeight="1" ht="17.25">
      <c r="A938" s="52"/>
      <c r="B938" s="2"/>
      <c r="C938" s="2"/>
      <c r="D938" s="3"/>
      <c r="E938" s="3"/>
      <c r="F938" s="2"/>
      <c r="G938" s="13">
        <f>IF($B938="IN",$D938,0)</f>
      </c>
      <c r="H938" s="13">
        <f>IF($B938="OUT",$D938,0)</f>
      </c>
    </row>
    <row x14ac:dyDescent="0.25" r="939" customHeight="1" ht="17.25">
      <c r="A939" s="52"/>
      <c r="B939" s="2"/>
      <c r="C939" s="2"/>
      <c r="D939" s="3"/>
      <c r="E939" s="3"/>
      <c r="F939" s="2"/>
      <c r="G939" s="13">
        <f>IF($B939="IN",$D939,0)</f>
      </c>
      <c r="H939" s="13">
        <f>IF($B939="OUT",$D939,0)</f>
      </c>
    </row>
    <row x14ac:dyDescent="0.25" r="940" customHeight="1" ht="17.25">
      <c r="A940" s="52"/>
      <c r="B940" s="2"/>
      <c r="C940" s="2"/>
      <c r="D940" s="3"/>
      <c r="E940" s="3"/>
      <c r="F940" s="2"/>
      <c r="G940" s="13">
        <f>IF($B940="IN",$D940,0)</f>
      </c>
      <c r="H940" s="13">
        <f>IF($B940="OUT",$D940,0)</f>
      </c>
    </row>
    <row x14ac:dyDescent="0.25" r="941" customHeight="1" ht="17.25">
      <c r="A941" s="52"/>
      <c r="B941" s="2"/>
      <c r="C941" s="2"/>
      <c r="D941" s="3"/>
      <c r="E941" s="3"/>
      <c r="F941" s="2"/>
      <c r="G941" s="13">
        <f>IF($B941="IN",$D941,0)</f>
      </c>
      <c r="H941" s="13">
        <f>IF($B941="OUT",$D941,0)</f>
      </c>
    </row>
    <row x14ac:dyDescent="0.25" r="942" customHeight="1" ht="17.25">
      <c r="A942" s="52"/>
      <c r="B942" s="2"/>
      <c r="C942" s="2"/>
      <c r="D942" s="3"/>
      <c r="E942" s="3"/>
      <c r="F942" s="2"/>
      <c r="G942" s="13">
        <f>IF($B942="IN",$D942,0)</f>
      </c>
      <c r="H942" s="13">
        <f>IF($B942="OUT",$D942,0)</f>
      </c>
    </row>
    <row x14ac:dyDescent="0.25" r="943" customHeight="1" ht="17.25">
      <c r="A943" s="52"/>
      <c r="B943" s="2"/>
      <c r="C943" s="2"/>
      <c r="D943" s="3"/>
      <c r="E943" s="3"/>
      <c r="F943" s="2"/>
      <c r="G943" s="13">
        <f>IF($B943="IN",$D943,0)</f>
      </c>
      <c r="H943" s="13">
        <f>IF($B943="OUT",$D943,0)</f>
      </c>
    </row>
    <row x14ac:dyDescent="0.25" r="944" customHeight="1" ht="17.25">
      <c r="A944" s="52"/>
      <c r="B944" s="2"/>
      <c r="C944" s="2"/>
      <c r="D944" s="3"/>
      <c r="E944" s="3"/>
      <c r="F944" s="2"/>
      <c r="G944" s="13">
        <f>IF($B944="IN",$D944,0)</f>
      </c>
      <c r="H944" s="13">
        <f>IF($B944="OUT",$D944,0)</f>
      </c>
    </row>
    <row x14ac:dyDescent="0.25" r="945" customHeight="1" ht="17.25">
      <c r="A945" s="52"/>
      <c r="B945" s="2"/>
      <c r="C945" s="2"/>
      <c r="D945" s="3"/>
      <c r="E945" s="3"/>
      <c r="F945" s="2"/>
      <c r="G945" s="13">
        <f>IF($B945="IN",$D945,0)</f>
      </c>
      <c r="H945" s="13">
        <f>IF($B945="OUT",$D945,0)</f>
      </c>
    </row>
    <row x14ac:dyDescent="0.25" r="946" customHeight="1" ht="17.25">
      <c r="A946" s="52"/>
      <c r="B946" s="2"/>
      <c r="C946" s="2"/>
      <c r="D946" s="3"/>
      <c r="E946" s="3"/>
      <c r="F946" s="2"/>
      <c r="G946" s="13">
        <f>IF($B946="IN",$D946,0)</f>
      </c>
      <c r="H946" s="13">
        <f>IF($B946="OUT",$D946,0)</f>
      </c>
    </row>
    <row x14ac:dyDescent="0.25" r="947" customHeight="1" ht="17.25">
      <c r="A947" s="52"/>
      <c r="B947" s="2"/>
      <c r="C947" s="2"/>
      <c r="D947" s="3"/>
      <c r="E947" s="3"/>
      <c r="F947" s="2"/>
      <c r="G947" s="13">
        <f>IF($B947="IN",$D947,0)</f>
      </c>
      <c r="H947" s="13">
        <f>IF($B947="OUT",$D947,0)</f>
      </c>
    </row>
    <row x14ac:dyDescent="0.25" r="948" customHeight="1" ht="17.25">
      <c r="A948" s="52"/>
      <c r="B948" s="2"/>
      <c r="C948" s="2"/>
      <c r="D948" s="3"/>
      <c r="E948" s="3"/>
      <c r="F948" s="2"/>
      <c r="G948" s="13">
        <f>IF($B948="IN",$D948,0)</f>
      </c>
      <c r="H948" s="13">
        <f>IF($B948="OUT",$D948,0)</f>
      </c>
    </row>
    <row x14ac:dyDescent="0.25" r="949" customHeight="1" ht="17.25">
      <c r="A949" s="52"/>
      <c r="B949" s="2"/>
      <c r="C949" s="2"/>
      <c r="D949" s="3"/>
      <c r="E949" s="3"/>
      <c r="F949" s="2"/>
      <c r="G949" s="13">
        <f>IF($B949="IN",$D949,0)</f>
      </c>
      <c r="H949" s="13">
        <f>IF($B949="OUT",$D949,0)</f>
      </c>
    </row>
    <row x14ac:dyDescent="0.25" r="950" customHeight="1" ht="17.25">
      <c r="A950" s="52"/>
      <c r="B950" s="2"/>
      <c r="C950" s="2"/>
      <c r="D950" s="3"/>
      <c r="E950" s="3"/>
      <c r="F950" s="2"/>
      <c r="G950" s="13">
        <f>IF($B950="IN",$D950,0)</f>
      </c>
      <c r="H950" s="13">
        <f>IF($B950="OUT",$D950,0)</f>
      </c>
    </row>
    <row x14ac:dyDescent="0.25" r="951" customHeight="1" ht="17.25">
      <c r="A951" s="52"/>
      <c r="B951" s="2"/>
      <c r="C951" s="2"/>
      <c r="D951" s="3"/>
      <c r="E951" s="3"/>
      <c r="F951" s="2"/>
      <c r="G951" s="13">
        <f>IF($B951="IN",$D951,0)</f>
      </c>
      <c r="H951" s="13">
        <f>IF($B951="OUT",$D951,0)</f>
      </c>
    </row>
    <row x14ac:dyDescent="0.25" r="952" customHeight="1" ht="17.25">
      <c r="A952" s="52"/>
      <c r="B952" s="2"/>
      <c r="C952" s="2"/>
      <c r="D952" s="3"/>
      <c r="E952" s="3"/>
      <c r="F952" s="2"/>
      <c r="G952" s="13">
        <f>IF($B952="IN",$D952,0)</f>
      </c>
      <c r="H952" s="13">
        <f>IF($B952="OUT",$D952,0)</f>
      </c>
    </row>
    <row x14ac:dyDescent="0.25" r="953" customHeight="1" ht="17.25">
      <c r="A953" s="52"/>
      <c r="B953" s="2"/>
      <c r="C953" s="2"/>
      <c r="D953" s="3"/>
      <c r="E953" s="3"/>
      <c r="F953" s="2"/>
      <c r="G953" s="13">
        <f>IF($B953="IN",$D953,0)</f>
      </c>
      <c r="H953" s="13">
        <f>IF($B953="OUT",$D953,0)</f>
      </c>
    </row>
    <row x14ac:dyDescent="0.25" r="954" customHeight="1" ht="17.25">
      <c r="A954" s="52"/>
      <c r="B954" s="2"/>
      <c r="C954" s="2"/>
      <c r="D954" s="3"/>
      <c r="E954" s="3"/>
      <c r="F954" s="2"/>
      <c r="G954" s="13">
        <f>IF($B954="IN",$D954,0)</f>
      </c>
      <c r="H954" s="13">
        <f>IF($B954="OUT",$D954,0)</f>
      </c>
    </row>
    <row x14ac:dyDescent="0.25" r="955" customHeight="1" ht="17.25">
      <c r="A955" s="52"/>
      <c r="B955" s="2"/>
      <c r="C955" s="2"/>
      <c r="D955" s="3"/>
      <c r="E955" s="3"/>
      <c r="F955" s="2"/>
      <c r="G955" s="13">
        <f>IF($B955="IN",$D955,0)</f>
      </c>
      <c r="H955" s="13">
        <f>IF($B955="OUT",$D955,0)</f>
      </c>
    </row>
    <row x14ac:dyDescent="0.25" r="956" customHeight="1" ht="17.25">
      <c r="A956" s="52"/>
      <c r="B956" s="2"/>
      <c r="C956" s="2"/>
      <c r="D956" s="3"/>
      <c r="E956" s="3"/>
      <c r="F956" s="2"/>
      <c r="G956" s="13">
        <f>IF($B956="IN",$D956,0)</f>
      </c>
      <c r="H956" s="13">
        <f>IF($B956="OUT",$D956,0)</f>
      </c>
    </row>
    <row x14ac:dyDescent="0.25" r="957" customHeight="1" ht="17.25">
      <c r="A957" s="52"/>
      <c r="B957" s="2"/>
      <c r="C957" s="2"/>
      <c r="D957" s="3"/>
      <c r="E957" s="3"/>
      <c r="F957" s="2"/>
      <c r="G957" s="13">
        <f>IF($B957="IN",$D957,0)</f>
      </c>
      <c r="H957" s="13">
        <f>IF($B957="OUT",$D957,0)</f>
      </c>
    </row>
    <row x14ac:dyDescent="0.25" r="958" customHeight="1" ht="17.25">
      <c r="A958" s="52"/>
      <c r="B958" s="2"/>
      <c r="C958" s="2"/>
      <c r="D958" s="3"/>
      <c r="E958" s="3"/>
      <c r="F958" s="2"/>
      <c r="G958" s="13">
        <f>IF($B958="IN",$D958,0)</f>
      </c>
      <c r="H958" s="13">
        <f>IF($B958="OUT",$D958,0)</f>
      </c>
    </row>
    <row x14ac:dyDescent="0.25" r="959" customHeight="1" ht="17.25">
      <c r="A959" s="52"/>
      <c r="B959" s="2"/>
      <c r="C959" s="2"/>
      <c r="D959" s="3"/>
      <c r="E959" s="3"/>
      <c r="F959" s="2"/>
      <c r="G959" s="13">
        <f>IF($B959="IN",$D959,0)</f>
      </c>
      <c r="H959" s="13">
        <f>IF($B959="OUT",$D959,0)</f>
      </c>
    </row>
    <row x14ac:dyDescent="0.25" r="960" customHeight="1" ht="17.25">
      <c r="A960" s="52"/>
      <c r="B960" s="2"/>
      <c r="C960" s="2"/>
      <c r="D960" s="3"/>
      <c r="E960" s="3"/>
      <c r="F960" s="2"/>
      <c r="G960" s="13">
        <f>IF($B960="IN",$D960,0)</f>
      </c>
      <c r="H960" s="13">
        <f>IF($B960="OUT",$D960,0)</f>
      </c>
    </row>
    <row x14ac:dyDescent="0.25" r="961" customHeight="1" ht="17.25">
      <c r="A961" s="52"/>
      <c r="B961" s="2"/>
      <c r="C961" s="2"/>
      <c r="D961" s="3"/>
      <c r="E961" s="3"/>
      <c r="F961" s="2"/>
      <c r="G961" s="13">
        <f>IF($B961="IN",$D961,0)</f>
      </c>
      <c r="H961" s="13">
        <f>IF($B961="OUT",$D961,0)</f>
      </c>
    </row>
    <row x14ac:dyDescent="0.25" r="962" customHeight="1" ht="17.25">
      <c r="A962" s="52"/>
      <c r="B962" s="2"/>
      <c r="C962" s="2"/>
      <c r="D962" s="3"/>
      <c r="E962" s="3"/>
      <c r="F962" s="2"/>
      <c r="G962" s="13">
        <f>IF($B962="IN",$D962,0)</f>
      </c>
      <c r="H962" s="13">
        <f>IF($B962="OUT",$D962,0)</f>
      </c>
    </row>
    <row x14ac:dyDescent="0.25" r="963" customHeight="1" ht="17.25">
      <c r="A963" s="52"/>
      <c r="B963" s="2"/>
      <c r="C963" s="2"/>
      <c r="D963" s="3"/>
      <c r="E963" s="3"/>
      <c r="F963" s="2"/>
      <c r="G963" s="13">
        <f>IF($B963="IN",$D963,0)</f>
      </c>
      <c r="H963" s="13">
        <f>IF($B963="OUT",$D963,0)</f>
      </c>
    </row>
    <row x14ac:dyDescent="0.25" r="964" customHeight="1" ht="17.25">
      <c r="A964" s="52"/>
      <c r="B964" s="2"/>
      <c r="C964" s="2"/>
      <c r="D964" s="3"/>
      <c r="E964" s="3"/>
      <c r="F964" s="2"/>
      <c r="G964" s="13">
        <f>IF($B964="IN",$D964,0)</f>
      </c>
      <c r="H964" s="13">
        <f>IF($B964="OUT",$D964,0)</f>
      </c>
    </row>
    <row x14ac:dyDescent="0.25" r="965" customHeight="1" ht="17.25">
      <c r="A965" s="52"/>
      <c r="B965" s="2"/>
      <c r="C965" s="2"/>
      <c r="D965" s="3"/>
      <c r="E965" s="3"/>
      <c r="F965" s="2"/>
      <c r="G965" s="13">
        <f>IF($B965="IN",$D965,0)</f>
      </c>
      <c r="H965" s="13">
        <f>IF($B965="OUT",$D965,0)</f>
      </c>
    </row>
    <row x14ac:dyDescent="0.25" r="966" customHeight="1" ht="17.25">
      <c r="A966" s="52"/>
      <c r="B966" s="2"/>
      <c r="C966" s="2"/>
      <c r="D966" s="3"/>
      <c r="E966" s="3"/>
      <c r="F966" s="2"/>
      <c r="G966" s="13">
        <f>IF($B966="IN",$D966,0)</f>
      </c>
      <c r="H966" s="13">
        <f>IF($B966="OUT",$D966,0)</f>
      </c>
    </row>
    <row x14ac:dyDescent="0.25" r="967" customHeight="1" ht="17.25">
      <c r="A967" s="52"/>
      <c r="B967" s="2"/>
      <c r="C967" s="2"/>
      <c r="D967" s="3"/>
      <c r="E967" s="3"/>
      <c r="F967" s="2"/>
      <c r="G967" s="13">
        <f>IF($B967="IN",$D967,0)</f>
      </c>
      <c r="H967" s="13">
        <f>IF($B967="OUT",$D967,0)</f>
      </c>
    </row>
    <row x14ac:dyDescent="0.25" r="968" customHeight="1" ht="17.25">
      <c r="A968" s="52"/>
      <c r="B968" s="2"/>
      <c r="C968" s="2"/>
      <c r="D968" s="3"/>
      <c r="E968" s="3"/>
      <c r="F968" s="2"/>
      <c r="G968" s="13">
        <f>IF($B968="IN",$D968,0)</f>
      </c>
      <c r="H968" s="13">
        <f>IF($B968="OUT",$D968,0)</f>
      </c>
    </row>
    <row x14ac:dyDescent="0.25" r="969" customHeight="1" ht="17.25">
      <c r="A969" s="52"/>
      <c r="B969" s="2"/>
      <c r="C969" s="2"/>
      <c r="D969" s="3"/>
      <c r="E969" s="3"/>
      <c r="F969" s="2"/>
      <c r="G969" s="13">
        <f>IF($B969="IN",$D969,0)</f>
      </c>
      <c r="H969" s="13">
        <f>IF($B969="OUT",$D969,0)</f>
      </c>
    </row>
    <row x14ac:dyDescent="0.25" r="970" customHeight="1" ht="17.25">
      <c r="A970" s="52"/>
      <c r="B970" s="2"/>
      <c r="C970" s="2"/>
      <c r="D970" s="3"/>
      <c r="E970" s="3"/>
      <c r="F970" s="2"/>
      <c r="G970" s="13">
        <f>IF($B970="IN",$D970,0)</f>
      </c>
      <c r="H970" s="13">
        <f>IF($B970="OUT",$D970,0)</f>
      </c>
    </row>
    <row x14ac:dyDescent="0.25" r="971" customHeight="1" ht="17.25">
      <c r="A971" s="52"/>
      <c r="B971" s="2"/>
      <c r="C971" s="2"/>
      <c r="D971" s="3"/>
      <c r="E971" s="3"/>
      <c r="F971" s="2"/>
      <c r="G971" s="13">
        <f>IF($B971="IN",$D971,0)</f>
      </c>
      <c r="H971" s="13">
        <f>IF($B971="OUT",$D971,0)</f>
      </c>
    </row>
    <row x14ac:dyDescent="0.25" r="972" customHeight="1" ht="17.25">
      <c r="A972" s="52"/>
      <c r="B972" s="2"/>
      <c r="C972" s="2"/>
      <c r="D972" s="3"/>
      <c r="E972" s="3"/>
      <c r="F972" s="2"/>
      <c r="G972" s="13">
        <f>IF($B972="IN",$D972,0)</f>
      </c>
      <c r="H972" s="13">
        <f>IF($B972="OUT",$D972,0)</f>
      </c>
    </row>
    <row x14ac:dyDescent="0.25" r="973" customHeight="1" ht="17.25">
      <c r="A973" s="52"/>
      <c r="B973" s="2"/>
      <c r="C973" s="2"/>
      <c r="D973" s="3"/>
      <c r="E973" s="3"/>
      <c r="F973" s="2"/>
      <c r="G973" s="13">
        <f>IF($B973="IN",$D973,0)</f>
      </c>
      <c r="H973" s="13">
        <f>IF($B973="OUT",$D973,0)</f>
      </c>
    </row>
    <row x14ac:dyDescent="0.25" r="974" customHeight="1" ht="17.25">
      <c r="A974" s="52"/>
      <c r="B974" s="2"/>
      <c r="C974" s="2"/>
      <c r="D974" s="3"/>
      <c r="E974" s="3"/>
      <c r="F974" s="2"/>
      <c r="G974" s="13">
        <f>IF($B974="IN",$D974,0)</f>
      </c>
      <c r="H974" s="13">
        <f>IF($B974="OUT",$D974,0)</f>
      </c>
    </row>
    <row x14ac:dyDescent="0.25" r="975" customHeight="1" ht="17.25">
      <c r="A975" s="52"/>
      <c r="B975" s="2"/>
      <c r="C975" s="2"/>
      <c r="D975" s="3"/>
      <c r="E975" s="3"/>
      <c r="F975" s="2"/>
      <c r="G975" s="13">
        <f>IF($B975="IN",$D975,0)</f>
      </c>
      <c r="H975" s="13">
        <f>IF($B975="OUT",$D975,0)</f>
      </c>
    </row>
    <row x14ac:dyDescent="0.25" r="976" customHeight="1" ht="17.25">
      <c r="A976" s="52"/>
      <c r="B976" s="2"/>
      <c r="C976" s="2"/>
      <c r="D976" s="3"/>
      <c r="E976" s="3"/>
      <c r="F976" s="2"/>
      <c r="G976" s="13">
        <f>IF($B976="IN",$D976,0)</f>
      </c>
      <c r="H976" s="13">
        <f>IF($B976="OUT",$D976,0)</f>
      </c>
    </row>
    <row x14ac:dyDescent="0.25" r="977" customHeight="1" ht="17.25">
      <c r="A977" s="52"/>
      <c r="B977" s="2"/>
      <c r="C977" s="2"/>
      <c r="D977" s="3"/>
      <c r="E977" s="3"/>
      <c r="F977" s="2"/>
      <c r="G977" s="13">
        <f>IF($B977="IN",$D977,0)</f>
      </c>
      <c r="H977" s="13">
        <f>IF($B977="OUT",$D977,0)</f>
      </c>
    </row>
    <row x14ac:dyDescent="0.25" r="978" customHeight="1" ht="17.25">
      <c r="A978" s="52"/>
      <c r="B978" s="2"/>
      <c r="C978" s="2"/>
      <c r="D978" s="3"/>
      <c r="E978" s="3"/>
      <c r="F978" s="2"/>
      <c r="G978" s="13">
        <f>IF($B978="IN",$D978,0)</f>
      </c>
      <c r="H978" s="13">
        <f>IF($B978="OUT",$D978,0)</f>
      </c>
    </row>
    <row x14ac:dyDescent="0.25" r="979" customHeight="1" ht="17.25">
      <c r="A979" s="52"/>
      <c r="B979" s="2"/>
      <c r="C979" s="2"/>
      <c r="D979" s="3"/>
      <c r="E979" s="3"/>
      <c r="F979" s="2"/>
      <c r="G979" s="13">
        <f>IF($B979="IN",$D979,0)</f>
      </c>
      <c r="H979" s="13">
        <f>IF($B979="OUT",$D979,0)</f>
      </c>
    </row>
    <row x14ac:dyDescent="0.25" r="980" customHeight="1" ht="17.25">
      <c r="A980" s="52"/>
      <c r="B980" s="2"/>
      <c r="C980" s="2"/>
      <c r="D980" s="3"/>
      <c r="E980" s="3"/>
      <c r="F980" s="2"/>
      <c r="G980" s="13">
        <f>IF($B980="IN",$D980,0)</f>
      </c>
      <c r="H980" s="13">
        <f>IF($B980="OUT",$D980,0)</f>
      </c>
    </row>
    <row x14ac:dyDescent="0.25" r="981" customHeight="1" ht="17.25">
      <c r="A981" s="52"/>
      <c r="B981" s="2"/>
      <c r="C981" s="2"/>
      <c r="D981" s="3"/>
      <c r="E981" s="3"/>
      <c r="F981" s="2"/>
      <c r="G981" s="13">
        <f>IF($B981="IN",$D981,0)</f>
      </c>
      <c r="H981" s="13">
        <f>IF($B981="OUT",$D981,0)</f>
      </c>
    </row>
    <row x14ac:dyDescent="0.25" r="982" customHeight="1" ht="17.25">
      <c r="A982" s="52"/>
      <c r="B982" s="2"/>
      <c r="C982" s="2"/>
      <c r="D982" s="3"/>
      <c r="E982" s="3"/>
      <c r="F982" s="2"/>
      <c r="G982" s="13">
        <f>IF($B982="IN",$D982,0)</f>
      </c>
      <c r="H982" s="13">
        <f>IF($B982="OUT",$D982,0)</f>
      </c>
    </row>
    <row x14ac:dyDescent="0.25" r="983" customHeight="1" ht="17.25">
      <c r="A983" s="52"/>
      <c r="B983" s="2"/>
      <c r="C983" s="2"/>
      <c r="D983" s="3"/>
      <c r="E983" s="3"/>
      <c r="F983" s="2"/>
      <c r="G983" s="13">
        <f>IF($B983="IN",$D983,0)</f>
      </c>
      <c r="H983" s="13">
        <f>IF($B983="OUT",$D983,0)</f>
      </c>
    </row>
    <row x14ac:dyDescent="0.25" r="984" customHeight="1" ht="17.25">
      <c r="A984" s="52"/>
      <c r="B984" s="2"/>
      <c r="C984" s="2"/>
      <c r="D984" s="3"/>
      <c r="E984" s="3"/>
      <c r="F984" s="2"/>
      <c r="G984" s="13">
        <f>IF($B984="IN",$D984,0)</f>
      </c>
      <c r="H984" s="13">
        <f>IF($B984="OUT",$D984,0)</f>
      </c>
    </row>
    <row x14ac:dyDescent="0.25" r="985" customHeight="1" ht="17.25">
      <c r="A985" s="52"/>
      <c r="B985" s="2"/>
      <c r="C985" s="2"/>
      <c r="D985" s="3"/>
      <c r="E985" s="3"/>
      <c r="F985" s="2"/>
      <c r="G985" s="13">
        <f>IF($B985="IN",$D985,0)</f>
      </c>
      <c r="H985" s="13">
        <f>IF($B985="OUT",$D985,0)</f>
      </c>
    </row>
    <row x14ac:dyDescent="0.25" r="986" customHeight="1" ht="17.25">
      <c r="A986" s="52"/>
      <c r="B986" s="2"/>
      <c r="C986" s="2"/>
      <c r="D986" s="3"/>
      <c r="E986" s="3"/>
      <c r="F986" s="2"/>
      <c r="G986" s="13">
        <f>IF($B986="IN",$D986,0)</f>
      </c>
      <c r="H986" s="13">
        <f>IF($B986="OUT",$D986,0)</f>
      </c>
    </row>
    <row x14ac:dyDescent="0.25" r="987" customHeight="1" ht="17.25">
      <c r="A987" s="52"/>
      <c r="B987" s="2"/>
      <c r="C987" s="2"/>
      <c r="D987" s="3"/>
      <c r="E987" s="3"/>
      <c r="F987" s="2"/>
      <c r="G987" s="13">
        <f>IF($B987="IN",$D987,0)</f>
      </c>
      <c r="H987" s="13">
        <f>IF($B987="OUT",$D987,0)</f>
      </c>
    </row>
    <row x14ac:dyDescent="0.25" r="988" customHeight="1" ht="17.25">
      <c r="A988" s="52"/>
      <c r="B988" s="2"/>
      <c r="C988" s="2"/>
      <c r="D988" s="3"/>
      <c r="E988" s="3"/>
      <c r="F988" s="2"/>
      <c r="G988" s="13">
        <f>IF($B988="IN",$D988,0)</f>
      </c>
      <c r="H988" s="13">
        <f>IF($B988="OUT",$D988,0)</f>
      </c>
    </row>
    <row x14ac:dyDescent="0.25" r="989" customHeight="1" ht="17.25">
      <c r="A989" s="52"/>
      <c r="B989" s="2"/>
      <c r="C989" s="2"/>
      <c r="D989" s="3"/>
      <c r="E989" s="3"/>
      <c r="F989" s="2"/>
      <c r="G989" s="13">
        <f>IF($B989="IN",$D989,0)</f>
      </c>
      <c r="H989" s="13">
        <f>IF($B989="OUT",$D989,0)</f>
      </c>
    </row>
    <row x14ac:dyDescent="0.25" r="990" customHeight="1" ht="17.25">
      <c r="A990" s="52"/>
      <c r="B990" s="2"/>
      <c r="C990" s="2"/>
      <c r="D990" s="3"/>
      <c r="E990" s="3"/>
      <c r="F990" s="2"/>
      <c r="G990" s="13">
        <f>IF($B990="IN",$D990,0)</f>
      </c>
      <c r="H990" s="13">
        <f>IF($B990="OUT",$D990,0)</f>
      </c>
    </row>
    <row x14ac:dyDescent="0.25" r="991" customHeight="1" ht="17.25">
      <c r="A991" s="52"/>
      <c r="B991" s="2"/>
      <c r="C991" s="2"/>
      <c r="D991" s="3"/>
      <c r="E991" s="3"/>
      <c r="F991" s="2"/>
      <c r="G991" s="13">
        <f>IF($B991="IN",$D991,0)</f>
      </c>
      <c r="H991" s="13">
        <f>IF($B991="OUT",$D991,0)</f>
      </c>
    </row>
    <row x14ac:dyDescent="0.25" r="992" customHeight="1" ht="17.25">
      <c r="A992" s="52"/>
      <c r="B992" s="2"/>
      <c r="C992" s="2"/>
      <c r="D992" s="3"/>
      <c r="E992" s="3"/>
      <c r="F992" s="2"/>
      <c r="G992" s="13">
        <f>IF($B992="IN",$D992,0)</f>
      </c>
      <c r="H992" s="13">
        <f>IF($B992="OUT",$D992,0)</f>
      </c>
    </row>
    <row x14ac:dyDescent="0.25" r="993" customHeight="1" ht="17.25">
      <c r="A993" s="52"/>
      <c r="B993" s="2"/>
      <c r="C993" s="2"/>
      <c r="D993" s="3"/>
      <c r="E993" s="3"/>
      <c r="F993" s="2"/>
      <c r="G993" s="13">
        <f>IF($B993="IN",$D993,0)</f>
      </c>
      <c r="H993" s="13">
        <f>IF($B993="OUT",$D993,0)</f>
      </c>
    </row>
    <row x14ac:dyDescent="0.25" r="994" customHeight="1" ht="17.25">
      <c r="A994" s="52"/>
      <c r="B994" s="2"/>
      <c r="C994" s="2"/>
      <c r="D994" s="3"/>
      <c r="E994" s="3"/>
      <c r="F994" s="2"/>
      <c r="G994" s="13">
        <f>IF($B994="IN",$D994,0)</f>
      </c>
      <c r="H994" s="13">
        <f>IF($B994="OUT",$D994,0)</f>
      </c>
    </row>
    <row x14ac:dyDescent="0.25" r="995" customHeight="1" ht="17.25">
      <c r="A995" s="52"/>
      <c r="B995" s="2"/>
      <c r="C995" s="2"/>
      <c r="D995" s="3"/>
      <c r="E995" s="3"/>
      <c r="F995" s="2"/>
      <c r="G995" s="13">
        <f>IF($B995="IN",$D995,0)</f>
      </c>
      <c r="H995" s="13">
        <f>IF($B995="OUT",$D995,0)</f>
      </c>
    </row>
    <row x14ac:dyDescent="0.25" r="996" customHeight="1" ht="17.25">
      <c r="A996" s="52"/>
      <c r="B996" s="2"/>
      <c r="C996" s="2"/>
      <c r="D996" s="3"/>
      <c r="E996" s="3"/>
      <c r="F996" s="2"/>
      <c r="G996" s="13">
        <f>IF($B996="IN",$D996,0)</f>
      </c>
      <c r="H996" s="13">
        <f>IF($B996="OUT",$D996,0)</f>
      </c>
    </row>
    <row x14ac:dyDescent="0.25" r="997" customHeight="1" ht="17.25">
      <c r="A997" s="52"/>
      <c r="B997" s="2"/>
      <c r="C997" s="2"/>
      <c r="D997" s="3"/>
      <c r="E997" s="3"/>
      <c r="F997" s="2"/>
      <c r="G997" s="13">
        <f>IF($B997="IN",$D997,0)</f>
      </c>
      <c r="H997" s="13">
        <f>IF($B997="OUT",$D997,0)</f>
      </c>
    </row>
    <row x14ac:dyDescent="0.25" r="998" customHeight="1" ht="17.25">
      <c r="A998" s="52"/>
      <c r="B998" s="2"/>
      <c r="C998" s="2"/>
      <c r="D998" s="3"/>
      <c r="E998" s="3"/>
      <c r="F998" s="2"/>
      <c r="G998" s="13">
        <f>IF($B998="IN",$D998,0)</f>
      </c>
      <c r="H998" s="13">
        <f>IF($B998="OUT",$D998,0)</f>
      </c>
    </row>
    <row x14ac:dyDescent="0.25" r="999" customHeight="1" ht="17.25">
      <c r="A999" s="52"/>
      <c r="B999" s="2"/>
      <c r="C999" s="2"/>
      <c r="D999" s="3"/>
      <c r="E999" s="3"/>
      <c r="F999" s="2"/>
      <c r="G999" s="13">
        <f>IF($B999="IN",$D999,0)</f>
      </c>
      <c r="H999" s="13">
        <f>IF($B999="OUT",$D999,0)</f>
      </c>
    </row>
    <row x14ac:dyDescent="0.25" r="1000" customHeight="1" ht="17.25">
      <c r="A1000" s="52"/>
      <c r="B1000" s="2"/>
      <c r="C1000" s="2"/>
      <c r="D1000" s="3"/>
      <c r="E1000" s="3"/>
      <c r="F1000" s="2"/>
      <c r="G1000" s="13">
        <f>IF($B1000="IN",$D1000,0)</f>
      </c>
      <c r="H1000" s="13">
        <f>IF($B1000="OUT",$D1000,0)</f>
      </c>
    </row>
    <row x14ac:dyDescent="0.25" r="1001" customHeight="1" ht="17.25">
      <c r="A1001" s="52"/>
      <c r="B1001" s="2"/>
      <c r="C1001" s="2"/>
      <c r="D1001" s="3"/>
      <c r="E1001" s="3"/>
      <c r="F1001" s="2"/>
      <c r="G1001" s="13">
        <f>IF($B1001="IN",$D1001,0)</f>
      </c>
      <c r="H1001" s="13">
        <f>IF($B1001="OUT",$D1001,0)</f>
      </c>
    </row>
    <row x14ac:dyDescent="0.25" r="1002" customHeight="1" ht="17.25">
      <c r="A1002" s="52"/>
      <c r="B1002" s="2"/>
      <c r="C1002" s="2"/>
      <c r="D1002" s="3"/>
      <c r="E1002" s="3"/>
      <c r="F1002" s="2"/>
      <c r="G1002" s="13">
        <f>IF($B1002="IN",$D1002,0)</f>
      </c>
      <c r="H1002" s="13">
        <f>IF($B1002="OUT",$D1002,0)</f>
      </c>
    </row>
    <row x14ac:dyDescent="0.25" r="1003" customHeight="1" ht="17.25">
      <c r="A1003" s="52"/>
      <c r="B1003" s="2"/>
      <c r="C1003" s="2"/>
      <c r="D1003" s="3"/>
      <c r="E1003" s="3"/>
      <c r="F1003" s="2"/>
      <c r="G1003" s="13">
        <f>IF($B1003="IN",$D1003,0)</f>
      </c>
      <c r="H1003" s="13">
        <f>IF($B1003="OUT",$D1003,0)</f>
      </c>
    </row>
    <row x14ac:dyDescent="0.25" r="1004" customHeight="1" ht="17.25">
      <c r="A1004" s="52"/>
      <c r="B1004" s="2"/>
      <c r="C1004" s="2"/>
      <c r="D1004" s="3"/>
      <c r="E1004" s="3"/>
      <c r="F1004" s="2"/>
      <c r="G1004" s="13">
        <f>IF($B1004="IN",$D1004,0)</f>
      </c>
      <c r="H1004" s="13">
        <f>IF($B1004="OUT",$D1004,0)</f>
      </c>
    </row>
    <row x14ac:dyDescent="0.25" r="1005" customHeight="1" ht="17.25">
      <c r="A1005" s="52"/>
      <c r="B1005" s="2"/>
      <c r="C1005" s="2"/>
      <c r="D1005" s="3"/>
      <c r="E1005" s="3"/>
      <c r="F1005" s="2"/>
      <c r="G1005" s="13">
        <f>IF($B1005="IN",$D1005,0)</f>
      </c>
      <c r="H1005" s="13">
        <f>IF($B1005="OUT",$D1005,0)</f>
      </c>
    </row>
    <row x14ac:dyDescent="0.25" r="1006" customHeight="1" ht="17.25">
      <c r="A1006" s="52"/>
      <c r="B1006" s="2"/>
      <c r="C1006" s="2"/>
      <c r="D1006" s="3"/>
      <c r="E1006" s="3"/>
      <c r="F1006" s="2"/>
      <c r="G1006" s="13">
        <f>IF($B1006="IN",$D1006,0)</f>
      </c>
      <c r="H1006" s="13">
        <f>IF($B1006="OUT",$D1006,0)</f>
      </c>
    </row>
    <row x14ac:dyDescent="0.25" r="1007" customHeight="1" ht="17.25">
      <c r="A1007" s="52"/>
      <c r="B1007" s="2"/>
      <c r="C1007" s="2"/>
      <c r="D1007" s="3"/>
      <c r="E1007" s="3"/>
      <c r="F1007" s="2"/>
      <c r="G1007" s="13">
        <f>IF($B1007="IN",$D1007,0)</f>
      </c>
      <c r="H1007" s="13">
        <f>IF($B1007="OUT",$D1007,0)</f>
      </c>
    </row>
    <row x14ac:dyDescent="0.25" r="1008" customHeight="1" ht="17.25">
      <c r="A1008" s="52"/>
      <c r="B1008" s="2"/>
      <c r="C1008" s="2"/>
      <c r="D1008" s="3"/>
      <c r="E1008" s="3"/>
      <c r="F1008" s="2"/>
      <c r="G1008" s="13">
        <f>IF($B1008="IN",$D1008,0)</f>
      </c>
      <c r="H1008" s="13">
        <f>IF($B1008="OUT",$D1008,0)</f>
      </c>
    </row>
    <row x14ac:dyDescent="0.25" r="1009" customHeight="1" ht="17.25">
      <c r="A1009" s="52"/>
      <c r="B1009" s="2"/>
      <c r="C1009" s="2"/>
      <c r="D1009" s="3"/>
      <c r="E1009" s="3"/>
      <c r="F1009" s="2"/>
      <c r="G1009" s="13">
        <f>IF($B1009="IN",$D1009,0)</f>
      </c>
      <c r="H1009" s="13">
        <f>IF($B1009="OUT",$D1009,0)</f>
      </c>
    </row>
    <row x14ac:dyDescent="0.25" r="1010" customHeight="1" ht="17.25">
      <c r="A1010" s="52"/>
      <c r="B1010" s="2"/>
      <c r="C1010" s="2"/>
      <c r="D1010" s="3"/>
      <c r="E1010" s="3"/>
      <c r="F1010" s="2"/>
      <c r="G1010" s="13">
        <f>IF($B1010="IN",$D1010,0)</f>
      </c>
      <c r="H1010" s="13">
        <f>IF($B1010="OUT",$D1010,0)</f>
      </c>
    </row>
    <row x14ac:dyDescent="0.25" r="1011" customHeight="1" ht="17.25">
      <c r="A1011" s="52"/>
      <c r="B1011" s="2"/>
      <c r="C1011" s="2"/>
      <c r="D1011" s="3"/>
      <c r="E1011" s="3"/>
      <c r="F1011" s="2"/>
      <c r="G1011" s="13">
        <f>IF($B1011="IN",$D1011,0)</f>
      </c>
      <c r="H1011" s="13">
        <f>IF($B1011="OUT",$D1011,0)</f>
      </c>
    </row>
    <row x14ac:dyDescent="0.25" r="1012" customHeight="1" ht="17.25">
      <c r="A1012" s="52"/>
      <c r="B1012" s="2"/>
      <c r="C1012" s="2"/>
      <c r="D1012" s="3"/>
      <c r="E1012" s="3"/>
      <c r="F1012" s="2"/>
      <c r="G1012" s="13">
        <f>IF($B1012="IN",$D1012,0)</f>
      </c>
      <c r="H1012" s="13">
        <f>IF($B1012="OUT",$D1012,0)</f>
      </c>
    </row>
    <row x14ac:dyDescent="0.25" r="1013" customHeight="1" ht="17.25">
      <c r="A1013" s="52"/>
      <c r="B1013" s="2"/>
      <c r="C1013" s="2"/>
      <c r="D1013" s="3"/>
      <c r="E1013" s="3"/>
      <c r="F1013" s="2"/>
      <c r="G1013" s="13">
        <f>IF($B1013="IN",$D1013,0)</f>
      </c>
      <c r="H1013" s="13">
        <f>IF($B1013="OUT",$D1013,0)</f>
      </c>
    </row>
    <row x14ac:dyDescent="0.25" r="1014" customHeight="1" ht="17.25">
      <c r="A1014" s="52"/>
      <c r="B1014" s="2"/>
      <c r="C1014" s="2"/>
      <c r="D1014" s="3"/>
      <c r="E1014" s="3"/>
      <c r="F1014" s="2"/>
      <c r="G1014" s="13">
        <f>IF($B1014="IN",$D1014,0)</f>
      </c>
      <c r="H1014" s="13">
        <f>IF($B1014="OUT",$D1014,0)</f>
      </c>
    </row>
    <row x14ac:dyDescent="0.25" r="1015" customHeight="1" ht="17.25">
      <c r="A1015" s="52"/>
      <c r="B1015" s="2"/>
      <c r="C1015" s="2"/>
      <c r="D1015" s="3"/>
      <c r="E1015" s="3"/>
      <c r="F1015" s="2"/>
      <c r="G1015" s="13">
        <f>IF($B1015="IN",$D1015,0)</f>
      </c>
      <c r="H1015" s="13">
        <f>IF($B1015="OUT",$D1015,0)</f>
      </c>
    </row>
    <row x14ac:dyDescent="0.25" r="1016" customHeight="1" ht="17.25">
      <c r="A1016" s="52"/>
      <c r="B1016" s="2"/>
      <c r="C1016" s="2"/>
      <c r="D1016" s="3"/>
      <c r="E1016" s="3"/>
      <c r="F1016" s="2"/>
      <c r="G1016" s="13">
        <f>IF($B1016="IN",$D1016,0)</f>
      </c>
      <c r="H1016" s="13">
        <f>IF($B1016="OUT",$D1016,0)</f>
      </c>
    </row>
    <row x14ac:dyDescent="0.25" r="1017" customHeight="1" ht="17.25">
      <c r="A1017" s="52"/>
      <c r="B1017" s="2"/>
      <c r="C1017" s="2"/>
      <c r="D1017" s="3"/>
      <c r="E1017" s="3"/>
      <c r="F1017" s="2"/>
      <c r="G1017" s="13">
        <f>IF($B1017="IN",$D1017,0)</f>
      </c>
      <c r="H1017" s="13">
        <f>IF($B1017="OUT",$D1017,0)</f>
      </c>
    </row>
    <row x14ac:dyDescent="0.25" r="1018" customHeight="1" ht="17.25">
      <c r="A1018" s="52"/>
      <c r="B1018" s="2"/>
      <c r="C1018" s="2"/>
      <c r="D1018" s="3"/>
      <c r="E1018" s="3"/>
      <c r="F1018" s="2"/>
      <c r="G1018" s="13">
        <f>IF($B1018="IN",$D1018,0)</f>
      </c>
      <c r="H1018" s="13">
        <f>IF($B1018="OUT",$D1018,0)</f>
      </c>
    </row>
    <row x14ac:dyDescent="0.25" r="1019" customHeight="1" ht="17.25">
      <c r="A1019" s="52"/>
      <c r="B1019" s="2"/>
      <c r="C1019" s="2"/>
      <c r="D1019" s="3"/>
      <c r="E1019" s="3"/>
      <c r="F1019" s="2"/>
      <c r="G1019" s="13">
        <f>IF($B1019="IN",$D1019,0)</f>
      </c>
      <c r="H1019" s="13">
        <f>IF($B1019="OUT",$D1019,0)</f>
      </c>
    </row>
    <row x14ac:dyDescent="0.25" r="1020" customHeight="1" ht="17.25">
      <c r="A1020" s="52"/>
      <c r="B1020" s="2"/>
      <c r="C1020" s="2"/>
      <c r="D1020" s="3"/>
      <c r="E1020" s="3"/>
      <c r="F1020" s="2"/>
      <c r="G1020" s="13">
        <f>IF($B1020="IN",$D1020,0)</f>
      </c>
      <c r="H1020" s="13">
        <f>IF($B1020="OUT",$D1020,0)</f>
      </c>
    </row>
    <row x14ac:dyDescent="0.25" r="1021" customHeight="1" ht="17.25">
      <c r="A1021" s="52"/>
      <c r="B1021" s="2"/>
      <c r="C1021" s="2"/>
      <c r="D1021" s="3"/>
      <c r="E1021" s="3"/>
      <c r="F1021" s="2"/>
      <c r="G1021" s="13">
        <f>IF($B1021="IN",$D1021,0)</f>
      </c>
      <c r="H1021" s="13">
        <f>IF($B1021="OUT",$D1021,0)</f>
      </c>
    </row>
    <row x14ac:dyDescent="0.25" r="1022" customHeight="1" ht="17.25">
      <c r="A1022" s="52"/>
      <c r="B1022" s="2"/>
      <c r="C1022" s="2"/>
      <c r="D1022" s="3"/>
      <c r="E1022" s="3"/>
      <c r="F1022" s="2"/>
      <c r="G1022" s="13">
        <f>IF($B1022="IN",$D1022,0)</f>
      </c>
      <c r="H1022" s="13">
        <f>IF($B1022="OUT",$D1022,0)</f>
      </c>
    </row>
    <row x14ac:dyDescent="0.25" r="1023" customHeight="1" ht="17.25">
      <c r="A1023" s="52"/>
      <c r="B1023" s="2"/>
      <c r="C1023" s="2"/>
      <c r="D1023" s="3"/>
      <c r="E1023" s="3"/>
      <c r="F1023" s="2"/>
      <c r="G1023" s="13">
        <f>IF($B1023="IN",$D1023,0)</f>
      </c>
      <c r="H1023" s="13">
        <f>IF($B1023="OUT",$D1023,0)</f>
      </c>
    </row>
    <row x14ac:dyDescent="0.25" r="1024" customHeight="1" ht="17.25">
      <c r="A1024" s="52"/>
      <c r="B1024" s="2"/>
      <c r="C1024" s="2"/>
      <c r="D1024" s="3"/>
      <c r="E1024" s="3"/>
      <c r="F1024" s="2"/>
      <c r="G1024" s="13">
        <f>IF($B1024="IN",$D1024,0)</f>
      </c>
      <c r="H1024" s="13">
        <f>IF($B1024="OUT",$D1024,0)</f>
      </c>
    </row>
    <row x14ac:dyDescent="0.25" r="1025" customHeight="1" ht="17.25">
      <c r="A1025" s="52"/>
      <c r="B1025" s="2"/>
      <c r="C1025" s="2"/>
      <c r="D1025" s="3"/>
      <c r="E1025" s="3"/>
      <c r="F1025" s="2"/>
      <c r="G1025" s="13">
        <f>IF($B1025="IN",$D1025,0)</f>
      </c>
      <c r="H1025" s="13">
        <f>IF($B1025="OUT",$D1025,0)</f>
      </c>
    </row>
    <row x14ac:dyDescent="0.25" r="1026" customHeight="1" ht="17.25">
      <c r="A1026" s="52"/>
      <c r="B1026" s="2"/>
      <c r="C1026" s="2"/>
      <c r="D1026" s="3"/>
      <c r="E1026" s="3"/>
      <c r="F1026" s="2"/>
      <c r="G1026" s="13">
        <f>IF($B1026="IN",$D1026,0)</f>
      </c>
      <c r="H1026" s="13">
        <f>IF($B1026="OUT",$D1026,0)</f>
      </c>
    </row>
    <row x14ac:dyDescent="0.25" r="1027" customHeight="1" ht="17.25">
      <c r="A1027" s="52"/>
      <c r="B1027" s="2"/>
      <c r="C1027" s="2"/>
      <c r="D1027" s="3"/>
      <c r="E1027" s="3"/>
      <c r="F1027" s="2"/>
      <c r="G1027" s="13">
        <f>IF($B1027="IN",$D1027,0)</f>
      </c>
      <c r="H1027" s="13">
        <f>IF($B1027="OUT",$D1027,0)</f>
      </c>
    </row>
    <row x14ac:dyDescent="0.25" r="1028" customHeight="1" ht="17.25">
      <c r="A1028" s="52"/>
      <c r="B1028" s="2"/>
      <c r="C1028" s="2"/>
      <c r="D1028" s="3"/>
      <c r="E1028" s="3"/>
      <c r="F1028" s="2"/>
      <c r="G1028" s="13">
        <f>IF($B1028="IN",$D1028,0)</f>
      </c>
      <c r="H1028" s="13">
        <f>IF($B1028="OUT",$D1028,0)</f>
      </c>
    </row>
    <row x14ac:dyDescent="0.25" r="1029" customHeight="1" ht="17.25">
      <c r="A1029" s="52"/>
      <c r="B1029" s="2"/>
      <c r="C1029" s="2"/>
      <c r="D1029" s="3"/>
      <c r="E1029" s="3"/>
      <c r="F1029" s="2"/>
      <c r="G1029" s="13">
        <f>IF($B1029="IN",$D1029,0)</f>
      </c>
      <c r="H1029" s="13">
        <f>IF($B1029="OUT",$D1029,0)</f>
      </c>
    </row>
    <row x14ac:dyDescent="0.25" r="1030" customHeight="1" ht="17.25">
      <c r="A1030" s="52"/>
      <c r="B1030" s="2"/>
      <c r="C1030" s="2"/>
      <c r="D1030" s="3"/>
      <c r="E1030" s="3"/>
      <c r="F1030" s="2"/>
      <c r="G1030" s="13">
        <f>IF($B1030="IN",$D1030,0)</f>
      </c>
      <c r="H1030" s="13">
        <f>IF($B1030="OUT",$D1030,0)</f>
      </c>
    </row>
    <row x14ac:dyDescent="0.25" r="1031" customHeight="1" ht="17.25">
      <c r="A1031" s="52"/>
      <c r="B1031" s="2"/>
      <c r="C1031" s="2"/>
      <c r="D1031" s="3"/>
      <c r="E1031" s="3"/>
      <c r="F1031" s="2"/>
      <c r="G1031" s="13">
        <f>IF($B1031="IN",$D1031,0)</f>
      </c>
      <c r="H1031" s="13">
        <f>IF($B1031="OUT",$D1031,0)</f>
      </c>
    </row>
    <row x14ac:dyDescent="0.25" r="1032" customHeight="1" ht="17.25">
      <c r="A1032" s="52"/>
      <c r="B1032" s="2"/>
      <c r="C1032" s="2"/>
      <c r="D1032" s="3"/>
      <c r="E1032" s="3"/>
      <c r="F1032" s="2"/>
      <c r="G1032" s="13">
        <f>IF($B1032="IN",$D1032,0)</f>
      </c>
      <c r="H1032" s="13">
        <f>IF($B1032="OUT",$D1032,0)</f>
      </c>
    </row>
    <row x14ac:dyDescent="0.25" r="1033" customHeight="1" ht="17.25">
      <c r="A1033" s="52"/>
      <c r="B1033" s="2"/>
      <c r="C1033" s="2"/>
      <c r="D1033" s="3"/>
      <c r="E1033" s="3"/>
      <c r="F1033" s="2"/>
      <c r="G1033" s="13">
        <f>IF($B1033="IN",$D1033,0)</f>
      </c>
      <c r="H1033" s="13">
        <f>IF($B1033="OUT",$D1033,0)</f>
      </c>
    </row>
    <row x14ac:dyDescent="0.25" r="1034" customHeight="1" ht="17.25">
      <c r="A1034" s="52"/>
      <c r="B1034" s="2"/>
      <c r="C1034" s="2"/>
      <c r="D1034" s="3"/>
      <c r="E1034" s="3"/>
      <c r="F1034" s="2"/>
      <c r="G1034" s="13">
        <f>IF($B1034="IN",$D1034,0)</f>
      </c>
      <c r="H1034" s="13">
        <f>IF($B1034="OUT",$D1034,0)</f>
      </c>
    </row>
    <row x14ac:dyDescent="0.25" r="1035" customHeight="1" ht="17.25">
      <c r="A1035" s="52"/>
      <c r="B1035" s="2"/>
      <c r="C1035" s="2"/>
      <c r="D1035" s="3"/>
      <c r="E1035" s="3"/>
      <c r="F1035" s="2"/>
      <c r="G1035" s="13">
        <f>IF($B1035="IN",$D1035,0)</f>
      </c>
      <c r="H1035" s="13">
        <f>IF($B1035="OUT",$D1035,0)</f>
      </c>
    </row>
    <row x14ac:dyDescent="0.25" r="1036" customHeight="1" ht="17.25">
      <c r="A1036" s="52"/>
      <c r="B1036" s="2"/>
      <c r="C1036" s="2"/>
      <c r="D1036" s="3"/>
      <c r="E1036" s="3"/>
      <c r="F1036" s="2"/>
      <c r="G1036" s="13">
        <f>IF($B1036="IN",$D1036,0)</f>
      </c>
      <c r="H1036" s="13">
        <f>IF($B1036="OUT",$D1036,0)</f>
      </c>
    </row>
    <row x14ac:dyDescent="0.25" r="1037" customHeight="1" ht="17.25">
      <c r="A1037" s="52"/>
      <c r="B1037" s="2"/>
      <c r="C1037" s="2"/>
      <c r="D1037" s="3"/>
      <c r="E1037" s="3"/>
      <c r="F1037" s="2"/>
      <c r="G1037" s="13">
        <f>IF($B1037="IN",$D1037,0)</f>
      </c>
      <c r="H1037" s="13">
        <f>IF($B1037="OUT",$D1037,0)</f>
      </c>
    </row>
    <row x14ac:dyDescent="0.25" r="1038" customHeight="1" ht="17.25">
      <c r="A1038" s="52"/>
      <c r="B1038" s="2"/>
      <c r="C1038" s="2"/>
      <c r="D1038" s="3"/>
      <c r="E1038" s="3"/>
      <c r="F1038" s="2"/>
      <c r="G1038" s="13">
        <f>IF($B1038="IN",$D1038,0)</f>
      </c>
      <c r="H1038" s="13">
        <f>IF($B1038="OUT",$D1038,0)</f>
      </c>
    </row>
    <row x14ac:dyDescent="0.25" r="1039" customHeight="1" ht="17.25">
      <c r="A1039" s="52"/>
      <c r="B1039" s="2"/>
      <c r="C1039" s="2"/>
      <c r="D1039" s="3"/>
      <c r="E1039" s="3"/>
      <c r="F1039" s="2"/>
      <c r="G1039" s="13">
        <f>IF($B1039="IN",$D1039,0)</f>
      </c>
      <c r="H1039" s="13">
        <f>IF($B1039="OUT",$D1039,0)</f>
      </c>
    </row>
    <row x14ac:dyDescent="0.25" r="1040" customHeight="1" ht="17.25">
      <c r="A1040" s="52"/>
      <c r="B1040" s="2"/>
      <c r="C1040" s="2"/>
      <c r="D1040" s="3"/>
      <c r="E1040" s="3"/>
      <c r="F1040" s="2"/>
      <c r="G1040" s="13">
        <f>IF($B1040="IN",$D1040,0)</f>
      </c>
      <c r="H1040" s="13">
        <f>IF($B1040="OUT",$D1040,0)</f>
      </c>
    </row>
    <row x14ac:dyDescent="0.25" r="1041" customHeight="1" ht="17.25">
      <c r="A1041" s="52"/>
      <c r="B1041" s="2"/>
      <c r="C1041" s="2"/>
      <c r="D1041" s="3"/>
      <c r="E1041" s="3"/>
      <c r="F1041" s="2"/>
      <c r="G1041" s="13">
        <f>IF($B1041="IN",$D1041,0)</f>
      </c>
      <c r="H1041" s="13">
        <f>IF($B1041="OUT",$D1041,0)</f>
      </c>
    </row>
    <row x14ac:dyDescent="0.25" r="1042" customHeight="1" ht="17.25">
      <c r="A1042" s="52"/>
      <c r="B1042" s="2"/>
      <c r="C1042" s="2"/>
      <c r="D1042" s="3"/>
      <c r="E1042" s="3"/>
      <c r="F1042" s="2"/>
      <c r="G1042" s="13">
        <f>IF($B1042="IN",$D1042,0)</f>
      </c>
      <c r="H1042" s="13">
        <f>IF($B1042="OUT",$D1042,0)</f>
      </c>
    </row>
    <row x14ac:dyDescent="0.25" r="1043" customHeight="1" ht="17.25">
      <c r="A1043" s="52"/>
      <c r="B1043" s="2"/>
      <c r="C1043" s="2"/>
      <c r="D1043" s="3"/>
      <c r="E1043" s="3"/>
      <c r="F1043" s="2"/>
      <c r="G1043" s="13">
        <f>IF($B1043="IN",$D1043,0)</f>
      </c>
      <c r="H1043" s="13">
        <f>IF($B1043="OUT",$D1043,0)</f>
      </c>
    </row>
    <row x14ac:dyDescent="0.25" r="1044" customHeight="1" ht="17.25">
      <c r="A1044" s="52"/>
      <c r="B1044" s="2"/>
      <c r="C1044" s="2"/>
      <c r="D1044" s="3"/>
      <c r="E1044" s="3"/>
      <c r="F1044" s="2"/>
      <c r="G1044" s="13">
        <f>IF($B1044="IN",$D1044,0)</f>
      </c>
      <c r="H1044" s="13">
        <f>IF($B1044="OUT",$D1044,0)</f>
      </c>
    </row>
    <row x14ac:dyDescent="0.25" r="1045" customHeight="1" ht="17.25">
      <c r="A1045" s="52"/>
      <c r="B1045" s="2"/>
      <c r="C1045" s="2"/>
      <c r="D1045" s="3"/>
      <c r="E1045" s="3"/>
      <c r="F1045" s="2"/>
      <c r="G1045" s="13">
        <f>IF($B1045="IN",$D1045,0)</f>
      </c>
      <c r="H1045" s="13">
        <f>IF($B1045="OUT",$D1045,0)</f>
      </c>
    </row>
    <row x14ac:dyDescent="0.25" r="1046" customHeight="1" ht="17.25">
      <c r="A1046" s="52"/>
      <c r="B1046" s="2"/>
      <c r="C1046" s="2"/>
      <c r="D1046" s="3"/>
      <c r="E1046" s="3"/>
      <c r="F1046" s="2"/>
      <c r="G1046" s="13">
        <f>IF($B1046="IN",$D1046,0)</f>
      </c>
      <c r="H1046" s="13">
        <f>IF($B1046="OUT",$D1046,0)</f>
      </c>
    </row>
    <row x14ac:dyDescent="0.25" r="1047" customHeight="1" ht="17.25">
      <c r="A1047" s="52"/>
      <c r="B1047" s="2"/>
      <c r="C1047" s="2"/>
      <c r="D1047" s="3"/>
      <c r="E1047" s="3"/>
      <c r="F1047" s="2"/>
      <c r="G1047" s="13">
        <f>IF($B1047="IN",$D1047,0)</f>
      </c>
      <c r="H1047" s="13">
        <f>IF($B1047="OUT",$D1047,0)</f>
      </c>
    </row>
    <row x14ac:dyDescent="0.25" r="1048" customHeight="1" ht="17.25">
      <c r="A1048" s="52"/>
      <c r="B1048" s="2"/>
      <c r="C1048" s="2"/>
      <c r="D1048" s="3"/>
      <c r="E1048" s="3"/>
      <c r="F1048" s="2"/>
      <c r="G1048" s="13">
        <f>IF($B1048="IN",$D1048,0)</f>
      </c>
      <c r="H1048" s="13">
        <f>IF($B1048="OUT",$D1048,0)</f>
      </c>
    </row>
    <row x14ac:dyDescent="0.25" r="1049" customHeight="1" ht="17.25">
      <c r="A1049" s="52"/>
      <c r="B1049" s="2"/>
      <c r="C1049" s="2"/>
      <c r="D1049" s="3"/>
      <c r="E1049" s="3"/>
      <c r="F1049" s="2"/>
      <c r="G1049" s="13">
        <f>IF($B1049="IN",$D1049,0)</f>
      </c>
      <c r="H1049" s="13">
        <f>IF($B1049="OUT",$D1049,0)</f>
      </c>
    </row>
    <row x14ac:dyDescent="0.25" r="1050" customHeight="1" ht="17.25">
      <c r="A1050" s="52"/>
      <c r="B1050" s="2"/>
      <c r="C1050" s="2"/>
      <c r="D1050" s="3"/>
      <c r="E1050" s="3"/>
      <c r="F1050" s="2"/>
      <c r="G1050" s="13">
        <f>IF($B1050="IN",$D1050,0)</f>
      </c>
      <c r="H1050" s="13">
        <f>IF($B1050="OUT",$D1050,0)</f>
      </c>
    </row>
    <row x14ac:dyDescent="0.25" r="1051" customHeight="1" ht="17.25">
      <c r="A1051" s="52"/>
      <c r="B1051" s="2"/>
      <c r="C1051" s="2"/>
      <c r="D1051" s="3"/>
      <c r="E1051" s="3"/>
      <c r="F1051" s="2"/>
      <c r="G1051" s="13">
        <f>IF($B1051="IN",$D1051,0)</f>
      </c>
      <c r="H1051" s="13">
        <f>IF($B1051="OUT",$D1051,0)</f>
      </c>
    </row>
    <row x14ac:dyDescent="0.25" r="1052" customHeight="1" ht="17.25">
      <c r="A1052" s="52"/>
      <c r="B1052" s="2"/>
      <c r="C1052" s="2"/>
      <c r="D1052" s="3"/>
      <c r="E1052" s="3"/>
      <c r="F1052" s="2"/>
      <c r="G1052" s="13">
        <f>IF($B1052="IN",$D1052,0)</f>
      </c>
      <c r="H1052" s="13">
        <f>IF($B1052="OUT",$D1052,0)</f>
      </c>
    </row>
    <row x14ac:dyDescent="0.25" r="1053" customHeight="1" ht="17.25">
      <c r="A1053" s="52"/>
      <c r="B1053" s="2"/>
      <c r="C1053" s="2"/>
      <c r="D1053" s="3"/>
      <c r="E1053" s="3"/>
      <c r="F1053" s="2"/>
      <c r="G1053" s="13">
        <f>IF($B1053="IN",$D1053,0)</f>
      </c>
      <c r="H1053" s="13">
        <f>IF($B1053="OUT",$D1053,0)</f>
      </c>
    </row>
    <row x14ac:dyDescent="0.25" r="1054" customHeight="1" ht="17.25">
      <c r="A1054" s="52"/>
      <c r="B1054" s="2"/>
      <c r="C1054" s="2"/>
      <c r="D1054" s="3"/>
      <c r="E1054" s="3"/>
      <c r="F1054" s="2"/>
      <c r="G1054" s="13">
        <f>IF($B1054="IN",$D1054,0)</f>
      </c>
      <c r="H1054" s="13">
        <f>IF($B1054="OUT",$D1054,0)</f>
      </c>
    </row>
    <row x14ac:dyDescent="0.25" r="1055" customHeight="1" ht="17.25">
      <c r="A1055" s="52"/>
      <c r="B1055" s="2"/>
      <c r="C1055" s="2"/>
      <c r="D1055" s="3"/>
      <c r="E1055" s="3"/>
      <c r="F1055" s="2"/>
      <c r="G1055" s="13">
        <f>IF($B1055="IN",$D1055,0)</f>
      </c>
      <c r="H1055" s="13">
        <f>IF($B1055="OUT",$D1055,0)</f>
      </c>
    </row>
    <row x14ac:dyDescent="0.25" r="1056" customHeight="1" ht="17.25">
      <c r="A1056" s="52"/>
      <c r="B1056" s="2"/>
      <c r="C1056" s="2"/>
      <c r="D1056" s="3"/>
      <c r="E1056" s="3"/>
      <c r="F1056" s="2"/>
      <c r="G1056" s="13">
        <f>IF($B1056="IN",$D1056,0)</f>
      </c>
      <c r="H1056" s="13">
        <f>IF($B1056="OUT",$D1056,0)</f>
      </c>
    </row>
    <row x14ac:dyDescent="0.25" r="1057" customHeight="1" ht="17.25">
      <c r="A1057" s="52"/>
      <c r="B1057" s="2"/>
      <c r="C1057" s="2"/>
      <c r="D1057" s="3"/>
      <c r="E1057" s="3"/>
      <c r="F1057" s="2"/>
      <c r="G1057" s="13">
        <f>IF($B1057="IN",$D1057,0)</f>
      </c>
      <c r="H1057" s="13">
        <f>IF($B1057="OUT",$D1057,0)</f>
      </c>
    </row>
    <row x14ac:dyDescent="0.25" r="1058" customHeight="1" ht="17.25">
      <c r="A1058" s="52"/>
      <c r="B1058" s="2"/>
      <c r="C1058" s="2"/>
      <c r="D1058" s="3"/>
      <c r="E1058" s="3"/>
      <c r="F1058" s="2"/>
      <c r="G1058" s="13">
        <f>IF($B1058="IN",$D1058,0)</f>
      </c>
      <c r="H1058" s="13">
        <f>IF($B1058="OUT",$D1058,0)</f>
      </c>
    </row>
    <row x14ac:dyDescent="0.25" r="1059" customHeight="1" ht="17.25">
      <c r="A1059" s="52"/>
      <c r="B1059" s="2"/>
      <c r="C1059" s="2"/>
      <c r="D1059" s="3"/>
      <c r="E1059" s="3"/>
      <c r="F1059" s="2"/>
      <c r="G1059" s="13">
        <f>IF($B1059="IN",$D1059,0)</f>
      </c>
      <c r="H1059" s="13">
        <f>IF($B1059="OUT",$D1059,0)</f>
      </c>
    </row>
    <row x14ac:dyDescent="0.25" r="1060" customHeight="1" ht="17.25">
      <c r="A1060" s="52"/>
      <c r="B1060" s="2"/>
      <c r="C1060" s="2"/>
      <c r="D1060" s="3"/>
      <c r="E1060" s="3"/>
      <c r="F1060" s="2"/>
      <c r="G1060" s="13">
        <f>IF($B1060="IN",$D1060,0)</f>
      </c>
      <c r="H1060" s="13">
        <f>IF($B1060="OUT",$D1060,0)</f>
      </c>
    </row>
    <row x14ac:dyDescent="0.25" r="1061" customHeight="1" ht="17.25">
      <c r="A1061" s="52"/>
      <c r="B1061" s="2"/>
      <c r="C1061" s="2"/>
      <c r="D1061" s="3"/>
      <c r="E1061" s="3"/>
      <c r="F1061" s="2"/>
      <c r="G1061" s="13">
        <f>IF($B1061="IN",$D1061,0)</f>
      </c>
      <c r="H1061" s="13">
        <f>IF($B1061="OUT",$D1061,0)</f>
      </c>
    </row>
    <row x14ac:dyDescent="0.25" r="1062" customHeight="1" ht="17.25">
      <c r="A1062" s="52"/>
      <c r="B1062" s="2"/>
      <c r="C1062" s="2"/>
      <c r="D1062" s="3"/>
      <c r="E1062" s="3"/>
      <c r="F1062" s="2"/>
      <c r="G1062" s="13">
        <f>IF($B1062="IN",$D1062,0)</f>
      </c>
      <c r="H1062" s="13">
        <f>IF($B1062="OUT",$D1062,0)</f>
      </c>
    </row>
    <row x14ac:dyDescent="0.25" r="1063" customHeight="1" ht="17.25">
      <c r="A1063" s="52"/>
      <c r="B1063" s="2"/>
      <c r="C1063" s="2"/>
      <c r="D1063" s="3"/>
      <c r="E1063" s="3"/>
      <c r="F1063" s="2"/>
      <c r="G1063" s="13">
        <f>IF($B1063="IN",$D1063,0)</f>
      </c>
      <c r="H1063" s="13">
        <f>IF($B1063="OUT",$D1063,0)</f>
      </c>
    </row>
    <row x14ac:dyDescent="0.25" r="1064" customHeight="1" ht="17.25">
      <c r="A1064" s="52"/>
      <c r="B1064" s="2"/>
      <c r="C1064" s="2"/>
      <c r="D1064" s="3"/>
      <c r="E1064" s="3"/>
      <c r="F1064" s="2"/>
      <c r="G1064" s="13">
        <f>IF($B1064="IN",$D1064,0)</f>
      </c>
      <c r="H1064" s="13">
        <f>IF($B1064="OUT",$D1064,0)</f>
      </c>
    </row>
    <row x14ac:dyDescent="0.25" r="1065" customHeight="1" ht="17.25">
      <c r="A1065" s="52"/>
      <c r="B1065" s="2"/>
      <c r="C1065" s="2"/>
      <c r="D1065" s="3"/>
      <c r="E1065" s="3"/>
      <c r="F1065" s="2"/>
      <c r="G1065" s="13">
        <f>IF($B1065="IN",$D1065,0)</f>
      </c>
      <c r="H1065" s="13">
        <f>IF($B1065="OUT",$D1065,0)</f>
      </c>
    </row>
    <row x14ac:dyDescent="0.25" r="1066" customHeight="1" ht="17.25">
      <c r="A1066" s="52"/>
      <c r="B1066" s="2"/>
      <c r="C1066" s="2"/>
      <c r="D1066" s="3"/>
      <c r="E1066" s="3"/>
      <c r="F1066" s="2"/>
      <c r="G1066" s="13">
        <f>IF($B1066="IN",$D1066,0)</f>
      </c>
      <c r="H1066" s="13">
        <f>IF($B1066="OUT",$D1066,0)</f>
      </c>
    </row>
    <row x14ac:dyDescent="0.25" r="1067" customHeight="1" ht="17.25">
      <c r="A1067" s="52"/>
      <c r="B1067" s="2"/>
      <c r="C1067" s="2"/>
      <c r="D1067" s="3"/>
      <c r="E1067" s="3"/>
      <c r="F1067" s="2"/>
      <c r="G1067" s="13">
        <f>IF($B1067="IN",$D1067,0)</f>
      </c>
      <c r="H1067" s="13">
        <f>IF($B1067="OUT",$D1067,0)</f>
      </c>
    </row>
    <row x14ac:dyDescent="0.25" r="1068" customHeight="1" ht="17.25">
      <c r="A1068" s="52"/>
      <c r="B1068" s="2"/>
      <c r="C1068" s="2"/>
      <c r="D1068" s="3"/>
      <c r="E1068" s="3"/>
      <c r="F1068" s="2"/>
      <c r="G1068" s="13">
        <f>IF($B1068="IN",$D1068,0)</f>
      </c>
      <c r="H1068" s="13">
        <f>IF($B1068="OUT",$D1068,0)</f>
      </c>
    </row>
    <row x14ac:dyDescent="0.25" r="1069" customHeight="1" ht="17.25">
      <c r="A1069" s="52"/>
      <c r="B1069" s="2"/>
      <c r="C1069" s="2"/>
      <c r="D1069" s="3"/>
      <c r="E1069" s="3"/>
      <c r="F1069" s="2"/>
      <c r="G1069" s="13">
        <f>IF($B1069="IN",$D1069,0)</f>
      </c>
      <c r="H1069" s="13">
        <f>IF($B1069="OUT",$D1069,0)</f>
      </c>
    </row>
    <row x14ac:dyDescent="0.25" r="1070" customHeight="1" ht="17.25">
      <c r="A1070" s="52"/>
      <c r="B1070" s="2"/>
      <c r="C1070" s="2"/>
      <c r="D1070" s="3"/>
      <c r="E1070" s="3"/>
      <c r="F1070" s="2"/>
      <c r="G1070" s="13">
        <f>IF($B1070="IN",$D1070,0)</f>
      </c>
      <c r="H1070" s="13">
        <f>IF($B1070="OUT",$D1070,0)</f>
      </c>
    </row>
    <row x14ac:dyDescent="0.25" r="1071" customHeight="1" ht="17.25">
      <c r="A1071" s="52"/>
      <c r="B1071" s="2"/>
      <c r="C1071" s="2"/>
      <c r="D1071" s="3"/>
      <c r="E1071" s="3"/>
      <c r="F1071" s="2"/>
      <c r="G1071" s="13">
        <f>IF($B1071="IN",$D1071,0)</f>
      </c>
      <c r="H1071" s="13">
        <f>IF($B1071="OUT",$D1071,0)</f>
      </c>
    </row>
    <row x14ac:dyDescent="0.25" r="1072" customHeight="1" ht="17.25">
      <c r="A1072" s="52"/>
      <c r="B1072" s="2"/>
      <c r="C1072" s="2"/>
      <c r="D1072" s="3"/>
      <c r="E1072" s="3"/>
      <c r="F1072" s="2"/>
      <c r="G1072" s="13">
        <f>IF($B1072="IN",$D1072,0)</f>
      </c>
      <c r="H1072" s="13">
        <f>IF($B1072="OUT",$D1072,0)</f>
      </c>
    </row>
    <row x14ac:dyDescent="0.25" r="1073" customHeight="1" ht="17.25">
      <c r="A1073" s="52"/>
      <c r="B1073" s="2"/>
      <c r="C1073" s="2"/>
      <c r="D1073" s="3"/>
      <c r="E1073" s="3"/>
      <c r="F1073" s="2"/>
      <c r="G1073" s="13">
        <f>IF($B1073="IN",$D1073,0)</f>
      </c>
      <c r="H1073" s="13">
        <f>IF($B1073="OUT",$D1073,0)</f>
      </c>
    </row>
    <row x14ac:dyDescent="0.25" r="1074" customHeight="1" ht="17.25">
      <c r="A1074" s="52"/>
      <c r="B1074" s="2"/>
      <c r="C1074" s="2"/>
      <c r="D1074" s="3"/>
      <c r="E1074" s="3"/>
      <c r="F1074" s="2"/>
      <c r="G1074" s="13">
        <f>IF($B1074="IN",$D1074,0)</f>
      </c>
      <c r="H1074" s="13">
        <f>IF($B1074="OUT",$D1074,0)</f>
      </c>
    </row>
    <row x14ac:dyDescent="0.25" r="1075" customHeight="1" ht="17.25">
      <c r="A1075" s="52"/>
      <c r="B1075" s="2"/>
      <c r="C1075" s="2"/>
      <c r="D1075" s="3"/>
      <c r="E1075" s="3"/>
      <c r="F1075" s="2"/>
      <c r="G1075" s="13">
        <f>IF($B1075="IN",$D1075,0)</f>
      </c>
      <c r="H1075" s="13">
        <f>IF($B1075="OUT",$D1075,0)</f>
      </c>
    </row>
    <row x14ac:dyDescent="0.25" r="1076" customHeight="1" ht="17.25">
      <c r="A1076" s="52"/>
      <c r="B1076" s="2"/>
      <c r="C1076" s="2"/>
      <c r="D1076" s="3"/>
      <c r="E1076" s="3"/>
      <c r="F1076" s="2"/>
      <c r="G1076" s="13">
        <f>IF($B1076="IN",$D1076,0)</f>
      </c>
      <c r="H1076" s="13">
        <f>IF($B1076="OUT",$D1076,0)</f>
      </c>
    </row>
    <row x14ac:dyDescent="0.25" r="1077" customHeight="1" ht="17.25">
      <c r="A1077" s="52"/>
      <c r="B1077" s="2"/>
      <c r="C1077" s="2"/>
      <c r="D1077" s="3"/>
      <c r="E1077" s="3"/>
      <c r="F1077" s="2"/>
      <c r="G1077" s="13">
        <f>IF($B1077="IN",$D1077,0)</f>
      </c>
      <c r="H1077" s="13">
        <f>IF($B1077="OUT",$D1077,0)</f>
      </c>
    </row>
    <row x14ac:dyDescent="0.25" r="1078" customHeight="1" ht="17.25">
      <c r="A1078" s="52"/>
      <c r="B1078" s="2"/>
      <c r="C1078" s="2"/>
      <c r="D1078" s="3"/>
      <c r="E1078" s="3"/>
      <c r="F1078" s="2"/>
      <c r="G1078" s="13">
        <f>IF($B1078="IN",$D1078,0)</f>
      </c>
      <c r="H1078" s="13">
        <f>IF($B1078="OUT",$D1078,0)</f>
      </c>
    </row>
    <row x14ac:dyDescent="0.25" r="1079" customHeight="1" ht="17.25">
      <c r="A1079" s="52"/>
      <c r="B1079" s="2"/>
      <c r="C1079" s="2"/>
      <c r="D1079" s="3"/>
      <c r="E1079" s="3"/>
      <c r="F1079" s="2"/>
      <c r="G1079" s="13">
        <f>IF($B1079="IN",$D1079,0)</f>
      </c>
      <c r="H1079" s="13">
        <f>IF($B1079="OUT",$D1079,0)</f>
      </c>
    </row>
    <row x14ac:dyDescent="0.25" r="1080" customHeight="1" ht="17.25">
      <c r="A1080" s="52"/>
      <c r="B1080" s="2"/>
      <c r="C1080" s="2"/>
      <c r="D1080" s="3"/>
      <c r="E1080" s="3"/>
      <c r="F1080" s="2"/>
      <c r="G1080" s="13">
        <f>IF($B1080="IN",$D1080,0)</f>
      </c>
      <c r="H1080" s="13">
        <f>IF($B1080="OUT",$D1080,0)</f>
      </c>
    </row>
    <row x14ac:dyDescent="0.25" r="1081" customHeight="1" ht="17.25">
      <c r="A1081" s="52"/>
      <c r="B1081" s="2"/>
      <c r="C1081" s="2"/>
      <c r="D1081" s="3"/>
      <c r="E1081" s="3"/>
      <c r="F1081" s="2"/>
      <c r="G1081" s="13">
        <f>IF($B1081="IN",$D1081,0)</f>
      </c>
      <c r="H1081" s="13">
        <f>IF($B1081="OUT",$D1081,0)</f>
      </c>
    </row>
    <row x14ac:dyDescent="0.25" r="1082" customHeight="1" ht="17.25">
      <c r="A1082" s="52"/>
      <c r="B1082" s="2"/>
      <c r="C1082" s="2"/>
      <c r="D1082" s="3"/>
      <c r="E1082" s="3"/>
      <c r="F1082" s="2"/>
      <c r="G1082" s="13">
        <f>IF($B1082="IN",$D1082,0)</f>
      </c>
      <c r="H1082" s="13">
        <f>IF($B1082="OUT",$D1082,0)</f>
      </c>
    </row>
    <row x14ac:dyDescent="0.25" r="1083" customHeight="1" ht="17.25">
      <c r="A1083" s="52"/>
      <c r="B1083" s="2"/>
      <c r="C1083" s="2"/>
      <c r="D1083" s="3"/>
      <c r="E1083" s="3"/>
      <c r="F1083" s="2"/>
      <c r="G1083" s="13">
        <f>IF($B1083="IN",$D1083,0)</f>
      </c>
      <c r="H1083" s="13">
        <f>IF($B1083="OUT",$D1083,0)</f>
      </c>
    </row>
    <row x14ac:dyDescent="0.25" r="1084" customHeight="1" ht="17.25">
      <c r="A1084" s="52"/>
      <c r="B1084" s="2"/>
      <c r="C1084" s="2"/>
      <c r="D1084" s="3"/>
      <c r="E1084" s="3"/>
      <c r="F1084" s="2"/>
      <c r="G1084" s="13">
        <f>IF($B1084="IN",$D1084,0)</f>
      </c>
      <c r="H1084" s="13">
        <f>IF($B1084="OUT",$D1084,0)</f>
      </c>
    </row>
    <row x14ac:dyDescent="0.25" r="1085" customHeight="1" ht="17.25">
      <c r="A1085" s="52"/>
      <c r="B1085" s="2"/>
      <c r="C1085" s="2"/>
      <c r="D1085" s="3"/>
      <c r="E1085" s="3"/>
      <c r="F1085" s="2"/>
      <c r="G1085" s="13">
        <f>IF($B1085="IN",$D1085,0)</f>
      </c>
      <c r="H1085" s="13">
        <f>IF($B1085="OUT",$D1085,0)</f>
      </c>
    </row>
    <row x14ac:dyDescent="0.25" r="1086" customHeight="1" ht="17.25">
      <c r="A1086" s="52"/>
      <c r="B1086" s="2"/>
      <c r="C1086" s="2"/>
      <c r="D1086" s="3"/>
      <c r="E1086" s="3"/>
      <c r="F1086" s="2"/>
      <c r="G1086" s="13">
        <f>IF($B1086="IN",$D1086,0)</f>
      </c>
      <c r="H1086" s="13">
        <f>IF($B1086="OUT",$D1086,0)</f>
      </c>
    </row>
    <row x14ac:dyDescent="0.25" r="1087" customHeight="1" ht="17.25">
      <c r="A1087" s="52"/>
      <c r="B1087" s="2"/>
      <c r="C1087" s="2"/>
      <c r="D1087" s="3"/>
      <c r="E1087" s="3"/>
      <c r="F1087" s="2"/>
      <c r="G1087" s="13">
        <f>IF($B1087="IN",$D1087,0)</f>
      </c>
      <c r="H1087" s="13">
        <f>IF($B1087="OUT",$D1087,0)</f>
      </c>
    </row>
    <row x14ac:dyDescent="0.25" r="1088" customHeight="1" ht="17.25">
      <c r="A1088" s="52"/>
      <c r="B1088" s="2"/>
      <c r="C1088" s="2"/>
      <c r="D1088" s="3"/>
      <c r="E1088" s="3"/>
      <c r="F1088" s="2"/>
      <c r="G1088" s="13">
        <f>IF($B1088="IN",$D1088,0)</f>
      </c>
      <c r="H1088" s="13">
        <f>IF($B1088="OUT",$D1088,0)</f>
      </c>
    </row>
    <row x14ac:dyDescent="0.25" r="1089" customHeight="1" ht="17.25">
      <c r="A1089" s="52"/>
      <c r="B1089" s="2"/>
      <c r="C1089" s="2"/>
      <c r="D1089" s="3"/>
      <c r="E1089" s="3"/>
      <c r="F1089" s="2"/>
      <c r="G1089" s="13">
        <f>IF($B1089="IN",$D1089,0)</f>
      </c>
      <c r="H1089" s="13">
        <f>IF($B1089="OUT",$D1089,0)</f>
      </c>
    </row>
    <row x14ac:dyDescent="0.25" r="1090" customHeight="1" ht="17.25">
      <c r="A1090" s="52"/>
      <c r="B1090" s="2"/>
      <c r="C1090" s="2"/>
      <c r="D1090" s="3"/>
      <c r="E1090" s="3"/>
      <c r="F1090" s="2"/>
      <c r="G1090" s="13">
        <f>IF($B1090="IN",$D1090,0)</f>
      </c>
      <c r="H1090" s="13">
        <f>IF($B1090="OUT",$D1090,0)</f>
      </c>
    </row>
    <row x14ac:dyDescent="0.25" r="1091" customHeight="1" ht="17.25">
      <c r="A1091" s="52"/>
      <c r="B1091" s="2"/>
      <c r="C1091" s="2"/>
      <c r="D1091" s="3"/>
      <c r="E1091" s="3"/>
      <c r="F1091" s="2"/>
      <c r="G1091" s="13">
        <f>IF($B1091="IN",$D1091,0)</f>
      </c>
      <c r="H1091" s="13">
        <f>IF($B1091="OUT",$D1091,0)</f>
      </c>
    </row>
    <row x14ac:dyDescent="0.25" r="1092" customHeight="1" ht="17.25">
      <c r="A1092" s="52"/>
      <c r="B1092" s="2"/>
      <c r="C1092" s="2"/>
      <c r="D1092" s="3"/>
      <c r="E1092" s="3"/>
      <c r="F1092" s="2"/>
      <c r="G1092" s="13">
        <f>IF($B1092="IN",$D1092,0)</f>
      </c>
      <c r="H1092" s="13">
        <f>IF($B1092="OUT",$D1092,0)</f>
      </c>
    </row>
    <row x14ac:dyDescent="0.25" r="1093" customHeight="1" ht="17.25">
      <c r="A1093" s="52"/>
      <c r="B1093" s="2"/>
      <c r="C1093" s="2"/>
      <c r="D1093" s="3"/>
      <c r="E1093" s="3"/>
      <c r="F1093" s="2"/>
      <c r="G1093" s="13">
        <f>IF($B1093="IN",$D1093,0)</f>
      </c>
      <c r="H1093" s="13">
        <f>IF($B1093="OUT",$D1093,0)</f>
      </c>
    </row>
    <row x14ac:dyDescent="0.25" r="1094" customHeight="1" ht="17.25">
      <c r="A1094" s="52"/>
      <c r="B1094" s="2"/>
      <c r="C1094" s="2"/>
      <c r="D1094" s="3"/>
      <c r="E1094" s="3"/>
      <c r="F1094" s="2"/>
      <c r="G1094" s="13">
        <f>IF($B1094="IN",$D1094,0)</f>
      </c>
      <c r="H1094" s="13">
        <f>IF($B1094="OUT",$D1094,0)</f>
      </c>
    </row>
    <row x14ac:dyDescent="0.25" r="1095" customHeight="1" ht="17.25">
      <c r="A1095" s="52"/>
      <c r="B1095" s="2"/>
      <c r="C1095" s="2"/>
      <c r="D1095" s="3"/>
      <c r="E1095" s="3"/>
      <c r="F1095" s="2"/>
      <c r="G1095" s="13">
        <f>IF($B1095="IN",$D1095,0)</f>
      </c>
      <c r="H1095" s="13">
        <f>IF($B1095="OUT",$D1095,0)</f>
      </c>
    </row>
    <row x14ac:dyDescent="0.25" r="1096" customHeight="1" ht="17.25">
      <c r="A1096" s="52"/>
      <c r="B1096" s="2"/>
      <c r="C1096" s="2"/>
      <c r="D1096" s="3"/>
      <c r="E1096" s="3"/>
      <c r="F1096" s="2"/>
      <c r="G1096" s="13">
        <f>IF($B1096="IN",$D1096,0)</f>
      </c>
      <c r="H1096" s="13">
        <f>IF($B1096="OUT",$D1096,0)</f>
      </c>
    </row>
    <row x14ac:dyDescent="0.25" r="1097" customHeight="1" ht="17.25">
      <c r="A1097" s="52"/>
      <c r="B1097" s="2"/>
      <c r="C1097" s="2"/>
      <c r="D1097" s="3"/>
      <c r="E1097" s="3"/>
      <c r="F1097" s="2"/>
      <c r="G1097" s="13">
        <f>IF($B1097="IN",$D1097,0)</f>
      </c>
      <c r="H1097" s="13">
        <f>IF($B1097="OUT",$D1097,0)</f>
      </c>
    </row>
    <row x14ac:dyDescent="0.25" r="1098" customHeight="1" ht="17.25">
      <c r="A1098" s="52"/>
      <c r="B1098" s="2"/>
      <c r="C1098" s="2"/>
      <c r="D1098" s="3"/>
      <c r="E1098" s="3"/>
      <c r="F1098" s="2"/>
      <c r="G1098" s="13">
        <f>IF($B1098="IN",$D1098,0)</f>
      </c>
      <c r="H1098" s="13">
        <f>IF($B1098="OUT",$D1098,0)</f>
      </c>
    </row>
    <row x14ac:dyDescent="0.25" r="1099" customHeight="1" ht="17.25">
      <c r="A1099" s="52"/>
      <c r="B1099" s="2"/>
      <c r="C1099" s="2"/>
      <c r="D1099" s="3"/>
      <c r="E1099" s="3"/>
      <c r="F1099" s="2"/>
      <c r="G1099" s="13">
        <f>IF($B1099="IN",$D1099,0)</f>
      </c>
      <c r="H1099" s="13">
        <f>IF($B1099="OUT",$D1099,0)</f>
      </c>
    </row>
    <row x14ac:dyDescent="0.25" r="1100" customHeight="1" ht="17.25">
      <c r="A1100" s="52"/>
      <c r="B1100" s="2"/>
      <c r="C1100" s="2"/>
      <c r="D1100" s="3"/>
      <c r="E1100" s="3"/>
      <c r="F1100" s="2"/>
      <c r="G1100" s="13">
        <f>IF($B1100="IN",$D1100,0)</f>
      </c>
      <c r="H1100" s="13">
        <f>IF($B1100="OUT",$D1100,0)</f>
      </c>
    </row>
    <row x14ac:dyDescent="0.25" r="1101" customHeight="1" ht="17.25">
      <c r="A1101" s="52"/>
      <c r="B1101" s="2"/>
      <c r="C1101" s="2"/>
      <c r="D1101" s="3"/>
      <c r="E1101" s="3"/>
      <c r="F1101" s="2"/>
      <c r="G1101" s="13">
        <f>IF($B1101="IN",$D1101,0)</f>
      </c>
      <c r="H1101" s="13">
        <f>IF($B1101="OUT",$D1101,0)</f>
      </c>
    </row>
    <row x14ac:dyDescent="0.25" r="1102" customHeight="1" ht="17.25">
      <c r="A1102" s="52"/>
      <c r="B1102" s="2"/>
      <c r="C1102" s="2"/>
      <c r="D1102" s="3"/>
      <c r="E1102" s="3"/>
      <c r="F1102" s="2"/>
      <c r="G1102" s="13">
        <f>IF($B1102="IN",$D1102,0)</f>
      </c>
      <c r="H1102" s="13">
        <f>IF($B1102="OUT",$D1102,0)</f>
      </c>
    </row>
    <row x14ac:dyDescent="0.25" r="1103" customHeight="1" ht="17.25">
      <c r="A1103" s="52"/>
      <c r="B1103" s="2"/>
      <c r="C1103" s="2"/>
      <c r="D1103" s="3"/>
      <c r="E1103" s="3"/>
      <c r="F1103" s="2"/>
      <c r="G1103" s="13">
        <f>IF($B1103="IN",$D1103,0)</f>
      </c>
      <c r="H1103" s="13">
        <f>IF($B1103="OUT",$D1103,0)</f>
      </c>
    </row>
    <row x14ac:dyDescent="0.25" r="1104" customHeight="1" ht="17.25">
      <c r="A1104" s="52"/>
      <c r="B1104" s="2"/>
      <c r="C1104" s="2"/>
      <c r="D1104" s="3"/>
      <c r="E1104" s="3"/>
      <c r="F1104" s="2"/>
      <c r="G1104" s="13">
        <f>IF($B1104="IN",$D1104,0)</f>
      </c>
      <c r="H1104" s="13">
        <f>IF($B1104="OUT",$D1104,0)</f>
      </c>
    </row>
    <row x14ac:dyDescent="0.25" r="1105" customHeight="1" ht="17.25">
      <c r="A1105" s="52"/>
      <c r="B1105" s="2"/>
      <c r="C1105" s="2"/>
      <c r="D1105" s="3"/>
      <c r="E1105" s="3"/>
      <c r="F1105" s="2"/>
      <c r="G1105" s="13">
        <f>IF($B1105="IN",$D1105,0)</f>
      </c>
      <c r="H1105" s="13">
        <f>IF($B1105="OUT",$D1105,0)</f>
      </c>
    </row>
    <row x14ac:dyDescent="0.25" r="1106" customHeight="1" ht="17.25">
      <c r="A1106" s="52"/>
      <c r="B1106" s="2"/>
      <c r="C1106" s="2"/>
      <c r="D1106" s="3"/>
      <c r="E1106" s="3"/>
      <c r="F1106" s="2"/>
      <c r="G1106" s="13">
        <f>IF($B1106="IN",$D1106,0)</f>
      </c>
      <c r="H1106" s="13">
        <f>IF($B1106="OUT",$D1106,0)</f>
      </c>
    </row>
    <row x14ac:dyDescent="0.25" r="1107" customHeight="1" ht="17.25">
      <c r="A1107" s="52"/>
      <c r="B1107" s="2"/>
      <c r="C1107" s="2"/>
      <c r="D1107" s="3"/>
      <c r="E1107" s="3"/>
      <c r="F1107" s="2"/>
      <c r="G1107" s="13">
        <f>IF($B1107="IN",$D1107,0)</f>
      </c>
      <c r="H1107" s="13">
        <f>IF($B1107="OUT",$D1107,0)</f>
      </c>
    </row>
    <row x14ac:dyDescent="0.25" r="1108" customHeight="1" ht="17.25">
      <c r="A1108" s="52"/>
      <c r="B1108" s="2"/>
      <c r="C1108" s="2"/>
      <c r="D1108" s="3"/>
      <c r="E1108" s="3"/>
      <c r="F1108" s="2"/>
      <c r="G1108" s="13">
        <f>IF($B1108="IN",$D1108,0)</f>
      </c>
      <c r="H1108" s="13">
        <f>IF($B1108="OUT",$D1108,0)</f>
      </c>
    </row>
    <row x14ac:dyDescent="0.25" r="1109" customHeight="1" ht="17.25">
      <c r="A1109" s="52"/>
      <c r="B1109" s="2"/>
      <c r="C1109" s="2"/>
      <c r="D1109" s="3"/>
      <c r="E1109" s="3"/>
      <c r="F1109" s="2"/>
      <c r="G1109" s="13">
        <f>IF($B1109="IN",$D1109,0)</f>
      </c>
      <c r="H1109" s="13">
        <f>IF($B1109="OUT",$D1109,0)</f>
      </c>
    </row>
    <row x14ac:dyDescent="0.25" r="1110" customHeight="1" ht="17.25">
      <c r="A1110" s="52"/>
      <c r="B1110" s="2"/>
      <c r="C1110" s="2"/>
      <c r="D1110" s="3"/>
      <c r="E1110" s="3"/>
      <c r="F1110" s="2"/>
      <c r="G1110" s="13">
        <f>IF($B1110="IN",$D1110,0)</f>
      </c>
      <c r="H1110" s="13">
        <f>IF($B1110="OUT",$D1110,0)</f>
      </c>
    </row>
    <row x14ac:dyDescent="0.25" r="1111" customHeight="1" ht="17.25">
      <c r="A1111" s="52"/>
      <c r="B1111" s="2"/>
      <c r="C1111" s="2"/>
      <c r="D1111" s="3"/>
      <c r="E1111" s="3"/>
      <c r="F1111" s="2"/>
      <c r="G1111" s="13">
        <f>IF($B1111="IN",$D1111,0)</f>
      </c>
      <c r="H1111" s="13">
        <f>IF($B1111="OUT",$D1111,0)</f>
      </c>
    </row>
    <row x14ac:dyDescent="0.25" r="1112" customHeight="1" ht="17.25">
      <c r="A1112" s="52"/>
      <c r="B1112" s="2"/>
      <c r="C1112" s="2"/>
      <c r="D1112" s="3"/>
      <c r="E1112" s="3"/>
      <c r="F1112" s="2"/>
      <c r="G1112" s="13">
        <f>IF($B1112="IN",$D1112,0)</f>
      </c>
      <c r="H1112" s="13">
        <f>IF($B1112="OUT",$D1112,0)</f>
      </c>
    </row>
    <row x14ac:dyDescent="0.25" r="1113" customHeight="1" ht="17.25">
      <c r="A1113" s="52"/>
      <c r="B1113" s="2"/>
      <c r="C1113" s="2"/>
      <c r="D1113" s="3"/>
      <c r="E1113" s="3"/>
      <c r="F1113" s="2"/>
      <c r="G1113" s="13">
        <f>IF($B1113="IN",$D1113,0)</f>
      </c>
      <c r="H1113" s="13">
        <f>IF($B1113="OUT",$D1113,0)</f>
      </c>
    </row>
    <row x14ac:dyDescent="0.25" r="1114" customHeight="1" ht="17.25">
      <c r="A1114" s="52"/>
      <c r="B1114" s="2"/>
      <c r="C1114" s="2"/>
      <c r="D1114" s="3"/>
      <c r="E1114" s="3"/>
      <c r="F1114" s="2"/>
      <c r="G1114" s="13">
        <f>IF($B1114="IN",$D1114,0)</f>
      </c>
      <c r="H1114" s="13">
        <f>IF($B1114="OUT",$D1114,0)</f>
      </c>
    </row>
    <row x14ac:dyDescent="0.25" r="1115" customHeight="1" ht="17.25">
      <c r="A1115" s="52"/>
      <c r="B1115" s="2"/>
      <c r="C1115" s="2"/>
      <c r="D1115" s="3"/>
      <c r="E1115" s="3"/>
      <c r="F1115" s="2"/>
      <c r="G1115" s="13">
        <f>IF($B1115="IN",$D1115,0)</f>
      </c>
      <c r="H1115" s="13">
        <f>IF($B1115="OUT",$D1115,0)</f>
      </c>
    </row>
    <row x14ac:dyDescent="0.25" r="1116" customHeight="1" ht="17.25">
      <c r="A1116" s="52"/>
      <c r="B1116" s="2"/>
      <c r="C1116" s="2"/>
      <c r="D1116" s="3"/>
      <c r="E1116" s="3"/>
      <c r="F1116" s="2"/>
      <c r="G1116" s="13">
        <f>IF($B1116="IN",$D1116,0)</f>
      </c>
      <c r="H1116" s="13">
        <f>IF($B1116="OUT",$D1116,0)</f>
      </c>
    </row>
    <row x14ac:dyDescent="0.25" r="1117" customHeight="1" ht="17.25">
      <c r="A1117" s="52"/>
      <c r="B1117" s="2"/>
      <c r="C1117" s="2"/>
      <c r="D1117" s="3"/>
      <c r="E1117" s="3"/>
      <c r="F1117" s="2"/>
      <c r="G1117" s="13">
        <f>IF($B1117="IN",$D1117,0)</f>
      </c>
      <c r="H1117" s="13">
        <f>IF($B1117="OUT",$D1117,0)</f>
      </c>
    </row>
    <row x14ac:dyDescent="0.25" r="1118" customHeight="1" ht="17.25">
      <c r="A1118" s="52"/>
      <c r="B1118" s="2"/>
      <c r="C1118" s="2"/>
      <c r="D1118" s="3"/>
      <c r="E1118" s="3"/>
      <c r="F1118" s="2"/>
      <c r="G1118" s="13">
        <f>IF($B1118="IN",$D1118,0)</f>
      </c>
      <c r="H1118" s="13">
        <f>IF($B1118="OUT",$D1118,0)</f>
      </c>
    </row>
    <row x14ac:dyDescent="0.25" r="1119" customHeight="1" ht="17.25">
      <c r="A1119" s="52"/>
      <c r="B1119" s="2"/>
      <c r="C1119" s="2"/>
      <c r="D1119" s="3"/>
      <c r="E1119" s="3"/>
      <c r="F1119" s="2"/>
      <c r="G1119" s="13">
        <f>IF($B1119="IN",$D1119,0)</f>
      </c>
      <c r="H1119" s="13">
        <f>IF($B1119="OUT",$D1119,0)</f>
      </c>
    </row>
    <row x14ac:dyDescent="0.25" r="1120" customHeight="1" ht="17.25">
      <c r="A1120" s="52"/>
      <c r="B1120" s="2"/>
      <c r="C1120" s="2"/>
      <c r="D1120" s="3"/>
      <c r="E1120" s="3"/>
      <c r="F1120" s="2"/>
      <c r="G1120" s="13">
        <f>IF($B1120="IN",$D1120,0)</f>
      </c>
      <c r="H1120" s="13">
        <f>IF($B1120="OUT",$D1120,0)</f>
      </c>
    </row>
    <row x14ac:dyDescent="0.25" r="1121" customHeight="1" ht="17.25">
      <c r="A1121" s="52"/>
      <c r="B1121" s="2"/>
      <c r="C1121" s="2"/>
      <c r="D1121" s="3"/>
      <c r="E1121" s="3"/>
      <c r="F1121" s="2"/>
      <c r="G1121" s="13">
        <f>IF($B1121="IN",$D1121,0)</f>
      </c>
      <c r="H1121" s="13">
        <f>IF($B1121="OUT",$D1121,0)</f>
      </c>
    </row>
    <row x14ac:dyDescent="0.25" r="1122" customHeight="1" ht="17.25">
      <c r="A1122" s="52"/>
      <c r="B1122" s="2"/>
      <c r="C1122" s="2"/>
      <c r="D1122" s="3"/>
      <c r="E1122" s="3"/>
      <c r="F1122" s="2"/>
      <c r="G1122" s="13">
        <f>IF($B1122="IN",$D1122,0)</f>
      </c>
      <c r="H1122" s="13">
        <f>IF($B1122="OUT",$D1122,0)</f>
      </c>
    </row>
    <row x14ac:dyDescent="0.25" r="1123" customHeight="1" ht="17.25">
      <c r="A1123" s="52"/>
      <c r="B1123" s="2"/>
      <c r="C1123" s="2"/>
      <c r="D1123" s="3"/>
      <c r="E1123" s="3"/>
      <c r="F1123" s="2"/>
      <c r="G1123" s="13">
        <f>IF($B1123="IN",$D1123,0)</f>
      </c>
      <c r="H1123" s="13">
        <f>IF($B1123="OUT",$D1123,0)</f>
      </c>
    </row>
    <row x14ac:dyDescent="0.25" r="1124" customHeight="1" ht="17.25">
      <c r="A1124" s="52"/>
      <c r="B1124" s="2"/>
      <c r="C1124" s="2"/>
      <c r="D1124" s="3"/>
      <c r="E1124" s="3"/>
      <c r="F1124" s="2"/>
      <c r="G1124" s="13">
        <f>IF($B1124="IN",$D1124,0)</f>
      </c>
      <c r="H1124" s="13">
        <f>IF($B1124="OUT",$D1124,0)</f>
      </c>
    </row>
    <row x14ac:dyDescent="0.25" r="1125" customHeight="1" ht="17.25">
      <c r="A1125" s="52"/>
      <c r="B1125" s="2"/>
      <c r="C1125" s="2"/>
      <c r="D1125" s="3"/>
      <c r="E1125" s="3"/>
      <c r="F1125" s="2"/>
      <c r="G1125" s="13">
        <f>IF($B1125="IN",$D1125,0)</f>
      </c>
      <c r="H1125" s="13">
        <f>IF($B1125="OUT",$D1125,0)</f>
      </c>
    </row>
    <row x14ac:dyDescent="0.25" r="1126" customHeight="1" ht="17.25">
      <c r="A1126" s="52"/>
      <c r="B1126" s="2"/>
      <c r="C1126" s="2"/>
      <c r="D1126" s="3"/>
      <c r="E1126" s="3"/>
      <c r="F1126" s="2"/>
      <c r="G1126" s="13">
        <f>IF($B1126="IN",$D1126,0)</f>
      </c>
      <c r="H1126" s="13">
        <f>IF($B1126="OUT",$D1126,0)</f>
      </c>
    </row>
    <row x14ac:dyDescent="0.25" r="1127" customHeight="1" ht="17.25">
      <c r="A1127" s="52"/>
      <c r="B1127" s="2"/>
      <c r="C1127" s="2"/>
      <c r="D1127" s="3"/>
      <c r="E1127" s="3"/>
      <c r="F1127" s="2"/>
      <c r="G1127" s="13">
        <f>IF($B1127="IN",$D1127,0)</f>
      </c>
      <c r="H1127" s="13">
        <f>IF($B1127="OUT",$D1127,0)</f>
      </c>
    </row>
    <row x14ac:dyDescent="0.25" r="1128" customHeight="1" ht="17.25">
      <c r="A1128" s="52"/>
      <c r="B1128" s="2"/>
      <c r="C1128" s="2"/>
      <c r="D1128" s="3"/>
      <c r="E1128" s="3"/>
      <c r="F1128" s="2"/>
      <c r="G1128" s="13">
        <f>IF($B1128="IN",$D1128,0)</f>
      </c>
      <c r="H1128" s="13">
        <f>IF($B1128="OUT",$D1128,0)</f>
      </c>
    </row>
    <row x14ac:dyDescent="0.25" r="1129" customHeight="1" ht="17.25">
      <c r="A1129" s="52"/>
      <c r="B1129" s="2"/>
      <c r="C1129" s="2"/>
      <c r="D1129" s="3"/>
      <c r="E1129" s="3"/>
      <c r="F1129" s="2"/>
      <c r="G1129" s="13">
        <f>IF($B1129="IN",$D1129,0)</f>
      </c>
      <c r="H1129" s="13">
        <f>IF($B1129="OUT",$D1129,0)</f>
      </c>
    </row>
    <row x14ac:dyDescent="0.25" r="1130" customHeight="1" ht="17.25">
      <c r="A1130" s="52"/>
      <c r="B1130" s="2"/>
      <c r="C1130" s="2"/>
      <c r="D1130" s="3"/>
      <c r="E1130" s="3"/>
      <c r="F1130" s="2"/>
      <c r="G1130" s="13">
        <f>IF($B1130="IN",$D1130,0)</f>
      </c>
      <c r="H1130" s="13">
        <f>IF($B1130="OUT",$D1130,0)</f>
      </c>
    </row>
    <row x14ac:dyDescent="0.25" r="1131" customHeight="1" ht="17.25">
      <c r="A1131" s="52"/>
      <c r="B1131" s="2"/>
      <c r="C1131" s="2"/>
      <c r="D1131" s="3"/>
      <c r="E1131" s="3"/>
      <c r="F1131" s="2"/>
      <c r="G1131" s="13">
        <f>IF($B1131="IN",$D1131,0)</f>
      </c>
      <c r="H1131" s="13">
        <f>IF($B1131="OUT",$D1131,0)</f>
      </c>
    </row>
    <row x14ac:dyDescent="0.25" r="1132" customHeight="1" ht="17.25">
      <c r="A1132" s="52"/>
      <c r="B1132" s="2"/>
      <c r="C1132" s="2"/>
      <c r="D1132" s="3"/>
      <c r="E1132" s="3"/>
      <c r="F1132" s="2"/>
      <c r="G1132" s="13">
        <f>IF($B1132="IN",$D1132,0)</f>
      </c>
      <c r="H1132" s="13">
        <f>IF($B1132="OUT",$D1132,0)</f>
      </c>
    </row>
    <row x14ac:dyDescent="0.25" r="1133" customHeight="1" ht="17.25">
      <c r="A1133" s="52"/>
      <c r="B1133" s="2"/>
      <c r="C1133" s="2"/>
      <c r="D1133" s="3"/>
      <c r="E1133" s="3"/>
      <c r="F1133" s="2"/>
      <c r="G1133" s="13">
        <f>IF($B1133="IN",$D1133,0)</f>
      </c>
      <c r="H1133" s="13">
        <f>IF($B1133="OUT",$D1133,0)</f>
      </c>
    </row>
    <row x14ac:dyDescent="0.25" r="1134" customHeight="1" ht="17.25">
      <c r="A1134" s="52"/>
      <c r="B1134" s="2"/>
      <c r="C1134" s="2"/>
      <c r="D1134" s="3"/>
      <c r="E1134" s="3"/>
      <c r="F1134" s="2"/>
      <c r="G1134" s="13">
        <f>IF($B1134="IN",$D1134,0)</f>
      </c>
      <c r="H1134" s="13">
        <f>IF($B1134="OUT",$D1134,0)</f>
      </c>
    </row>
    <row x14ac:dyDescent="0.25" r="1135" customHeight="1" ht="17.25">
      <c r="A1135" s="52"/>
      <c r="B1135" s="2"/>
      <c r="C1135" s="2"/>
      <c r="D1135" s="3"/>
      <c r="E1135" s="3"/>
      <c r="F1135" s="2"/>
      <c r="G1135" s="13">
        <f>IF($B1135="IN",$D1135,0)</f>
      </c>
      <c r="H1135" s="13">
        <f>IF($B1135="OUT",$D1135,0)</f>
      </c>
    </row>
    <row x14ac:dyDescent="0.25" r="1136" customHeight="1" ht="17.25">
      <c r="A1136" s="52"/>
      <c r="B1136" s="2"/>
      <c r="C1136" s="2"/>
      <c r="D1136" s="3"/>
      <c r="E1136" s="3"/>
      <c r="F1136" s="2"/>
      <c r="G1136" s="13">
        <f>IF($B1136="IN",$D1136,0)</f>
      </c>
      <c r="H1136" s="13">
        <f>IF($B1136="OUT",$D1136,0)</f>
      </c>
    </row>
    <row x14ac:dyDescent="0.25" r="1137" customHeight="1" ht="17.25">
      <c r="A1137" s="52"/>
      <c r="B1137" s="2"/>
      <c r="C1137" s="2"/>
      <c r="D1137" s="3"/>
      <c r="E1137" s="3"/>
      <c r="F1137" s="2"/>
      <c r="G1137" s="13">
        <f>IF($B1137="IN",$D1137,0)</f>
      </c>
      <c r="H1137" s="13">
        <f>IF($B1137="OUT",$D1137,0)</f>
      </c>
    </row>
    <row x14ac:dyDescent="0.25" r="1138" customHeight="1" ht="17.25">
      <c r="A1138" s="52"/>
      <c r="B1138" s="2"/>
      <c r="C1138" s="2"/>
      <c r="D1138" s="3"/>
      <c r="E1138" s="3"/>
      <c r="F1138" s="2"/>
      <c r="G1138" s="13">
        <f>IF($B1138="IN",$D1138,0)</f>
      </c>
      <c r="H1138" s="13">
        <f>IF($B1138="OUT",$D1138,0)</f>
      </c>
    </row>
    <row x14ac:dyDescent="0.25" r="1139" customHeight="1" ht="17.25">
      <c r="A1139" s="52"/>
      <c r="B1139" s="2"/>
      <c r="C1139" s="2"/>
      <c r="D1139" s="3"/>
      <c r="E1139" s="3"/>
      <c r="F1139" s="2"/>
      <c r="G1139" s="13">
        <f>IF($B1139="IN",$D1139,0)</f>
      </c>
      <c r="H1139" s="13">
        <f>IF($B1139="OUT",$D1139,0)</f>
      </c>
    </row>
    <row x14ac:dyDescent="0.25" r="1140" customHeight="1" ht="17.25">
      <c r="A1140" s="52"/>
      <c r="B1140" s="2"/>
      <c r="C1140" s="2"/>
      <c r="D1140" s="3"/>
      <c r="E1140" s="3"/>
      <c r="F1140" s="2"/>
      <c r="G1140" s="13">
        <f>IF($B1140="IN",$D1140,0)</f>
      </c>
      <c r="H1140" s="13">
        <f>IF($B1140="OUT",$D1140,0)</f>
      </c>
    </row>
    <row x14ac:dyDescent="0.25" r="1141" customHeight="1" ht="17.25">
      <c r="A1141" s="52"/>
      <c r="B1141" s="2"/>
      <c r="C1141" s="2"/>
      <c r="D1141" s="3"/>
      <c r="E1141" s="3"/>
      <c r="F1141" s="2"/>
      <c r="G1141" s="13">
        <f>IF($B1141="IN",$D1141,0)</f>
      </c>
      <c r="H1141" s="13">
        <f>IF($B1141="OUT",$D1141,0)</f>
      </c>
    </row>
    <row x14ac:dyDescent="0.25" r="1142" customHeight="1" ht="17.25">
      <c r="A1142" s="52"/>
      <c r="B1142" s="2"/>
      <c r="C1142" s="2"/>
      <c r="D1142" s="3"/>
      <c r="E1142" s="3"/>
      <c r="F1142" s="2"/>
      <c r="G1142" s="13">
        <f>IF($B1142="IN",$D1142,0)</f>
      </c>
      <c r="H1142" s="13">
        <f>IF($B1142="OUT",$D1142,0)</f>
      </c>
    </row>
    <row x14ac:dyDescent="0.25" r="1143" customHeight="1" ht="17.25">
      <c r="A1143" s="52"/>
      <c r="B1143" s="2"/>
      <c r="C1143" s="2"/>
      <c r="D1143" s="3"/>
      <c r="E1143" s="3"/>
      <c r="F1143" s="2"/>
      <c r="G1143" s="13">
        <f>IF($B1143="IN",$D1143,0)</f>
      </c>
      <c r="H1143" s="13">
        <f>IF($B1143="OUT",$D1143,0)</f>
      </c>
    </row>
    <row x14ac:dyDescent="0.25" r="1144" customHeight="1" ht="17.25">
      <c r="A1144" s="52"/>
      <c r="B1144" s="2"/>
      <c r="C1144" s="2"/>
      <c r="D1144" s="3"/>
      <c r="E1144" s="3"/>
      <c r="F1144" s="2"/>
      <c r="G1144" s="13">
        <f>IF($B1144="IN",$D1144,0)</f>
      </c>
      <c r="H1144" s="13">
        <f>IF($B1144="OUT",$D1144,0)</f>
      </c>
    </row>
    <row x14ac:dyDescent="0.25" r="1145" customHeight="1" ht="17.25">
      <c r="A1145" s="52"/>
      <c r="B1145" s="2"/>
      <c r="C1145" s="2"/>
      <c r="D1145" s="3"/>
      <c r="E1145" s="3"/>
      <c r="F1145" s="2"/>
      <c r="G1145" s="13">
        <f>IF($B1145="IN",$D1145,0)</f>
      </c>
      <c r="H1145" s="13">
        <f>IF($B1145="OUT",$D1145,0)</f>
      </c>
    </row>
    <row x14ac:dyDescent="0.25" r="1146" customHeight="1" ht="17.25">
      <c r="A1146" s="52"/>
      <c r="B1146" s="2"/>
      <c r="C1146" s="2"/>
      <c r="D1146" s="3"/>
      <c r="E1146" s="3"/>
      <c r="F1146" s="2"/>
      <c r="G1146" s="13">
        <f>IF($B1146="IN",$D1146,0)</f>
      </c>
      <c r="H1146" s="13">
        <f>IF($B1146="OUT",$D1146,0)</f>
      </c>
    </row>
    <row x14ac:dyDescent="0.25" r="1147" customHeight="1" ht="17.25">
      <c r="A1147" s="52"/>
      <c r="B1147" s="2"/>
      <c r="C1147" s="2"/>
      <c r="D1147" s="3"/>
      <c r="E1147" s="3"/>
      <c r="F1147" s="2"/>
      <c r="G1147" s="13">
        <f>IF($B1147="IN",$D1147,0)</f>
      </c>
      <c r="H1147" s="13">
        <f>IF($B1147="OUT",$D1147,0)</f>
      </c>
    </row>
    <row x14ac:dyDescent="0.25" r="1148" customHeight="1" ht="17.25">
      <c r="A1148" s="52"/>
      <c r="B1148" s="2"/>
      <c r="C1148" s="2"/>
      <c r="D1148" s="3"/>
      <c r="E1148" s="3"/>
      <c r="F1148" s="2"/>
      <c r="G1148" s="13">
        <f>IF($B1148="IN",$D1148,0)</f>
      </c>
      <c r="H1148" s="13">
        <f>IF($B1148="OUT",$D1148,0)</f>
      </c>
    </row>
    <row x14ac:dyDescent="0.25" r="1149" customHeight="1" ht="17.25">
      <c r="A1149" s="52"/>
      <c r="B1149" s="2"/>
      <c r="C1149" s="2"/>
      <c r="D1149" s="3"/>
      <c r="E1149" s="3"/>
      <c r="F1149" s="2"/>
      <c r="G1149" s="13">
        <f>IF($B1149="IN",$D1149,0)</f>
      </c>
      <c r="H1149" s="13">
        <f>IF($B1149="OUT",$D1149,0)</f>
      </c>
    </row>
    <row x14ac:dyDescent="0.25" r="1150" customHeight="1" ht="17.25">
      <c r="A1150" s="52"/>
      <c r="B1150" s="2"/>
      <c r="C1150" s="2"/>
      <c r="D1150" s="3"/>
      <c r="E1150" s="3"/>
      <c r="F1150" s="2"/>
      <c r="G1150" s="13">
        <f>IF($B1150="IN",$D1150,0)</f>
      </c>
      <c r="H1150" s="13">
        <f>IF($B1150="OUT",$D1150,0)</f>
      </c>
    </row>
    <row x14ac:dyDescent="0.25" r="1151" customHeight="1" ht="17.25">
      <c r="A1151" s="52"/>
      <c r="B1151" s="2"/>
      <c r="C1151" s="2"/>
      <c r="D1151" s="3"/>
      <c r="E1151" s="3"/>
      <c r="F1151" s="2"/>
      <c r="G1151" s="13">
        <f>IF($B1151="IN",$D1151,0)</f>
      </c>
      <c r="H1151" s="13">
        <f>IF($B1151="OUT",$D1151,0)</f>
      </c>
    </row>
    <row x14ac:dyDescent="0.25" r="1152" customHeight="1" ht="17.25">
      <c r="A1152" s="52"/>
      <c r="B1152" s="2"/>
      <c r="C1152" s="2"/>
      <c r="D1152" s="3"/>
      <c r="E1152" s="3"/>
      <c r="F1152" s="2"/>
      <c r="G1152" s="13">
        <f>IF($B1152="IN",$D1152,0)</f>
      </c>
      <c r="H1152" s="13">
        <f>IF($B1152="OUT",$D1152,0)</f>
      </c>
    </row>
    <row x14ac:dyDescent="0.25" r="1153" customHeight="1" ht="17.25">
      <c r="A1153" s="52"/>
      <c r="B1153" s="2"/>
      <c r="C1153" s="2"/>
      <c r="D1153" s="3"/>
      <c r="E1153" s="3"/>
      <c r="F1153" s="2"/>
      <c r="G1153" s="13">
        <f>IF($B1153="IN",$D1153,0)</f>
      </c>
      <c r="H1153" s="13">
        <f>IF($B1153="OUT",$D1153,0)</f>
      </c>
    </row>
    <row x14ac:dyDescent="0.25" r="1154" customHeight="1" ht="17.25">
      <c r="A1154" s="52"/>
      <c r="B1154" s="2"/>
      <c r="C1154" s="2"/>
      <c r="D1154" s="3"/>
      <c r="E1154" s="3"/>
      <c r="F1154" s="2"/>
      <c r="G1154" s="13">
        <f>IF($B1154="IN",$D1154,0)</f>
      </c>
      <c r="H1154" s="13">
        <f>IF($B1154="OUT",$D1154,0)</f>
      </c>
    </row>
    <row x14ac:dyDescent="0.25" r="1155" customHeight="1" ht="17.25">
      <c r="A1155" s="52"/>
      <c r="B1155" s="2"/>
      <c r="C1155" s="2"/>
      <c r="D1155" s="3"/>
      <c r="E1155" s="3"/>
      <c r="F1155" s="2"/>
      <c r="G1155" s="13">
        <f>IF($B1155="IN",$D1155,0)</f>
      </c>
      <c r="H1155" s="13">
        <f>IF($B1155="OUT",$D1155,0)</f>
      </c>
    </row>
    <row x14ac:dyDescent="0.25" r="1156" customHeight="1" ht="17.25">
      <c r="A1156" s="52"/>
      <c r="B1156" s="2"/>
      <c r="C1156" s="2"/>
      <c r="D1156" s="3"/>
      <c r="E1156" s="3"/>
      <c r="F1156" s="2"/>
      <c r="G1156" s="13">
        <f>IF($B1156="IN",$D1156,0)</f>
      </c>
      <c r="H1156" s="13">
        <f>IF($B1156="OUT",$D1156,0)</f>
      </c>
    </row>
    <row x14ac:dyDescent="0.25" r="1157" customHeight="1" ht="17.25">
      <c r="A1157" s="52"/>
      <c r="B1157" s="2"/>
      <c r="C1157" s="2"/>
      <c r="D1157" s="3"/>
      <c r="E1157" s="3"/>
      <c r="F1157" s="2"/>
      <c r="G1157" s="13">
        <f>IF($B1157="IN",$D1157,0)</f>
      </c>
      <c r="H1157" s="13">
        <f>IF($B1157="OUT",$D1157,0)</f>
      </c>
    </row>
    <row x14ac:dyDescent="0.25" r="1158" customHeight="1" ht="17.25">
      <c r="A1158" s="52"/>
      <c r="B1158" s="2"/>
      <c r="C1158" s="2"/>
      <c r="D1158" s="3"/>
      <c r="E1158" s="3"/>
      <c r="F1158" s="2"/>
      <c r="G1158" s="13">
        <f>IF($B1158="IN",$D1158,0)</f>
      </c>
      <c r="H1158" s="13">
        <f>IF($B1158="OUT",$D1158,0)</f>
      </c>
    </row>
    <row x14ac:dyDescent="0.25" r="1159" customHeight="1" ht="17.25">
      <c r="A1159" s="52"/>
      <c r="B1159" s="2"/>
      <c r="C1159" s="2"/>
      <c r="D1159" s="3"/>
      <c r="E1159" s="3"/>
      <c r="F1159" s="2"/>
      <c r="G1159" s="13">
        <f>IF($B1159="IN",$D1159,0)</f>
      </c>
      <c r="H1159" s="13">
        <f>IF($B1159="OUT",$D1159,0)</f>
      </c>
    </row>
    <row x14ac:dyDescent="0.25" r="1160" customHeight="1" ht="17.25">
      <c r="A1160" s="52"/>
      <c r="B1160" s="2"/>
      <c r="C1160" s="2"/>
      <c r="D1160" s="3"/>
      <c r="E1160" s="3"/>
      <c r="F1160" s="2"/>
      <c r="G1160" s="13">
        <f>IF($B1160="IN",$D1160,0)</f>
      </c>
      <c r="H1160" s="13">
        <f>IF($B1160="OUT",$D1160,0)</f>
      </c>
    </row>
    <row x14ac:dyDescent="0.25" r="1161" customHeight="1" ht="17.25">
      <c r="A1161" s="52"/>
      <c r="B1161" s="2"/>
      <c r="C1161" s="2"/>
      <c r="D1161" s="3"/>
      <c r="E1161" s="3"/>
      <c r="F1161" s="2"/>
      <c r="G1161" s="13">
        <f>IF($B1161="IN",$D1161,0)</f>
      </c>
      <c r="H1161" s="13">
        <f>IF($B1161="OUT",$D1161,0)</f>
      </c>
    </row>
    <row x14ac:dyDescent="0.25" r="1162" customHeight="1" ht="17.25">
      <c r="A1162" s="52"/>
      <c r="B1162" s="2"/>
      <c r="C1162" s="2"/>
      <c r="D1162" s="3"/>
      <c r="E1162" s="3"/>
      <c r="F1162" s="2"/>
      <c r="G1162" s="13">
        <f>IF($B1162="IN",$D1162,0)</f>
      </c>
      <c r="H1162" s="13">
        <f>IF($B1162="OUT",$D1162,0)</f>
      </c>
    </row>
    <row x14ac:dyDescent="0.25" r="1163" customHeight="1" ht="17.25">
      <c r="A1163" s="52"/>
      <c r="B1163" s="2"/>
      <c r="C1163" s="2"/>
      <c r="D1163" s="3"/>
      <c r="E1163" s="3"/>
      <c r="F1163" s="2"/>
      <c r="G1163" s="13">
        <f>IF($B1163="IN",$D1163,0)</f>
      </c>
      <c r="H1163" s="13">
        <f>IF($B1163="OUT",$D1163,0)</f>
      </c>
    </row>
    <row x14ac:dyDescent="0.25" r="1164" customHeight="1" ht="17.25">
      <c r="A1164" s="52"/>
      <c r="B1164" s="2"/>
      <c r="C1164" s="2"/>
      <c r="D1164" s="3"/>
      <c r="E1164" s="3"/>
      <c r="F1164" s="2"/>
      <c r="G1164" s="13">
        <f>IF($B1164="IN",$D1164,0)</f>
      </c>
      <c r="H1164" s="13">
        <f>IF($B1164="OUT",$D1164,0)</f>
      </c>
    </row>
    <row x14ac:dyDescent="0.25" r="1165" customHeight="1" ht="17.25">
      <c r="A1165" s="52"/>
      <c r="B1165" s="2"/>
      <c r="C1165" s="2"/>
      <c r="D1165" s="3"/>
      <c r="E1165" s="3"/>
      <c r="F1165" s="2"/>
      <c r="G1165" s="13">
        <f>IF($B1165="IN",$D1165,0)</f>
      </c>
      <c r="H1165" s="13">
        <f>IF($B1165="OUT",$D1165,0)</f>
      </c>
    </row>
    <row x14ac:dyDescent="0.25" r="1166" customHeight="1" ht="17.25">
      <c r="A1166" s="52"/>
      <c r="B1166" s="2"/>
      <c r="C1166" s="2"/>
      <c r="D1166" s="3"/>
      <c r="E1166" s="3"/>
      <c r="F1166" s="2"/>
      <c r="G1166" s="13">
        <f>IF($B1166="IN",$D1166,0)</f>
      </c>
      <c r="H1166" s="13">
        <f>IF($B1166="OUT",$D1166,0)</f>
      </c>
    </row>
    <row x14ac:dyDescent="0.25" r="1167" customHeight="1" ht="17.25">
      <c r="A1167" s="52"/>
      <c r="B1167" s="2"/>
      <c r="C1167" s="2"/>
      <c r="D1167" s="3"/>
      <c r="E1167" s="3"/>
      <c r="F1167" s="2"/>
      <c r="G1167" s="13">
        <f>IF($B1167="IN",$D1167,0)</f>
      </c>
      <c r="H1167" s="13">
        <f>IF($B1167="OUT",$D1167,0)</f>
      </c>
    </row>
    <row x14ac:dyDescent="0.25" r="1168" customHeight="1" ht="17.25">
      <c r="A1168" s="52"/>
      <c r="B1168" s="2"/>
      <c r="C1168" s="2"/>
      <c r="D1168" s="3"/>
      <c r="E1168" s="3"/>
      <c r="F1168" s="2"/>
      <c r="G1168" s="13">
        <f>IF($B1168="IN",$D1168,0)</f>
      </c>
      <c r="H1168" s="13">
        <f>IF($B1168="OUT",$D1168,0)</f>
      </c>
    </row>
    <row x14ac:dyDescent="0.25" r="1169" customHeight="1" ht="17.25">
      <c r="A1169" s="52"/>
      <c r="B1169" s="2"/>
      <c r="C1169" s="2"/>
      <c r="D1169" s="3"/>
      <c r="E1169" s="3"/>
      <c r="F1169" s="2"/>
      <c r="G1169" s="13">
        <f>IF($B1169="IN",$D1169,0)</f>
      </c>
      <c r="H1169" s="13">
        <f>IF($B1169="OUT",$D1169,0)</f>
      </c>
    </row>
    <row x14ac:dyDescent="0.25" r="1170" customHeight="1" ht="17.25">
      <c r="A1170" s="52"/>
      <c r="B1170" s="2"/>
      <c r="C1170" s="2"/>
      <c r="D1170" s="3"/>
      <c r="E1170" s="3"/>
      <c r="F1170" s="2"/>
      <c r="G1170" s="13">
        <f>IF($B1170="IN",$D1170,0)</f>
      </c>
      <c r="H1170" s="13">
        <f>IF($B1170="OUT",$D1170,0)</f>
      </c>
    </row>
    <row x14ac:dyDescent="0.25" r="1171" customHeight="1" ht="17.25">
      <c r="A1171" s="52"/>
      <c r="B1171" s="2"/>
      <c r="C1171" s="2"/>
      <c r="D1171" s="3"/>
      <c r="E1171" s="3"/>
      <c r="F1171" s="2"/>
      <c r="G1171" s="13">
        <f>IF($B1171="IN",$D1171,0)</f>
      </c>
      <c r="H1171" s="13">
        <f>IF($B1171="OUT",$D1171,0)</f>
      </c>
    </row>
    <row x14ac:dyDescent="0.25" r="1172" customHeight="1" ht="17.25">
      <c r="A1172" s="52"/>
      <c r="B1172" s="2"/>
      <c r="C1172" s="2"/>
      <c r="D1172" s="3"/>
      <c r="E1172" s="3"/>
      <c r="F1172" s="2"/>
      <c r="G1172" s="13">
        <f>IF($B1172="IN",$D1172,0)</f>
      </c>
      <c r="H1172" s="13">
        <f>IF($B1172="OUT",$D1172,0)</f>
      </c>
    </row>
    <row x14ac:dyDescent="0.25" r="1173" customHeight="1" ht="17.25">
      <c r="A1173" s="52"/>
      <c r="B1173" s="2"/>
      <c r="C1173" s="2"/>
      <c r="D1173" s="3"/>
      <c r="E1173" s="3"/>
      <c r="F1173" s="2"/>
      <c r="G1173" s="13">
        <f>IF($B1173="IN",$D1173,0)</f>
      </c>
      <c r="H1173" s="13">
        <f>IF($B1173="OUT",$D1173,0)</f>
      </c>
    </row>
    <row x14ac:dyDescent="0.25" r="1174" customHeight="1" ht="17.25">
      <c r="A1174" s="52"/>
      <c r="B1174" s="2"/>
      <c r="C1174" s="2"/>
      <c r="D1174" s="3"/>
      <c r="E1174" s="3"/>
      <c r="F1174" s="2"/>
      <c r="G1174" s="13">
        <f>IF($B1174="IN",$D1174,0)</f>
      </c>
      <c r="H1174" s="13">
        <f>IF($B1174="OUT",$D1174,0)</f>
      </c>
    </row>
    <row x14ac:dyDescent="0.25" r="1175" customHeight="1" ht="17.25">
      <c r="A1175" s="52"/>
      <c r="B1175" s="2"/>
      <c r="C1175" s="2"/>
      <c r="D1175" s="3"/>
      <c r="E1175" s="3"/>
      <c r="F1175" s="2"/>
      <c r="G1175" s="13">
        <f>IF($B1175="IN",$D1175,0)</f>
      </c>
      <c r="H1175" s="13">
        <f>IF($B1175="OUT",$D1175,0)</f>
      </c>
    </row>
    <row x14ac:dyDescent="0.25" r="1176" customHeight="1" ht="17.25">
      <c r="A1176" s="52"/>
      <c r="B1176" s="2"/>
      <c r="C1176" s="2"/>
      <c r="D1176" s="3"/>
      <c r="E1176" s="3"/>
      <c r="F1176" s="2"/>
      <c r="G1176" s="13">
        <f>IF($B1176="IN",$D1176,0)</f>
      </c>
      <c r="H1176" s="13">
        <f>IF($B1176="OUT",$D1176,0)</f>
      </c>
    </row>
    <row x14ac:dyDescent="0.25" r="1177" customHeight="1" ht="17.25">
      <c r="A1177" s="52"/>
      <c r="B1177" s="2"/>
      <c r="C1177" s="2"/>
      <c r="D1177" s="3"/>
      <c r="E1177" s="3"/>
      <c r="F1177" s="2"/>
      <c r="G1177" s="13">
        <f>IF($B1177="IN",$D1177,0)</f>
      </c>
      <c r="H1177" s="13">
        <f>IF($B1177="OUT",$D1177,0)</f>
      </c>
    </row>
    <row x14ac:dyDescent="0.25" r="1178" customHeight="1" ht="17.25">
      <c r="A1178" s="52"/>
      <c r="B1178" s="2"/>
      <c r="C1178" s="2"/>
      <c r="D1178" s="3"/>
      <c r="E1178" s="3"/>
      <c r="F1178" s="2"/>
      <c r="G1178" s="13">
        <f>IF($B1178="IN",$D1178,0)</f>
      </c>
      <c r="H1178" s="13">
        <f>IF($B1178="OUT",$D1178,0)</f>
      </c>
    </row>
    <row x14ac:dyDescent="0.25" r="1179" customHeight="1" ht="17.25">
      <c r="A1179" s="52"/>
      <c r="B1179" s="2"/>
      <c r="C1179" s="2"/>
      <c r="D1179" s="3"/>
      <c r="E1179" s="3"/>
      <c r="F1179" s="2"/>
      <c r="G1179" s="13">
        <f>IF($B1179="IN",$D1179,0)</f>
      </c>
      <c r="H1179" s="13">
        <f>IF($B1179="OUT",$D1179,0)</f>
      </c>
    </row>
    <row x14ac:dyDescent="0.25" r="1180" customHeight="1" ht="17.25">
      <c r="A1180" s="52"/>
      <c r="B1180" s="2"/>
      <c r="C1180" s="2"/>
      <c r="D1180" s="3"/>
      <c r="E1180" s="3"/>
      <c r="F1180" s="2"/>
      <c r="G1180" s="13">
        <f>IF($B1180="IN",$D1180,0)</f>
      </c>
      <c r="H1180" s="13">
        <f>IF($B1180="OUT",$D1180,0)</f>
      </c>
    </row>
    <row x14ac:dyDescent="0.25" r="1181" customHeight="1" ht="17.25">
      <c r="A1181" s="52"/>
      <c r="B1181" s="2"/>
      <c r="C1181" s="2"/>
      <c r="D1181" s="3"/>
      <c r="E1181" s="3"/>
      <c r="F1181" s="2"/>
      <c r="G1181" s="13">
        <f>IF($B1181="IN",$D1181,0)</f>
      </c>
      <c r="H1181" s="13">
        <f>IF($B1181="OUT",$D1181,0)</f>
      </c>
    </row>
    <row x14ac:dyDescent="0.25" r="1182" customHeight="1" ht="17.25">
      <c r="A1182" s="52"/>
      <c r="B1182" s="2"/>
      <c r="C1182" s="2"/>
      <c r="D1182" s="3"/>
      <c r="E1182" s="3"/>
      <c r="F1182" s="2"/>
      <c r="G1182" s="13">
        <f>IF($B1182="IN",$D1182,0)</f>
      </c>
      <c r="H1182" s="13">
        <f>IF($B1182="OUT",$D1182,0)</f>
      </c>
    </row>
    <row x14ac:dyDescent="0.25" r="1183" customHeight="1" ht="17.25">
      <c r="A1183" s="52"/>
      <c r="B1183" s="2"/>
      <c r="C1183" s="2"/>
      <c r="D1183" s="3"/>
      <c r="E1183" s="3"/>
      <c r="F1183" s="2"/>
      <c r="G1183" s="13">
        <f>IF($B1183="IN",$D1183,0)</f>
      </c>
      <c r="H1183" s="13">
        <f>IF($B1183="OUT",$D1183,0)</f>
      </c>
    </row>
    <row x14ac:dyDescent="0.25" r="1184" customHeight="1" ht="17.25">
      <c r="A1184" s="52"/>
      <c r="B1184" s="2"/>
      <c r="C1184" s="2"/>
      <c r="D1184" s="3"/>
      <c r="E1184" s="3"/>
      <c r="F1184" s="2"/>
      <c r="G1184" s="13">
        <f>IF($B1184="IN",$D1184,0)</f>
      </c>
      <c r="H1184" s="13">
        <f>IF($B1184="OUT",$D1184,0)</f>
      </c>
    </row>
    <row x14ac:dyDescent="0.25" r="1185" customHeight="1" ht="17.25">
      <c r="A1185" s="52"/>
      <c r="B1185" s="2"/>
      <c r="C1185" s="2"/>
      <c r="D1185" s="3"/>
      <c r="E1185" s="3"/>
      <c r="F1185" s="2"/>
      <c r="G1185" s="13">
        <f>IF($B1185="IN",$D1185,0)</f>
      </c>
      <c r="H1185" s="13">
        <f>IF($B1185="OUT",$D1185,0)</f>
      </c>
    </row>
    <row x14ac:dyDescent="0.25" r="1186" customHeight="1" ht="17.25">
      <c r="A1186" s="52"/>
      <c r="B1186" s="2"/>
      <c r="C1186" s="2"/>
      <c r="D1186" s="3"/>
      <c r="E1186" s="3"/>
      <c r="F1186" s="2"/>
      <c r="G1186" s="13">
        <f>IF($B1186="IN",$D1186,0)</f>
      </c>
      <c r="H1186" s="13">
        <f>IF($B1186="OUT",$D1186,0)</f>
      </c>
    </row>
    <row x14ac:dyDescent="0.25" r="1187" customHeight="1" ht="17.25">
      <c r="A1187" s="52"/>
      <c r="B1187" s="2"/>
      <c r="C1187" s="2"/>
      <c r="D1187" s="3"/>
      <c r="E1187" s="3"/>
      <c r="F1187" s="2"/>
      <c r="G1187" s="13">
        <f>IF($B1187="IN",$D1187,0)</f>
      </c>
      <c r="H1187" s="13">
        <f>IF($B1187="OUT",$D1187,0)</f>
      </c>
    </row>
    <row x14ac:dyDescent="0.25" r="1188" customHeight="1" ht="17.25">
      <c r="A1188" s="52"/>
      <c r="B1188" s="2"/>
      <c r="C1188" s="2"/>
      <c r="D1188" s="3"/>
      <c r="E1188" s="3"/>
      <c r="F1188" s="2"/>
      <c r="G1188" s="13">
        <f>IF($B1188="IN",$D1188,0)</f>
      </c>
      <c r="H1188" s="13">
        <f>IF($B1188="OUT",$D1188,0)</f>
      </c>
    </row>
    <row x14ac:dyDescent="0.25" r="1189" customHeight="1" ht="17.25">
      <c r="A1189" s="52"/>
      <c r="B1189" s="2"/>
      <c r="C1189" s="2"/>
      <c r="D1189" s="3"/>
      <c r="E1189" s="3"/>
      <c r="F1189" s="2"/>
      <c r="G1189" s="13">
        <f>IF($B1189="IN",$D1189,0)</f>
      </c>
      <c r="H1189" s="13">
        <f>IF($B1189="OUT",$D1189,0)</f>
      </c>
    </row>
    <row x14ac:dyDescent="0.25" r="1190" customHeight="1" ht="17.25">
      <c r="A1190" s="52"/>
      <c r="B1190" s="2"/>
      <c r="C1190" s="2"/>
      <c r="D1190" s="3"/>
      <c r="E1190" s="3"/>
      <c r="F1190" s="2"/>
      <c r="G1190" s="13">
        <f>IF($B1190="IN",$D1190,0)</f>
      </c>
      <c r="H1190" s="13">
        <f>IF($B1190="OUT",$D1190,0)</f>
      </c>
    </row>
    <row x14ac:dyDescent="0.25" r="1191" customHeight="1" ht="17.25">
      <c r="A1191" s="52"/>
      <c r="B1191" s="2"/>
      <c r="C1191" s="2"/>
      <c r="D1191" s="3"/>
      <c r="E1191" s="3"/>
      <c r="F1191" s="2"/>
      <c r="G1191" s="13">
        <f>IF($B1191="IN",$D1191,0)</f>
      </c>
      <c r="H1191" s="13">
        <f>IF($B1191="OUT",$D1191,0)</f>
      </c>
    </row>
    <row x14ac:dyDescent="0.25" r="1192" customHeight="1" ht="17.25">
      <c r="A1192" s="52"/>
      <c r="B1192" s="2"/>
      <c r="C1192" s="2"/>
      <c r="D1192" s="3"/>
      <c r="E1192" s="3"/>
      <c r="F1192" s="2"/>
      <c r="G1192" s="13">
        <f>IF($B1192="IN",$D1192,0)</f>
      </c>
      <c r="H1192" s="13">
        <f>IF($B1192="OUT",$D1192,0)</f>
      </c>
    </row>
    <row x14ac:dyDescent="0.25" r="1193" customHeight="1" ht="17.25">
      <c r="A1193" s="52"/>
      <c r="B1193" s="2"/>
      <c r="C1193" s="2"/>
      <c r="D1193" s="3"/>
      <c r="E1193" s="3"/>
      <c r="F1193" s="2"/>
      <c r="G1193" s="13">
        <f>IF($B1193="IN",$D1193,0)</f>
      </c>
      <c r="H1193" s="13">
        <f>IF($B1193="OUT",$D1193,0)</f>
      </c>
    </row>
    <row x14ac:dyDescent="0.25" r="1194" customHeight="1" ht="17.25">
      <c r="A1194" s="52"/>
      <c r="B1194" s="2"/>
      <c r="C1194" s="2"/>
      <c r="D1194" s="3"/>
      <c r="E1194" s="3"/>
      <c r="F1194" s="2"/>
      <c r="G1194" s="13">
        <f>IF($B1194="IN",$D1194,0)</f>
      </c>
      <c r="H1194" s="13">
        <f>IF($B1194="OUT",$D1194,0)</f>
      </c>
    </row>
    <row x14ac:dyDescent="0.25" r="1195" customHeight="1" ht="17.25">
      <c r="A1195" s="52"/>
      <c r="B1195" s="2"/>
      <c r="C1195" s="2"/>
      <c r="D1195" s="3"/>
      <c r="E1195" s="3"/>
      <c r="F1195" s="2"/>
      <c r="G1195" s="13">
        <f>IF($B1195="IN",$D1195,0)</f>
      </c>
      <c r="H1195" s="13">
        <f>IF($B1195="OUT",$D1195,0)</f>
      </c>
    </row>
    <row x14ac:dyDescent="0.25" r="1196" customHeight="1" ht="17.25">
      <c r="A1196" s="52"/>
      <c r="B1196" s="2"/>
      <c r="C1196" s="2"/>
      <c r="D1196" s="3"/>
      <c r="E1196" s="3"/>
      <c r="F1196" s="2"/>
      <c r="G1196" s="13">
        <f>IF($B1196="IN",$D1196,0)</f>
      </c>
      <c r="H1196" s="13">
        <f>IF($B1196="OUT",$D1196,0)</f>
      </c>
    </row>
    <row x14ac:dyDescent="0.25" r="1197" customHeight="1" ht="17.25">
      <c r="A1197" s="52"/>
      <c r="B1197" s="2"/>
      <c r="C1197" s="2"/>
      <c r="D1197" s="3"/>
      <c r="E1197" s="3"/>
      <c r="F1197" s="2"/>
      <c r="G1197" s="13">
        <f>IF($B1197="IN",$D1197,0)</f>
      </c>
      <c r="H1197" s="13">
        <f>IF($B1197="OUT",$D1197,0)</f>
      </c>
    </row>
    <row x14ac:dyDescent="0.25" r="1198" customHeight="1" ht="17.25">
      <c r="A1198" s="52"/>
      <c r="B1198" s="2"/>
      <c r="C1198" s="2"/>
      <c r="D1198" s="3"/>
      <c r="E1198" s="3"/>
      <c r="F1198" s="2"/>
      <c r="G1198" s="13">
        <f>IF($B1198="IN",$D1198,0)</f>
      </c>
      <c r="H1198" s="13">
        <f>IF($B1198="OUT",$D1198,0)</f>
      </c>
    </row>
    <row x14ac:dyDescent="0.25" r="1199" customHeight="1" ht="17.25">
      <c r="A1199" s="52"/>
      <c r="B1199" s="2"/>
      <c r="C1199" s="2"/>
      <c r="D1199" s="3"/>
      <c r="E1199" s="3"/>
      <c r="F1199" s="2"/>
      <c r="G1199" s="13">
        <f>IF($B1199="IN",$D1199,0)</f>
      </c>
      <c r="H1199" s="13">
        <f>IF($B1199="OUT",$D1199,0)</f>
      </c>
    </row>
    <row x14ac:dyDescent="0.25" r="1200" customHeight="1" ht="17.25">
      <c r="A1200" s="52"/>
      <c r="B1200" s="2"/>
      <c r="C1200" s="2"/>
      <c r="D1200" s="3"/>
      <c r="E1200" s="3"/>
      <c r="F1200" s="2"/>
      <c r="G1200" s="13">
        <f>IF($B1200="IN",$D1200,0)</f>
      </c>
      <c r="H1200" s="13">
        <f>IF($B1200="OUT",$D1200,0)</f>
      </c>
    </row>
    <row x14ac:dyDescent="0.25" r="1201" customHeight="1" ht="17.25">
      <c r="A1201" s="52"/>
      <c r="B1201" s="2"/>
      <c r="C1201" s="2"/>
      <c r="D1201" s="3"/>
      <c r="E1201" s="3"/>
      <c r="F1201" s="2"/>
      <c r="G1201" s="13">
        <f>IF($B1201="IN",$D1201,0)</f>
      </c>
      <c r="H1201" s="13">
        <f>IF($B1201="OUT",$D1201,0)</f>
      </c>
    </row>
    <row x14ac:dyDescent="0.25" r="1202" customHeight="1" ht="17.25">
      <c r="A1202" s="52"/>
      <c r="B1202" s="2"/>
      <c r="C1202" s="2"/>
      <c r="D1202" s="3"/>
      <c r="E1202" s="3"/>
      <c r="F1202" s="2"/>
      <c r="G1202" s="13">
        <f>IF($B1202="IN",$D1202,0)</f>
      </c>
      <c r="H1202" s="13">
        <f>IF($B1202="OUT",$D1202,0)</f>
      </c>
    </row>
    <row x14ac:dyDescent="0.25" r="1203" customHeight="1" ht="17.25">
      <c r="A1203" s="52"/>
      <c r="B1203" s="2"/>
      <c r="C1203" s="2"/>
      <c r="D1203" s="3"/>
      <c r="E1203" s="3"/>
      <c r="F1203" s="2"/>
      <c r="G1203" s="13">
        <f>IF($B1203="IN",$D1203,0)</f>
      </c>
      <c r="H1203" s="13">
        <f>IF($B1203="OUT",$D1203,0)</f>
      </c>
    </row>
    <row x14ac:dyDescent="0.25" r="1204" customHeight="1" ht="17.25">
      <c r="A1204" s="52"/>
      <c r="B1204" s="2"/>
      <c r="C1204" s="2"/>
      <c r="D1204" s="3"/>
      <c r="E1204" s="3"/>
      <c r="F1204" s="2"/>
      <c r="G1204" s="13">
        <f>IF($B1204="IN",$D1204,0)</f>
      </c>
      <c r="H1204" s="13">
        <f>IF($B1204="OUT",$D1204,0)</f>
      </c>
    </row>
    <row x14ac:dyDescent="0.25" r="1205" customHeight="1" ht="17.25">
      <c r="A1205" s="52"/>
      <c r="B1205" s="2"/>
      <c r="C1205" s="2"/>
      <c r="D1205" s="3"/>
      <c r="E1205" s="3"/>
      <c r="F1205" s="2"/>
      <c r="G1205" s="13">
        <f>IF($B1205="IN",$D1205,0)</f>
      </c>
      <c r="H1205" s="13">
        <f>IF($B1205="OUT",$D1205,0)</f>
      </c>
    </row>
    <row x14ac:dyDescent="0.25" r="1206" customHeight="1" ht="17.25">
      <c r="A1206" s="52"/>
      <c r="B1206" s="2"/>
      <c r="C1206" s="2"/>
      <c r="D1206" s="3"/>
      <c r="E1206" s="3"/>
      <c r="F1206" s="2"/>
      <c r="G1206" s="13">
        <f>IF($B1206="IN",$D1206,0)</f>
      </c>
      <c r="H1206" s="13">
        <f>IF($B1206="OUT",$D1206,0)</f>
      </c>
    </row>
    <row x14ac:dyDescent="0.25" r="1207" customHeight="1" ht="17.25">
      <c r="A1207" s="52"/>
      <c r="B1207" s="2"/>
      <c r="C1207" s="2"/>
      <c r="D1207" s="3"/>
      <c r="E1207" s="3"/>
      <c r="F1207" s="2"/>
      <c r="G1207" s="13">
        <f>IF($B1207="IN",$D1207,0)</f>
      </c>
      <c r="H1207" s="13">
        <f>IF($B1207="OUT",$D1207,0)</f>
      </c>
    </row>
    <row x14ac:dyDescent="0.25" r="1208" customHeight="1" ht="17.25">
      <c r="A1208" s="52"/>
      <c r="B1208" s="2"/>
      <c r="C1208" s="2"/>
      <c r="D1208" s="3"/>
      <c r="E1208" s="3"/>
      <c r="F1208" s="2"/>
      <c r="G1208" s="13">
        <f>IF($B1208="IN",$D1208,0)</f>
      </c>
      <c r="H1208" s="13">
        <f>IF($B1208="OUT",$D1208,0)</f>
      </c>
    </row>
    <row x14ac:dyDescent="0.25" r="1209" customHeight="1" ht="17.25">
      <c r="A1209" s="52"/>
      <c r="B1209" s="2"/>
      <c r="C1209" s="2"/>
      <c r="D1209" s="3"/>
      <c r="E1209" s="3"/>
      <c r="F1209" s="2"/>
      <c r="G1209" s="13">
        <f>IF($B1209="IN",$D1209,0)</f>
      </c>
      <c r="H1209" s="13">
        <f>IF($B1209="OUT",$D1209,0)</f>
      </c>
    </row>
    <row x14ac:dyDescent="0.25" r="1210" customHeight="1" ht="17.25">
      <c r="A1210" s="52"/>
      <c r="B1210" s="2"/>
      <c r="C1210" s="2"/>
      <c r="D1210" s="3"/>
      <c r="E1210" s="3"/>
      <c r="F1210" s="2"/>
      <c r="G1210" s="13">
        <f>IF($B1210="IN",$D1210,0)</f>
      </c>
      <c r="H1210" s="13">
        <f>IF($B1210="OUT",$D1210,0)</f>
      </c>
    </row>
    <row x14ac:dyDescent="0.25" r="1211" customHeight="1" ht="17.25">
      <c r="A1211" s="52"/>
      <c r="B1211" s="2"/>
      <c r="C1211" s="2"/>
      <c r="D1211" s="3"/>
      <c r="E1211" s="3"/>
      <c r="F1211" s="2"/>
      <c r="G1211" s="13">
        <f>IF($B1211="IN",$D1211,0)</f>
      </c>
      <c r="H1211" s="13">
        <f>IF($B1211="OUT",$D1211,0)</f>
      </c>
    </row>
    <row x14ac:dyDescent="0.25" r="1212" customHeight="1" ht="17.25">
      <c r="A1212" s="52"/>
      <c r="B1212" s="2"/>
      <c r="C1212" s="2"/>
      <c r="D1212" s="3"/>
      <c r="E1212" s="3"/>
      <c r="F1212" s="2"/>
      <c r="G1212" s="13">
        <f>IF($B1212="IN",$D1212,0)</f>
      </c>
      <c r="H1212" s="13">
        <f>IF($B1212="OUT",$D1212,0)</f>
      </c>
    </row>
    <row x14ac:dyDescent="0.25" r="1213" customHeight="1" ht="17.25">
      <c r="A1213" s="52"/>
      <c r="B1213" s="2"/>
      <c r="C1213" s="2"/>
      <c r="D1213" s="3"/>
      <c r="E1213" s="3"/>
      <c r="F1213" s="2"/>
      <c r="G1213" s="13">
        <f>IF($B1213="IN",$D1213,0)</f>
      </c>
      <c r="H1213" s="13">
        <f>IF($B1213="OUT",$D1213,0)</f>
      </c>
    </row>
    <row x14ac:dyDescent="0.25" r="1214" customHeight="1" ht="17.25">
      <c r="A1214" s="52"/>
      <c r="B1214" s="2"/>
      <c r="C1214" s="2"/>
      <c r="D1214" s="3"/>
      <c r="E1214" s="3"/>
      <c r="F1214" s="2"/>
      <c r="G1214" s="13">
        <f>IF($B1214="IN",$D1214,0)</f>
      </c>
      <c r="H1214" s="13">
        <f>IF($B1214="OUT",$D1214,0)</f>
      </c>
    </row>
    <row x14ac:dyDescent="0.25" r="1215" customHeight="1" ht="17.25">
      <c r="A1215" s="52"/>
      <c r="B1215" s="2"/>
      <c r="C1215" s="2"/>
      <c r="D1215" s="3"/>
      <c r="E1215" s="3"/>
      <c r="F1215" s="2"/>
      <c r="G1215" s="13">
        <f>IF($B1215="IN",$D1215,0)</f>
      </c>
      <c r="H1215" s="13">
        <f>IF($B1215="OUT",$D1215,0)</f>
      </c>
    </row>
    <row x14ac:dyDescent="0.25" r="1216" customHeight="1" ht="17.25">
      <c r="A1216" s="52"/>
      <c r="B1216" s="2"/>
      <c r="C1216" s="2"/>
      <c r="D1216" s="3"/>
      <c r="E1216" s="3"/>
      <c r="F1216" s="2"/>
      <c r="G1216" s="13">
        <f>IF($B1216="IN",$D1216,0)</f>
      </c>
      <c r="H1216" s="13">
        <f>IF($B1216="OUT",$D1216,0)</f>
      </c>
    </row>
    <row x14ac:dyDescent="0.25" r="1217" customHeight="1" ht="17.25">
      <c r="A1217" s="52"/>
      <c r="B1217" s="2"/>
      <c r="C1217" s="2"/>
      <c r="D1217" s="3"/>
      <c r="E1217" s="3"/>
      <c r="F1217" s="2"/>
      <c r="G1217" s="13">
        <f>IF($B1217="IN",$D1217,0)</f>
      </c>
      <c r="H1217" s="13">
        <f>IF($B1217="OUT",$D1217,0)</f>
      </c>
    </row>
    <row x14ac:dyDescent="0.25" r="1218" customHeight="1" ht="17.25">
      <c r="A1218" s="52"/>
      <c r="B1218" s="2"/>
      <c r="C1218" s="2"/>
      <c r="D1218" s="3"/>
      <c r="E1218" s="3"/>
      <c r="F1218" s="2"/>
      <c r="G1218" s="13">
        <f>IF($B1218="IN",$D1218,0)</f>
      </c>
      <c r="H1218" s="13">
        <f>IF($B1218="OUT",$D1218,0)</f>
      </c>
    </row>
    <row x14ac:dyDescent="0.25" r="1219" customHeight="1" ht="17.25">
      <c r="A1219" s="52"/>
      <c r="B1219" s="2"/>
      <c r="C1219" s="2"/>
      <c r="D1219" s="3"/>
      <c r="E1219" s="3"/>
      <c r="F1219" s="2"/>
      <c r="G1219" s="13">
        <f>IF($B1219="IN",$D1219,0)</f>
      </c>
      <c r="H1219" s="13">
        <f>IF($B1219="OUT",$D1219,0)</f>
      </c>
    </row>
    <row x14ac:dyDescent="0.25" r="1220" customHeight="1" ht="17.25">
      <c r="A1220" s="52"/>
      <c r="B1220" s="2"/>
      <c r="C1220" s="2"/>
      <c r="D1220" s="3"/>
      <c r="E1220" s="3"/>
      <c r="F1220" s="2"/>
      <c r="G1220" s="13">
        <f>IF($B1220="IN",$D1220,0)</f>
      </c>
      <c r="H1220" s="13">
        <f>IF($B1220="OUT",$D1220,0)</f>
      </c>
    </row>
    <row x14ac:dyDescent="0.25" r="1221" customHeight="1" ht="17.25">
      <c r="A1221" s="52"/>
      <c r="B1221" s="2"/>
      <c r="C1221" s="2"/>
      <c r="D1221" s="3"/>
      <c r="E1221" s="3"/>
      <c r="F1221" s="2"/>
      <c r="G1221" s="13">
        <f>IF($B1221="IN",$D1221,0)</f>
      </c>
      <c r="H1221" s="13">
        <f>IF($B1221="OUT",$D1221,0)</f>
      </c>
    </row>
    <row x14ac:dyDescent="0.25" r="1222" customHeight="1" ht="17.25">
      <c r="A1222" s="52"/>
      <c r="B1222" s="2"/>
      <c r="C1222" s="2"/>
      <c r="D1222" s="3"/>
      <c r="E1222" s="3"/>
      <c r="F1222" s="2"/>
      <c r="G1222" s="13">
        <f>IF($B1222="IN",$D1222,0)</f>
      </c>
      <c r="H1222" s="13">
        <f>IF($B1222="OUT",$D1222,0)</f>
      </c>
    </row>
    <row x14ac:dyDescent="0.25" r="1223" customHeight="1" ht="17.25">
      <c r="A1223" s="52"/>
      <c r="B1223" s="2"/>
      <c r="C1223" s="2"/>
      <c r="D1223" s="3"/>
      <c r="E1223" s="3"/>
      <c r="F1223" s="2"/>
      <c r="G1223" s="13">
        <f>IF($B1223="IN",$D1223,0)</f>
      </c>
      <c r="H1223" s="13">
        <f>IF($B1223="OUT",$D1223,0)</f>
      </c>
    </row>
    <row x14ac:dyDescent="0.25" r="1224" customHeight="1" ht="17.25">
      <c r="A1224" s="52"/>
      <c r="B1224" s="2"/>
      <c r="C1224" s="2"/>
      <c r="D1224" s="3"/>
      <c r="E1224" s="3"/>
      <c r="F1224" s="2"/>
      <c r="G1224" s="13">
        <f>IF($B1224="IN",$D1224,0)</f>
      </c>
      <c r="H1224" s="13">
        <f>IF($B1224="OUT",$D1224,0)</f>
      </c>
    </row>
    <row x14ac:dyDescent="0.25" r="1225" customHeight="1" ht="17.25">
      <c r="A1225" s="52"/>
      <c r="B1225" s="2"/>
      <c r="C1225" s="2"/>
      <c r="D1225" s="3"/>
      <c r="E1225" s="3"/>
      <c r="F1225" s="2"/>
      <c r="G1225" s="13">
        <f>IF($B1225="IN",$D1225,0)</f>
      </c>
      <c r="H1225" s="13">
        <f>IF($B1225="OUT",$D1225,0)</f>
      </c>
    </row>
    <row x14ac:dyDescent="0.25" r="1226" customHeight="1" ht="17.25">
      <c r="A1226" s="52"/>
      <c r="B1226" s="2"/>
      <c r="C1226" s="2"/>
      <c r="D1226" s="3"/>
      <c r="E1226" s="3"/>
      <c r="F1226" s="2"/>
      <c r="G1226" s="13">
        <f>IF($B1226="IN",$D1226,0)</f>
      </c>
      <c r="H1226" s="13">
        <f>IF($B1226="OUT",$D1226,0)</f>
      </c>
    </row>
    <row x14ac:dyDescent="0.25" r="1227" customHeight="1" ht="17.25">
      <c r="A1227" s="52"/>
      <c r="B1227" s="2"/>
      <c r="C1227" s="2"/>
      <c r="D1227" s="3"/>
      <c r="E1227" s="3"/>
      <c r="F1227" s="2"/>
      <c r="G1227" s="13">
        <f>IF($B1227="IN",$D1227,0)</f>
      </c>
      <c r="H1227" s="13">
        <f>IF($B1227="OUT",$D1227,0)</f>
      </c>
    </row>
    <row x14ac:dyDescent="0.25" r="1228" customHeight="1" ht="17.25">
      <c r="A1228" s="52"/>
      <c r="B1228" s="2"/>
      <c r="C1228" s="2"/>
      <c r="D1228" s="3"/>
      <c r="E1228" s="3"/>
      <c r="F1228" s="2"/>
      <c r="G1228" s="13">
        <f>IF($B1228="IN",$D1228,0)</f>
      </c>
      <c r="H1228" s="13">
        <f>IF($B1228="OUT",$D1228,0)</f>
      </c>
    </row>
    <row x14ac:dyDescent="0.25" r="1229" customHeight="1" ht="17.25">
      <c r="A1229" s="52"/>
      <c r="B1229" s="2"/>
      <c r="C1229" s="2"/>
      <c r="D1229" s="3"/>
      <c r="E1229" s="3"/>
      <c r="F1229" s="2"/>
      <c r="G1229" s="13">
        <f>IF($B1229="IN",$D1229,0)</f>
      </c>
      <c r="H1229" s="13">
        <f>IF($B1229="OUT",$D1229,0)</f>
      </c>
    </row>
    <row x14ac:dyDescent="0.25" r="1230" customHeight="1" ht="17.25">
      <c r="A1230" s="52"/>
      <c r="B1230" s="2"/>
      <c r="C1230" s="2"/>
      <c r="D1230" s="3"/>
      <c r="E1230" s="3"/>
      <c r="F1230" s="2"/>
      <c r="G1230" s="13">
        <f>IF($B1230="IN",$D1230,0)</f>
      </c>
      <c r="H1230" s="13">
        <f>IF($B1230="OUT",$D1230,0)</f>
      </c>
    </row>
    <row x14ac:dyDescent="0.25" r="1231" customHeight="1" ht="17.25">
      <c r="A1231" s="52"/>
      <c r="B1231" s="2"/>
      <c r="C1231" s="2"/>
      <c r="D1231" s="3"/>
      <c r="E1231" s="3"/>
      <c r="F1231" s="2"/>
      <c r="G1231" s="13">
        <f>IF($B1231="IN",$D1231,0)</f>
      </c>
      <c r="H1231" s="13">
        <f>IF($B1231="OUT",$D1231,0)</f>
      </c>
    </row>
    <row x14ac:dyDescent="0.25" r="1232" customHeight="1" ht="17.25">
      <c r="A1232" s="52"/>
      <c r="B1232" s="2"/>
      <c r="C1232" s="2"/>
      <c r="D1232" s="3"/>
      <c r="E1232" s="3"/>
      <c r="F1232" s="2"/>
      <c r="G1232" s="13">
        <f>IF($B1232="IN",$D1232,0)</f>
      </c>
      <c r="H1232" s="13">
        <f>IF($B1232="OUT",$D1232,0)</f>
      </c>
    </row>
    <row x14ac:dyDescent="0.25" r="1233" customHeight="1" ht="17.25">
      <c r="A1233" s="52"/>
      <c r="B1233" s="2"/>
      <c r="C1233" s="2"/>
      <c r="D1233" s="3"/>
      <c r="E1233" s="3"/>
      <c r="F1233" s="2"/>
      <c r="G1233" s="13">
        <f>IF($B1233="IN",$D1233,0)</f>
      </c>
      <c r="H1233" s="13">
        <f>IF($B1233="OUT",$D1233,0)</f>
      </c>
    </row>
    <row x14ac:dyDescent="0.25" r="1234" customHeight="1" ht="17.25">
      <c r="A1234" s="52"/>
      <c r="B1234" s="2"/>
      <c r="C1234" s="2"/>
      <c r="D1234" s="3"/>
      <c r="E1234" s="3"/>
      <c r="F1234" s="2"/>
      <c r="G1234" s="13">
        <f>IF($B1234="IN",$D1234,0)</f>
      </c>
      <c r="H1234" s="13">
        <f>IF($B1234="OUT",$D1234,0)</f>
      </c>
    </row>
    <row x14ac:dyDescent="0.25" r="1235" customHeight="1" ht="17.25">
      <c r="A1235" s="52"/>
      <c r="B1235" s="2"/>
      <c r="C1235" s="2"/>
      <c r="D1235" s="3"/>
      <c r="E1235" s="3"/>
      <c r="F1235" s="2"/>
      <c r="G1235" s="13">
        <f>IF($B1235="IN",$D1235,0)</f>
      </c>
      <c r="H1235" s="13">
        <f>IF($B1235="OUT",$D1235,0)</f>
      </c>
    </row>
    <row x14ac:dyDescent="0.25" r="1236" customHeight="1" ht="17.25">
      <c r="A1236" s="52"/>
      <c r="B1236" s="2"/>
      <c r="C1236" s="2"/>
      <c r="D1236" s="3"/>
      <c r="E1236" s="3"/>
      <c r="F1236" s="2"/>
      <c r="G1236" s="13">
        <f>IF($B1236="IN",$D1236,0)</f>
      </c>
      <c r="H1236" s="13">
        <f>IF($B1236="OUT",$D1236,0)</f>
      </c>
    </row>
    <row x14ac:dyDescent="0.25" r="1237" customHeight="1" ht="17.25">
      <c r="A1237" s="52"/>
      <c r="B1237" s="2"/>
      <c r="C1237" s="2"/>
      <c r="D1237" s="3"/>
      <c r="E1237" s="3"/>
      <c r="F1237" s="2"/>
      <c r="G1237" s="13">
        <f>IF($B1237="IN",$D1237,0)</f>
      </c>
      <c r="H1237" s="13">
        <f>IF($B1237="OUT",$D1237,0)</f>
      </c>
    </row>
    <row x14ac:dyDescent="0.25" r="1238" customHeight="1" ht="17.25">
      <c r="A1238" s="52"/>
      <c r="B1238" s="2"/>
      <c r="C1238" s="2"/>
      <c r="D1238" s="3"/>
      <c r="E1238" s="3"/>
      <c r="F1238" s="2"/>
      <c r="G1238" s="13">
        <f>IF($B1238="IN",$D1238,0)</f>
      </c>
      <c r="H1238" s="13">
        <f>IF($B1238="OUT",$D1238,0)</f>
      </c>
    </row>
    <row x14ac:dyDescent="0.25" r="1239" customHeight="1" ht="17.25">
      <c r="A1239" s="52"/>
      <c r="B1239" s="2"/>
      <c r="C1239" s="2"/>
      <c r="D1239" s="3"/>
      <c r="E1239" s="3"/>
      <c r="F1239" s="2"/>
      <c r="G1239" s="13">
        <f>IF($B1239="IN",$D1239,0)</f>
      </c>
      <c r="H1239" s="13">
        <f>IF($B1239="OUT",$D1239,0)</f>
      </c>
    </row>
    <row x14ac:dyDescent="0.25" r="1240" customHeight="1" ht="17.25">
      <c r="A1240" s="52"/>
      <c r="B1240" s="2"/>
      <c r="C1240" s="2"/>
      <c r="D1240" s="3"/>
      <c r="E1240" s="3"/>
      <c r="F1240" s="2"/>
      <c r="G1240" s="13">
        <f>IF($B1240="IN",$D1240,0)</f>
      </c>
      <c r="H1240" s="13">
        <f>IF($B1240="OUT",$D1240,0)</f>
      </c>
    </row>
    <row x14ac:dyDescent="0.25" r="1241" customHeight="1" ht="17.25">
      <c r="A1241" s="52"/>
      <c r="B1241" s="2"/>
      <c r="C1241" s="2"/>
      <c r="D1241" s="3"/>
      <c r="E1241" s="3"/>
      <c r="F1241" s="2"/>
      <c r="G1241" s="13">
        <f>IF($B1241="IN",$D1241,0)</f>
      </c>
      <c r="H1241" s="13">
        <f>IF($B1241="OUT",$D1241,0)</f>
      </c>
    </row>
    <row x14ac:dyDescent="0.25" r="1242" customHeight="1" ht="17.25">
      <c r="A1242" s="52"/>
      <c r="B1242" s="2"/>
      <c r="C1242" s="2"/>
      <c r="D1242" s="3"/>
      <c r="E1242" s="3"/>
      <c r="F1242" s="2"/>
      <c r="G1242" s="13">
        <f>IF($B1242="IN",$D1242,0)</f>
      </c>
      <c r="H1242" s="13">
        <f>IF($B1242="OUT",$D1242,0)</f>
      </c>
    </row>
    <row x14ac:dyDescent="0.25" r="1243" customHeight="1" ht="17.25">
      <c r="A1243" s="52"/>
      <c r="B1243" s="2"/>
      <c r="C1243" s="2"/>
      <c r="D1243" s="3"/>
      <c r="E1243" s="3"/>
      <c r="F1243" s="2"/>
      <c r="G1243" s="13">
        <f>IF($B1243="IN",$D1243,0)</f>
      </c>
      <c r="H1243" s="13">
        <f>IF($B1243="OUT",$D1243,0)</f>
      </c>
    </row>
    <row x14ac:dyDescent="0.25" r="1244" customHeight="1" ht="17.25">
      <c r="A1244" s="52"/>
      <c r="B1244" s="2"/>
      <c r="C1244" s="2"/>
      <c r="D1244" s="3"/>
      <c r="E1244" s="3"/>
      <c r="F1244" s="2"/>
      <c r="G1244" s="13">
        <f>IF($B1244="IN",$D1244,0)</f>
      </c>
      <c r="H1244" s="13">
        <f>IF($B1244="OUT",$D1244,0)</f>
      </c>
    </row>
    <row x14ac:dyDescent="0.25" r="1245" customHeight="1" ht="17.25">
      <c r="A1245" s="52"/>
      <c r="B1245" s="2"/>
      <c r="C1245" s="2"/>
      <c r="D1245" s="3"/>
      <c r="E1245" s="3"/>
      <c r="F1245" s="2"/>
      <c r="G1245" s="13">
        <f>IF($B1245="IN",$D1245,0)</f>
      </c>
      <c r="H1245" s="13">
        <f>IF($B1245="OUT",$D1245,0)</f>
      </c>
    </row>
    <row x14ac:dyDescent="0.25" r="1246" customHeight="1" ht="17.25">
      <c r="A1246" s="52"/>
      <c r="B1246" s="2"/>
      <c r="C1246" s="2"/>
      <c r="D1246" s="3"/>
      <c r="E1246" s="3"/>
      <c r="F1246" s="2"/>
      <c r="G1246" s="13">
        <f>IF($B1246="IN",$D1246,0)</f>
      </c>
      <c r="H1246" s="13">
        <f>IF($B1246="OUT",$D1246,0)</f>
      </c>
    </row>
    <row x14ac:dyDescent="0.25" r="1247" customHeight="1" ht="17.25">
      <c r="A1247" s="52"/>
      <c r="B1247" s="2"/>
      <c r="C1247" s="2"/>
      <c r="D1247" s="3"/>
      <c r="E1247" s="3"/>
      <c r="F1247" s="2"/>
      <c r="G1247" s="13">
        <f>IF($B1247="IN",$D1247,0)</f>
      </c>
      <c r="H1247" s="13">
        <f>IF($B1247="OUT",$D1247,0)</f>
      </c>
    </row>
    <row x14ac:dyDescent="0.25" r="1248" customHeight="1" ht="17.25">
      <c r="A1248" s="52"/>
      <c r="B1248" s="2"/>
      <c r="C1248" s="2"/>
      <c r="D1248" s="3"/>
      <c r="E1248" s="3"/>
      <c r="F1248" s="2"/>
      <c r="G1248" s="13">
        <f>IF($B1248="IN",$D1248,0)</f>
      </c>
      <c r="H1248" s="13">
        <f>IF($B1248="OUT",$D1248,0)</f>
      </c>
    </row>
    <row x14ac:dyDescent="0.25" r="1249" customHeight="1" ht="17.25">
      <c r="A1249" s="52"/>
      <c r="B1249" s="2"/>
      <c r="C1249" s="2"/>
      <c r="D1249" s="3"/>
      <c r="E1249" s="3"/>
      <c r="F1249" s="2"/>
      <c r="G1249" s="13">
        <f>IF($B1249="IN",$D1249,0)</f>
      </c>
      <c r="H1249" s="13">
        <f>IF($B1249="OUT",$D1249,0)</f>
      </c>
    </row>
    <row x14ac:dyDescent="0.25" r="1250" customHeight="1" ht="17.25">
      <c r="A1250" s="52"/>
      <c r="B1250" s="2"/>
      <c r="C1250" s="2"/>
      <c r="D1250" s="3"/>
      <c r="E1250" s="3"/>
      <c r="F1250" s="2"/>
      <c r="G1250" s="13">
        <f>IF($B1250="IN",$D1250,0)</f>
      </c>
      <c r="H1250" s="13">
        <f>IF($B1250="OUT",$D1250,0)</f>
      </c>
    </row>
    <row x14ac:dyDescent="0.25" r="1251" customHeight="1" ht="17.25">
      <c r="A1251" s="52"/>
      <c r="B1251" s="2"/>
      <c r="C1251" s="2"/>
      <c r="D1251" s="3"/>
      <c r="E1251" s="3"/>
      <c r="F1251" s="2"/>
      <c r="G1251" s="13">
        <f>IF($B1251="IN",$D1251,0)</f>
      </c>
      <c r="H1251" s="13">
        <f>IF($B1251="OUT",$D1251,0)</f>
      </c>
    </row>
    <row x14ac:dyDescent="0.25" r="1252" customHeight="1" ht="17.25">
      <c r="A1252" s="52"/>
      <c r="B1252" s="2"/>
      <c r="C1252" s="2"/>
      <c r="D1252" s="3"/>
      <c r="E1252" s="3"/>
      <c r="F1252" s="2"/>
      <c r="G1252" s="13">
        <f>IF($B1252="IN",$D1252,0)</f>
      </c>
      <c r="H1252" s="13">
        <f>IF($B1252="OUT",$D1252,0)</f>
      </c>
    </row>
    <row x14ac:dyDescent="0.25" r="1253" customHeight="1" ht="17.25">
      <c r="A1253" s="52"/>
      <c r="B1253" s="2"/>
      <c r="C1253" s="2"/>
      <c r="D1253" s="3"/>
      <c r="E1253" s="3"/>
      <c r="F1253" s="2"/>
      <c r="G1253" s="13">
        <f>IF($B1253="IN",$D1253,0)</f>
      </c>
      <c r="H1253" s="13">
        <f>IF($B1253="OUT",$D1253,0)</f>
      </c>
    </row>
    <row x14ac:dyDescent="0.25" r="1254" customHeight="1" ht="17.25">
      <c r="A1254" s="52"/>
      <c r="B1254" s="2"/>
      <c r="C1254" s="2"/>
      <c r="D1254" s="3"/>
      <c r="E1254" s="3"/>
      <c r="F1254" s="2"/>
      <c r="G1254" s="13">
        <f>IF($B1254="IN",$D1254,0)</f>
      </c>
      <c r="H1254" s="13">
        <f>IF($B1254="OUT",$D1254,0)</f>
      </c>
    </row>
    <row x14ac:dyDescent="0.25" r="1255" customHeight="1" ht="17.25">
      <c r="A1255" s="52"/>
      <c r="B1255" s="2"/>
      <c r="C1255" s="2"/>
      <c r="D1255" s="3"/>
      <c r="E1255" s="3"/>
      <c r="F1255" s="2"/>
      <c r="G1255" s="13">
        <f>IF($B1255="IN",$D1255,0)</f>
      </c>
      <c r="H1255" s="13">
        <f>IF($B1255="OUT",$D1255,0)</f>
      </c>
    </row>
    <row x14ac:dyDescent="0.25" r="1256" customHeight="1" ht="17.25">
      <c r="A1256" s="52"/>
      <c r="B1256" s="2"/>
      <c r="C1256" s="2"/>
      <c r="D1256" s="3"/>
      <c r="E1256" s="3"/>
      <c r="F1256" s="2"/>
      <c r="G1256" s="13">
        <f>IF($B1256="IN",$D1256,0)</f>
      </c>
      <c r="H1256" s="13">
        <f>IF($B1256="OUT",$D1256,0)</f>
      </c>
    </row>
    <row x14ac:dyDescent="0.25" r="1257" customHeight="1" ht="17.25">
      <c r="A1257" s="52"/>
      <c r="B1257" s="2"/>
      <c r="C1257" s="2"/>
      <c r="D1257" s="3"/>
      <c r="E1257" s="3"/>
      <c r="F1257" s="2"/>
      <c r="G1257" s="13">
        <f>IF($B1257="IN",$D1257,0)</f>
      </c>
      <c r="H1257" s="13">
        <f>IF($B1257="OUT",$D1257,0)</f>
      </c>
    </row>
    <row x14ac:dyDescent="0.25" r="1258" customHeight="1" ht="17.25">
      <c r="A1258" s="52"/>
      <c r="B1258" s="2"/>
      <c r="C1258" s="2"/>
      <c r="D1258" s="3"/>
      <c r="E1258" s="3"/>
      <c r="F1258" s="2"/>
      <c r="G1258" s="13">
        <f>IF($B1258="IN",$D1258,0)</f>
      </c>
      <c r="H1258" s="13">
        <f>IF($B1258="OUT",$D1258,0)</f>
      </c>
    </row>
    <row x14ac:dyDescent="0.25" r="1259" customHeight="1" ht="17.25">
      <c r="A1259" s="52"/>
      <c r="B1259" s="2"/>
      <c r="C1259" s="2"/>
      <c r="D1259" s="3"/>
      <c r="E1259" s="3"/>
      <c r="F1259" s="2"/>
      <c r="G1259" s="13">
        <f>IF($B1259="IN",$D1259,0)</f>
      </c>
      <c r="H1259" s="13">
        <f>IF($B1259="OUT",$D1259,0)</f>
      </c>
    </row>
    <row x14ac:dyDescent="0.25" r="1260" customHeight="1" ht="17.25">
      <c r="A1260" s="52"/>
      <c r="B1260" s="2"/>
      <c r="C1260" s="2"/>
      <c r="D1260" s="3"/>
      <c r="E1260" s="3"/>
      <c r="F1260" s="2"/>
      <c r="G1260" s="13">
        <f>IF($B1260="IN",$D1260,0)</f>
      </c>
      <c r="H1260" s="13">
        <f>IF($B1260="OUT",$D1260,0)</f>
      </c>
    </row>
    <row x14ac:dyDescent="0.25" r="1261" customHeight="1" ht="17.25">
      <c r="A1261" s="52"/>
      <c r="B1261" s="2"/>
      <c r="C1261" s="2"/>
      <c r="D1261" s="3"/>
      <c r="E1261" s="3"/>
      <c r="F1261" s="2"/>
      <c r="G1261" s="13">
        <f>IF($B1261="IN",$D1261,0)</f>
      </c>
      <c r="H1261" s="13">
        <f>IF($B1261="OUT",$D1261,0)</f>
      </c>
    </row>
    <row x14ac:dyDescent="0.25" r="1262" customHeight="1" ht="17.25">
      <c r="A1262" s="52"/>
      <c r="B1262" s="2"/>
      <c r="C1262" s="2"/>
      <c r="D1262" s="3"/>
      <c r="E1262" s="3"/>
      <c r="F1262" s="2"/>
      <c r="G1262" s="13">
        <f>IF($B1262="IN",$D1262,0)</f>
      </c>
      <c r="H1262" s="13">
        <f>IF($B1262="OUT",$D1262,0)</f>
      </c>
    </row>
    <row x14ac:dyDescent="0.25" r="1263" customHeight="1" ht="17.25">
      <c r="A1263" s="52"/>
      <c r="B1263" s="2"/>
      <c r="C1263" s="2"/>
      <c r="D1263" s="3"/>
      <c r="E1263" s="3"/>
      <c r="F1263" s="2"/>
      <c r="G1263" s="13">
        <f>IF($B1263="IN",$D1263,0)</f>
      </c>
      <c r="H1263" s="13">
        <f>IF($B1263="OUT",$D1263,0)</f>
      </c>
    </row>
    <row x14ac:dyDescent="0.25" r="1264" customHeight="1" ht="17.25">
      <c r="A1264" s="52"/>
      <c r="B1264" s="2"/>
      <c r="C1264" s="2"/>
      <c r="D1264" s="3"/>
      <c r="E1264" s="3"/>
      <c r="F1264" s="2"/>
      <c r="G1264" s="13">
        <f>IF($B1264="IN",$D1264,0)</f>
      </c>
      <c r="H1264" s="13">
        <f>IF($B1264="OUT",$D1264,0)</f>
      </c>
    </row>
    <row x14ac:dyDescent="0.25" r="1265" customHeight="1" ht="17.25">
      <c r="A1265" s="52"/>
      <c r="B1265" s="2"/>
      <c r="C1265" s="2"/>
      <c r="D1265" s="3"/>
      <c r="E1265" s="3"/>
      <c r="F1265" s="2"/>
      <c r="G1265" s="13">
        <f>IF($B1265="IN",$D1265,0)</f>
      </c>
      <c r="H1265" s="13">
        <f>IF($B1265="OUT",$D1265,0)</f>
      </c>
    </row>
    <row x14ac:dyDescent="0.25" r="1266" customHeight="1" ht="17.25">
      <c r="A1266" s="52"/>
      <c r="B1266" s="2"/>
      <c r="C1266" s="2"/>
      <c r="D1266" s="3"/>
      <c r="E1266" s="3"/>
      <c r="F1266" s="2"/>
      <c r="G1266" s="13">
        <f>IF($B1266="IN",$D1266,0)</f>
      </c>
      <c r="H1266" s="13">
        <f>IF($B1266="OUT",$D1266,0)</f>
      </c>
    </row>
    <row x14ac:dyDescent="0.25" r="1267" customHeight="1" ht="17.25">
      <c r="A1267" s="52"/>
      <c r="B1267" s="2"/>
      <c r="C1267" s="2"/>
      <c r="D1267" s="3"/>
      <c r="E1267" s="3"/>
      <c r="F1267" s="2"/>
      <c r="G1267" s="13">
        <f>IF($B1267="IN",$D1267,0)</f>
      </c>
      <c r="H1267" s="13">
        <f>IF($B1267="OUT",$D1267,0)</f>
      </c>
    </row>
    <row x14ac:dyDescent="0.25" r="1268" customHeight="1" ht="17.25">
      <c r="A1268" s="52"/>
      <c r="B1268" s="2"/>
      <c r="C1268" s="2"/>
      <c r="D1268" s="3"/>
      <c r="E1268" s="3"/>
      <c r="F1268" s="2"/>
      <c r="G1268" s="13">
        <f>IF($B1268="IN",$D1268,0)</f>
      </c>
      <c r="H1268" s="13">
        <f>IF($B1268="OUT",$D1268,0)</f>
      </c>
    </row>
    <row x14ac:dyDescent="0.25" r="1269" customHeight="1" ht="17.25">
      <c r="A1269" s="52"/>
      <c r="B1269" s="2"/>
      <c r="C1269" s="2"/>
      <c r="D1269" s="3"/>
      <c r="E1269" s="3"/>
      <c r="F1269" s="2"/>
      <c r="G1269" s="13">
        <f>IF($B1269="IN",$D1269,0)</f>
      </c>
      <c r="H1269" s="13">
        <f>IF($B1269="OUT",$D1269,0)</f>
      </c>
    </row>
    <row x14ac:dyDescent="0.25" r="1270" customHeight="1" ht="17.25">
      <c r="A1270" s="52"/>
      <c r="B1270" s="2"/>
      <c r="C1270" s="2"/>
      <c r="D1270" s="3"/>
      <c r="E1270" s="3"/>
      <c r="F1270" s="2"/>
      <c r="G1270" s="13">
        <f>IF($B1270="IN",$D1270,0)</f>
      </c>
      <c r="H1270" s="13">
        <f>IF($B1270="OUT",$D1270,0)</f>
      </c>
    </row>
    <row x14ac:dyDescent="0.25" r="1271" customHeight="1" ht="17.25">
      <c r="A1271" s="52"/>
      <c r="B1271" s="2"/>
      <c r="C1271" s="2"/>
      <c r="D1271" s="3"/>
      <c r="E1271" s="3"/>
      <c r="F1271" s="2"/>
      <c r="G1271" s="13">
        <f>IF($B1271="IN",$D1271,0)</f>
      </c>
      <c r="H1271" s="13">
        <f>IF($B1271="OUT",$D1271,0)</f>
      </c>
    </row>
    <row x14ac:dyDescent="0.25" r="1272" customHeight="1" ht="17.25">
      <c r="A1272" s="52"/>
      <c r="B1272" s="2"/>
      <c r="C1272" s="2"/>
      <c r="D1272" s="3"/>
      <c r="E1272" s="3"/>
      <c r="F1272" s="2"/>
      <c r="G1272" s="13">
        <f>IF($B1272="IN",$D1272,0)</f>
      </c>
      <c r="H1272" s="13">
        <f>IF($B1272="OUT",$D1272,0)</f>
      </c>
    </row>
    <row x14ac:dyDescent="0.25" r="1273" customHeight="1" ht="17.25">
      <c r="A1273" s="52"/>
      <c r="B1273" s="2"/>
      <c r="C1273" s="2"/>
      <c r="D1273" s="3"/>
      <c r="E1273" s="3"/>
      <c r="F1273" s="2"/>
      <c r="G1273" s="13">
        <f>IF($B1273="IN",$D1273,0)</f>
      </c>
      <c r="H1273" s="13">
        <f>IF($B1273="OUT",$D1273,0)</f>
      </c>
    </row>
    <row x14ac:dyDescent="0.25" r="1274" customHeight="1" ht="17.25">
      <c r="A1274" s="52"/>
      <c r="B1274" s="2"/>
      <c r="C1274" s="2"/>
      <c r="D1274" s="3"/>
      <c r="E1274" s="3"/>
      <c r="F1274" s="2"/>
      <c r="G1274" s="13">
        <f>IF($B1274="IN",$D1274,0)</f>
      </c>
      <c r="H1274" s="13">
        <f>IF($B1274="OUT",$D1274,0)</f>
      </c>
    </row>
    <row x14ac:dyDescent="0.25" r="1275" customHeight="1" ht="17.25">
      <c r="A1275" s="52"/>
      <c r="B1275" s="2"/>
      <c r="C1275" s="2"/>
      <c r="D1275" s="3"/>
      <c r="E1275" s="3"/>
      <c r="F1275" s="2"/>
      <c r="G1275" s="13">
        <f>IF($B1275="IN",$D1275,0)</f>
      </c>
      <c r="H1275" s="13">
        <f>IF($B1275="OUT",$D1275,0)</f>
      </c>
    </row>
    <row x14ac:dyDescent="0.25" r="1276" customHeight="1" ht="17.25">
      <c r="A1276" s="52"/>
      <c r="B1276" s="2"/>
      <c r="C1276" s="2"/>
      <c r="D1276" s="3"/>
      <c r="E1276" s="3"/>
      <c r="F1276" s="2"/>
      <c r="G1276" s="13">
        <f>IF($B1276="IN",$D1276,0)</f>
      </c>
      <c r="H1276" s="13">
        <f>IF($B1276="OUT",$D1276,0)</f>
      </c>
    </row>
    <row x14ac:dyDescent="0.25" r="1277" customHeight="1" ht="17.25">
      <c r="A1277" s="52"/>
      <c r="B1277" s="2"/>
      <c r="C1277" s="2"/>
      <c r="D1277" s="3"/>
      <c r="E1277" s="3"/>
      <c r="F1277" s="2"/>
      <c r="G1277" s="13">
        <f>IF($B1277="IN",$D1277,0)</f>
      </c>
      <c r="H1277" s="13">
        <f>IF($B1277="OUT",$D1277,0)</f>
      </c>
    </row>
    <row x14ac:dyDescent="0.25" r="1278" customHeight="1" ht="17.25">
      <c r="A1278" s="52"/>
      <c r="B1278" s="2"/>
      <c r="C1278" s="2"/>
      <c r="D1278" s="3"/>
      <c r="E1278" s="3"/>
      <c r="F1278" s="2"/>
      <c r="G1278" s="13">
        <f>IF($B1278="IN",$D1278,0)</f>
      </c>
      <c r="H1278" s="13">
        <f>IF($B1278="OUT",$D1278,0)</f>
      </c>
    </row>
    <row x14ac:dyDescent="0.25" r="1279" customHeight="1" ht="17.25">
      <c r="A1279" s="52"/>
      <c r="B1279" s="2"/>
      <c r="C1279" s="2"/>
      <c r="D1279" s="3"/>
      <c r="E1279" s="3"/>
      <c r="F1279" s="2"/>
      <c r="G1279" s="13">
        <f>IF($B1279="IN",$D1279,0)</f>
      </c>
      <c r="H1279" s="13">
        <f>IF($B1279="OUT",$D1279,0)</f>
      </c>
    </row>
    <row x14ac:dyDescent="0.25" r="1280" customHeight="1" ht="17.25">
      <c r="A1280" s="52"/>
      <c r="B1280" s="2"/>
      <c r="C1280" s="2"/>
      <c r="D1280" s="3"/>
      <c r="E1280" s="3"/>
      <c r="F1280" s="2"/>
      <c r="G1280" s="13">
        <f>IF($B1280="IN",$D1280,0)</f>
      </c>
      <c r="H1280" s="13">
        <f>IF($B1280="OUT",$D1280,0)</f>
      </c>
    </row>
    <row x14ac:dyDescent="0.25" r="1281" customHeight="1" ht="17.25">
      <c r="A1281" s="52"/>
      <c r="B1281" s="2"/>
      <c r="C1281" s="2"/>
      <c r="D1281" s="3"/>
      <c r="E1281" s="3"/>
      <c r="F1281" s="2"/>
      <c r="G1281" s="13">
        <f>IF($B1281="IN",$D1281,0)</f>
      </c>
      <c r="H1281" s="13">
        <f>IF($B1281="OUT",$D1281,0)</f>
      </c>
    </row>
    <row x14ac:dyDescent="0.25" r="1282" customHeight="1" ht="17.25">
      <c r="A1282" s="52"/>
      <c r="B1282" s="2"/>
      <c r="C1282" s="2"/>
      <c r="D1282" s="3"/>
      <c r="E1282" s="3"/>
      <c r="F1282" s="2"/>
      <c r="G1282" s="13">
        <f>IF($B1282="IN",$D1282,0)</f>
      </c>
      <c r="H1282" s="13">
        <f>IF($B1282="OUT",$D1282,0)</f>
      </c>
    </row>
    <row x14ac:dyDescent="0.25" r="1283" customHeight="1" ht="17.25">
      <c r="A1283" s="52"/>
      <c r="B1283" s="2"/>
      <c r="C1283" s="2"/>
      <c r="D1283" s="3"/>
      <c r="E1283" s="3"/>
      <c r="F1283" s="2"/>
      <c r="G1283" s="13">
        <f>IF($B1283="IN",$D1283,0)</f>
      </c>
      <c r="H1283" s="13">
        <f>IF($B1283="OUT",$D1283,0)</f>
      </c>
    </row>
    <row x14ac:dyDescent="0.25" r="1284" customHeight="1" ht="17.25">
      <c r="A1284" s="52"/>
      <c r="B1284" s="2"/>
      <c r="C1284" s="2"/>
      <c r="D1284" s="3"/>
      <c r="E1284" s="3"/>
      <c r="F1284" s="2"/>
      <c r="G1284" s="13">
        <f>IF($B1284="IN",$D1284,0)</f>
      </c>
      <c r="H1284" s="13">
        <f>IF($B1284="OUT",$D1284,0)</f>
      </c>
    </row>
    <row x14ac:dyDescent="0.25" r="1285" customHeight="1" ht="17.25">
      <c r="A1285" s="52"/>
      <c r="B1285" s="2"/>
      <c r="C1285" s="2"/>
      <c r="D1285" s="3"/>
      <c r="E1285" s="3"/>
      <c r="F1285" s="2"/>
      <c r="G1285" s="13">
        <f>IF($B1285="IN",$D1285,0)</f>
      </c>
      <c r="H1285" s="13">
        <f>IF($B1285="OUT",$D1285,0)</f>
      </c>
    </row>
    <row x14ac:dyDescent="0.25" r="1286" customHeight="1" ht="17.25">
      <c r="A1286" s="52"/>
      <c r="B1286" s="2"/>
      <c r="C1286" s="2"/>
      <c r="D1286" s="3"/>
      <c r="E1286" s="3"/>
      <c r="F1286" s="2"/>
      <c r="G1286" s="13">
        <f>IF($B1286="IN",$D1286,0)</f>
      </c>
      <c r="H1286" s="13">
        <f>IF($B1286="OUT",$D1286,0)</f>
      </c>
    </row>
    <row x14ac:dyDescent="0.25" r="1287" customHeight="1" ht="17.25">
      <c r="A1287" s="52"/>
      <c r="B1287" s="2"/>
      <c r="C1287" s="2"/>
      <c r="D1287" s="3"/>
      <c r="E1287" s="3"/>
      <c r="F1287" s="2"/>
      <c r="G1287" s="13">
        <f>IF($B1287="IN",$D1287,0)</f>
      </c>
      <c r="H1287" s="13">
        <f>IF($B1287="OUT",$D1287,0)</f>
      </c>
    </row>
    <row x14ac:dyDescent="0.25" r="1288" customHeight="1" ht="17.25">
      <c r="A1288" s="52"/>
      <c r="B1288" s="2"/>
      <c r="C1288" s="2"/>
      <c r="D1288" s="3"/>
      <c r="E1288" s="3"/>
      <c r="F1288" s="2"/>
      <c r="G1288" s="13">
        <f>IF($B1288="IN",$D1288,0)</f>
      </c>
      <c r="H1288" s="13">
        <f>IF($B1288="OUT",$D1288,0)</f>
      </c>
    </row>
    <row x14ac:dyDescent="0.25" r="1289" customHeight="1" ht="17.25">
      <c r="A1289" s="52"/>
      <c r="B1289" s="2"/>
      <c r="C1289" s="2"/>
      <c r="D1289" s="3"/>
      <c r="E1289" s="3"/>
      <c r="F1289" s="2"/>
      <c r="G1289" s="13">
        <f>IF($B1289="IN",$D1289,0)</f>
      </c>
      <c r="H1289" s="13">
        <f>IF($B1289="OUT",$D1289,0)</f>
      </c>
    </row>
    <row x14ac:dyDescent="0.25" r="1290" customHeight="1" ht="17.25">
      <c r="A1290" s="52"/>
      <c r="B1290" s="2"/>
      <c r="C1290" s="2"/>
      <c r="D1290" s="3"/>
      <c r="E1290" s="3"/>
      <c r="F1290" s="2"/>
      <c r="G1290" s="13">
        <f>IF($B1290="IN",$D1290,0)</f>
      </c>
      <c r="H1290" s="13">
        <f>IF($B1290="OUT",$D1290,0)</f>
      </c>
    </row>
    <row x14ac:dyDescent="0.25" r="1291" customHeight="1" ht="17.25">
      <c r="A1291" s="52"/>
      <c r="B1291" s="2"/>
      <c r="C1291" s="2"/>
      <c r="D1291" s="3"/>
      <c r="E1291" s="3"/>
      <c r="F1291" s="2"/>
      <c r="G1291" s="13">
        <f>IF($B1291="IN",$D1291,0)</f>
      </c>
      <c r="H1291" s="13">
        <f>IF($B1291="OUT",$D1291,0)</f>
      </c>
    </row>
    <row x14ac:dyDescent="0.25" r="1292" customHeight="1" ht="17.25">
      <c r="A1292" s="52"/>
      <c r="B1292" s="2"/>
      <c r="C1292" s="2"/>
      <c r="D1292" s="3"/>
      <c r="E1292" s="3"/>
      <c r="F1292" s="2"/>
      <c r="G1292" s="13">
        <f>IF($B1292="IN",$D1292,0)</f>
      </c>
      <c r="H1292" s="13">
        <f>IF($B1292="OUT",$D1292,0)</f>
      </c>
    </row>
    <row x14ac:dyDescent="0.25" r="1293" customHeight="1" ht="17.25">
      <c r="A1293" s="52"/>
      <c r="B1293" s="2"/>
      <c r="C1293" s="2"/>
      <c r="D1293" s="3"/>
      <c r="E1293" s="3"/>
      <c r="F1293" s="2"/>
      <c r="G1293" s="13">
        <f>IF($B1293="IN",$D1293,0)</f>
      </c>
      <c r="H1293" s="13">
        <f>IF($B1293="OUT",$D1293,0)</f>
      </c>
    </row>
    <row x14ac:dyDescent="0.25" r="1294" customHeight="1" ht="17.25">
      <c r="A1294" s="52"/>
      <c r="B1294" s="2"/>
      <c r="C1294" s="2"/>
      <c r="D1294" s="3"/>
      <c r="E1294" s="3"/>
      <c r="F1294" s="2"/>
      <c r="G1294" s="13">
        <f>IF($B1294="IN",$D1294,0)</f>
      </c>
      <c r="H1294" s="13">
        <f>IF($B1294="OUT",$D1294,0)</f>
      </c>
    </row>
    <row x14ac:dyDescent="0.25" r="1295" customHeight="1" ht="17.25">
      <c r="A1295" s="52"/>
      <c r="B1295" s="2"/>
      <c r="C1295" s="2"/>
      <c r="D1295" s="3"/>
      <c r="E1295" s="3"/>
      <c r="F1295" s="2"/>
      <c r="G1295" s="13">
        <f>IF($B1295="IN",$D1295,0)</f>
      </c>
      <c r="H1295" s="13">
        <f>IF($B1295="OUT",$D1295,0)</f>
      </c>
    </row>
    <row x14ac:dyDescent="0.25" r="1296" customHeight="1" ht="17.25">
      <c r="A1296" s="52"/>
      <c r="B1296" s="2"/>
      <c r="C1296" s="2"/>
      <c r="D1296" s="3"/>
      <c r="E1296" s="3"/>
      <c r="F1296" s="2"/>
      <c r="G1296" s="13">
        <f>IF($B1296="IN",$D1296,0)</f>
      </c>
      <c r="H1296" s="13">
        <f>IF($B1296="OUT",$D1296,0)</f>
      </c>
    </row>
    <row x14ac:dyDescent="0.25" r="1297" customHeight="1" ht="17.25">
      <c r="A1297" s="52"/>
      <c r="B1297" s="2"/>
      <c r="C1297" s="2"/>
      <c r="D1297" s="3"/>
      <c r="E1297" s="3"/>
      <c r="F1297" s="2"/>
      <c r="G1297" s="13">
        <f>IF($B1297="IN",$D1297,0)</f>
      </c>
      <c r="H1297" s="13">
        <f>IF($B1297="OUT",$D1297,0)</f>
      </c>
    </row>
    <row x14ac:dyDescent="0.25" r="1298" customHeight="1" ht="17.25">
      <c r="A1298" s="52"/>
      <c r="B1298" s="2"/>
      <c r="C1298" s="2"/>
      <c r="D1298" s="3"/>
      <c r="E1298" s="3"/>
      <c r="F1298" s="2"/>
      <c r="G1298" s="13">
        <f>IF($B1298="IN",$D1298,0)</f>
      </c>
      <c r="H1298" s="13">
        <f>IF($B1298="OUT",$D1298,0)</f>
      </c>
    </row>
    <row x14ac:dyDescent="0.25" r="1299" customHeight="1" ht="17.25">
      <c r="A1299" s="52"/>
      <c r="B1299" s="2"/>
      <c r="C1299" s="2"/>
      <c r="D1299" s="3"/>
      <c r="E1299" s="3"/>
      <c r="F1299" s="2"/>
      <c r="G1299" s="13">
        <f>IF($B1299="IN",$D1299,0)</f>
      </c>
      <c r="H1299" s="13">
        <f>IF($B1299="OUT",$D1299,0)</f>
      </c>
    </row>
    <row x14ac:dyDescent="0.25" r="1300" customHeight="1" ht="17.25">
      <c r="A1300" s="52"/>
      <c r="B1300" s="2"/>
      <c r="C1300" s="2"/>
      <c r="D1300" s="3"/>
      <c r="E1300" s="3"/>
      <c r="F1300" s="2"/>
      <c r="G1300" s="13">
        <f>IF($B1300="IN",$D1300,0)</f>
      </c>
      <c r="H1300" s="13">
        <f>IF($B1300="OUT",$D1300,0)</f>
      </c>
    </row>
    <row x14ac:dyDescent="0.25" r="1301" customHeight="1" ht="17.25">
      <c r="A1301" s="52"/>
      <c r="B1301" s="2"/>
      <c r="C1301" s="2"/>
      <c r="D1301" s="3"/>
      <c r="E1301" s="3"/>
      <c r="F1301" s="2"/>
      <c r="G1301" s="13">
        <f>IF($B1301="IN",$D1301,0)</f>
      </c>
      <c r="H1301" s="13">
        <f>IF($B1301="OUT",$D1301,0)</f>
      </c>
    </row>
    <row x14ac:dyDescent="0.25" r="1302" customHeight="1" ht="17.25">
      <c r="A1302" s="52"/>
      <c r="B1302" s="2"/>
      <c r="C1302" s="2"/>
      <c r="D1302" s="3"/>
      <c r="E1302" s="3"/>
      <c r="F1302" s="2"/>
      <c r="G1302" s="13">
        <f>IF($B1302="IN",$D1302,0)</f>
      </c>
      <c r="H1302" s="13">
        <f>IF($B1302="OUT",$D1302,0)</f>
      </c>
    </row>
    <row x14ac:dyDescent="0.25" r="1303" customHeight="1" ht="17.25">
      <c r="A1303" s="52"/>
      <c r="B1303" s="2"/>
      <c r="C1303" s="2"/>
      <c r="D1303" s="3"/>
      <c r="E1303" s="3"/>
      <c r="F1303" s="2"/>
      <c r="G1303" s="13">
        <f>IF($B1303="IN",$D1303,0)</f>
      </c>
      <c r="H1303" s="13">
        <f>IF($B1303="OUT",$D1303,0)</f>
      </c>
    </row>
    <row x14ac:dyDescent="0.25" r="1304" customHeight="1" ht="17.25">
      <c r="A1304" s="52"/>
      <c r="B1304" s="2"/>
      <c r="C1304" s="2"/>
      <c r="D1304" s="3"/>
      <c r="E1304" s="3"/>
      <c r="F1304" s="2"/>
      <c r="G1304" s="13">
        <f>IF($B1304="IN",$D1304,0)</f>
      </c>
      <c r="H1304" s="13">
        <f>IF($B1304="OUT",$D1304,0)</f>
      </c>
    </row>
    <row x14ac:dyDescent="0.25" r="1305" customHeight="1" ht="17.25">
      <c r="A1305" s="52"/>
      <c r="B1305" s="2"/>
      <c r="C1305" s="2"/>
      <c r="D1305" s="3"/>
      <c r="E1305" s="3"/>
      <c r="F1305" s="2"/>
      <c r="G1305" s="13">
        <f>IF($B1305="IN",$D1305,0)</f>
      </c>
      <c r="H1305" s="13">
        <f>IF($B1305="OUT",$D1305,0)</f>
      </c>
    </row>
    <row x14ac:dyDescent="0.25" r="1306" customHeight="1" ht="17.25">
      <c r="A1306" s="52"/>
      <c r="B1306" s="2"/>
      <c r="C1306" s="2"/>
      <c r="D1306" s="3"/>
      <c r="E1306" s="3"/>
      <c r="F1306" s="2"/>
      <c r="G1306" s="13">
        <f>IF($B1306="IN",$D1306,0)</f>
      </c>
      <c r="H1306" s="13">
        <f>IF($B1306="OUT",$D1306,0)</f>
      </c>
    </row>
    <row x14ac:dyDescent="0.25" r="1307" customHeight="1" ht="17.25">
      <c r="A1307" s="52"/>
      <c r="B1307" s="2"/>
      <c r="C1307" s="2"/>
      <c r="D1307" s="3"/>
      <c r="E1307" s="3"/>
      <c r="F1307" s="2"/>
      <c r="G1307" s="13">
        <f>IF($B1307="IN",$D1307,0)</f>
      </c>
      <c r="H1307" s="13">
        <f>IF($B1307="OUT",$D1307,0)</f>
      </c>
    </row>
    <row x14ac:dyDescent="0.25" r="1308" customHeight="1" ht="17.25">
      <c r="A1308" s="52"/>
      <c r="B1308" s="2"/>
      <c r="C1308" s="2"/>
      <c r="D1308" s="3"/>
      <c r="E1308" s="3"/>
      <c r="F1308" s="2"/>
      <c r="G1308" s="13">
        <f>IF($B1308="IN",$D1308,0)</f>
      </c>
      <c r="H1308" s="13">
        <f>IF($B1308="OUT",$D1308,0)</f>
      </c>
    </row>
    <row x14ac:dyDescent="0.25" r="1309" customHeight="1" ht="17.25">
      <c r="A1309" s="52"/>
      <c r="B1309" s="2"/>
      <c r="C1309" s="2"/>
      <c r="D1309" s="3"/>
      <c r="E1309" s="3"/>
      <c r="F1309" s="2"/>
      <c r="G1309" s="13">
        <f>IF($B1309="IN",$D1309,0)</f>
      </c>
      <c r="H1309" s="13">
        <f>IF($B1309="OUT",$D1309,0)</f>
      </c>
    </row>
    <row x14ac:dyDescent="0.25" r="1310" customHeight="1" ht="17.25">
      <c r="A1310" s="52"/>
      <c r="B1310" s="2"/>
      <c r="C1310" s="2"/>
      <c r="D1310" s="3"/>
      <c r="E1310" s="3"/>
      <c r="F1310" s="2"/>
      <c r="G1310" s="13">
        <f>IF($B1310="IN",$D1310,0)</f>
      </c>
      <c r="H1310" s="13">
        <f>IF($B1310="OUT",$D1310,0)</f>
      </c>
    </row>
    <row x14ac:dyDescent="0.25" r="1311" customHeight="1" ht="17.25">
      <c r="A1311" s="52"/>
      <c r="B1311" s="2"/>
      <c r="C1311" s="2"/>
      <c r="D1311" s="3"/>
      <c r="E1311" s="3"/>
      <c r="F1311" s="2"/>
      <c r="G1311" s="13">
        <f>IF($B1311="IN",$D1311,0)</f>
      </c>
      <c r="H1311" s="13">
        <f>IF($B1311="OUT",$D1311,0)</f>
      </c>
    </row>
    <row x14ac:dyDescent="0.25" r="1312" customHeight="1" ht="17.25">
      <c r="A1312" s="52"/>
      <c r="B1312" s="2"/>
      <c r="C1312" s="2"/>
      <c r="D1312" s="3"/>
      <c r="E1312" s="3"/>
      <c r="F1312" s="2"/>
      <c r="G1312" s="13">
        <f>IF($B1312="IN",$D1312,0)</f>
      </c>
      <c r="H1312" s="13">
        <f>IF($B1312="OUT",$D1312,0)</f>
      </c>
    </row>
    <row x14ac:dyDescent="0.25" r="1313" customHeight="1" ht="17.25">
      <c r="A1313" s="52"/>
      <c r="B1313" s="2"/>
      <c r="C1313" s="2"/>
      <c r="D1313" s="3"/>
      <c r="E1313" s="3"/>
      <c r="F1313" s="2"/>
      <c r="G1313" s="13">
        <f>IF($B1313="IN",$D1313,0)</f>
      </c>
      <c r="H1313" s="13">
        <f>IF($B1313="OUT",$D1313,0)</f>
      </c>
    </row>
    <row x14ac:dyDescent="0.25" r="1314" customHeight="1" ht="17.25">
      <c r="A1314" s="52"/>
      <c r="B1314" s="2"/>
      <c r="C1314" s="2"/>
      <c r="D1314" s="3"/>
      <c r="E1314" s="3"/>
      <c r="F1314" s="2"/>
      <c r="G1314" s="13">
        <f>IF($B1314="IN",$D1314,0)</f>
      </c>
      <c r="H1314" s="13">
        <f>IF($B1314="OUT",$D1314,0)</f>
      </c>
    </row>
    <row x14ac:dyDescent="0.25" r="1315" customHeight="1" ht="17.25">
      <c r="A1315" s="52"/>
      <c r="B1315" s="2"/>
      <c r="C1315" s="2"/>
      <c r="D1315" s="3"/>
      <c r="E1315" s="3"/>
      <c r="F1315" s="2"/>
      <c r="G1315" s="13">
        <f>IF($B1315="IN",$D1315,0)</f>
      </c>
      <c r="H1315" s="13">
        <f>IF($B1315="OUT",$D1315,0)</f>
      </c>
    </row>
    <row x14ac:dyDescent="0.25" r="1316" customHeight="1" ht="17.25">
      <c r="A1316" s="52"/>
      <c r="B1316" s="2"/>
      <c r="C1316" s="2"/>
      <c r="D1316" s="3"/>
      <c r="E1316" s="3"/>
      <c r="F1316" s="2"/>
      <c r="G1316" s="13">
        <f>IF($B1316="IN",$D1316,0)</f>
      </c>
      <c r="H1316" s="13">
        <f>IF($B1316="OUT",$D1316,0)</f>
      </c>
    </row>
    <row x14ac:dyDescent="0.25" r="1317" customHeight="1" ht="17.25">
      <c r="A1317" s="52"/>
      <c r="B1317" s="2"/>
      <c r="C1317" s="2"/>
      <c r="D1317" s="3"/>
      <c r="E1317" s="3"/>
      <c r="F1317" s="2"/>
      <c r="G1317" s="13">
        <f>IF($B1317="IN",$D1317,0)</f>
      </c>
      <c r="H1317" s="13">
        <f>IF($B1317="OUT",$D1317,0)</f>
      </c>
    </row>
    <row x14ac:dyDescent="0.25" r="1318" customHeight="1" ht="17.25">
      <c r="A1318" s="52"/>
      <c r="B1318" s="2"/>
      <c r="C1318" s="2"/>
      <c r="D1318" s="3"/>
      <c r="E1318" s="3"/>
      <c r="F1318" s="2"/>
      <c r="G1318" s="13">
        <f>IF($B1318="IN",$D1318,0)</f>
      </c>
      <c r="H1318" s="13">
        <f>IF($B1318="OUT",$D1318,0)</f>
      </c>
    </row>
    <row x14ac:dyDescent="0.25" r="1319" customHeight="1" ht="17.25">
      <c r="A1319" s="52"/>
      <c r="B1319" s="2"/>
      <c r="C1319" s="2"/>
      <c r="D1319" s="3"/>
      <c r="E1319" s="3"/>
      <c r="F1319" s="2"/>
      <c r="G1319" s="13">
        <f>IF($B1319="IN",$D1319,0)</f>
      </c>
      <c r="H1319" s="13">
        <f>IF($B1319="OUT",$D1319,0)</f>
      </c>
    </row>
    <row x14ac:dyDescent="0.25" r="1320" customHeight="1" ht="17.25">
      <c r="A1320" s="52"/>
      <c r="B1320" s="2"/>
      <c r="C1320" s="2"/>
      <c r="D1320" s="3"/>
      <c r="E1320" s="3"/>
      <c r="F1320" s="2"/>
      <c r="G1320" s="13">
        <f>IF($B1320="IN",$D1320,0)</f>
      </c>
      <c r="H1320" s="13">
        <f>IF($B1320="OUT",$D1320,0)</f>
      </c>
    </row>
    <row x14ac:dyDescent="0.25" r="1321" customHeight="1" ht="17.25">
      <c r="A1321" s="52"/>
      <c r="B1321" s="2"/>
      <c r="C1321" s="2"/>
      <c r="D1321" s="3"/>
      <c r="E1321" s="3"/>
      <c r="F1321" s="2"/>
      <c r="G1321" s="13">
        <f>IF($B1321="IN",$D1321,0)</f>
      </c>
      <c r="H1321" s="13">
        <f>IF($B1321="OUT",$D1321,0)</f>
      </c>
    </row>
    <row x14ac:dyDescent="0.25" r="1322" customHeight="1" ht="17.25">
      <c r="A1322" s="52"/>
      <c r="B1322" s="2"/>
      <c r="C1322" s="2"/>
      <c r="D1322" s="3"/>
      <c r="E1322" s="3"/>
      <c r="F1322" s="2"/>
      <c r="G1322" s="13">
        <f>IF($B1322="IN",$D1322,0)</f>
      </c>
      <c r="H1322" s="13">
        <f>IF($B1322="OUT",$D1322,0)</f>
      </c>
    </row>
    <row x14ac:dyDescent="0.25" r="1323" customHeight="1" ht="17.25">
      <c r="A1323" s="52"/>
      <c r="B1323" s="2"/>
      <c r="C1323" s="2"/>
      <c r="D1323" s="3"/>
      <c r="E1323" s="3"/>
      <c r="F1323" s="2"/>
      <c r="G1323" s="13">
        <f>IF($B1323="IN",$D1323,0)</f>
      </c>
      <c r="H1323" s="13">
        <f>IF($B1323="OUT",$D1323,0)</f>
      </c>
    </row>
    <row x14ac:dyDescent="0.25" r="1324" customHeight="1" ht="17.25">
      <c r="A1324" s="52"/>
      <c r="B1324" s="2"/>
      <c r="C1324" s="2"/>
      <c r="D1324" s="3"/>
      <c r="E1324" s="3"/>
      <c r="F1324" s="2"/>
      <c r="G1324" s="13">
        <f>IF($B1324="IN",$D1324,0)</f>
      </c>
      <c r="H1324" s="13">
        <f>IF($B1324="OUT",$D1324,0)</f>
      </c>
    </row>
    <row x14ac:dyDescent="0.25" r="1325" customHeight="1" ht="17.25">
      <c r="A1325" s="52"/>
      <c r="B1325" s="2"/>
      <c r="C1325" s="2"/>
      <c r="D1325" s="3"/>
      <c r="E1325" s="3"/>
      <c r="F1325" s="2"/>
      <c r="G1325" s="13">
        <f>IF($B1325="IN",$D1325,0)</f>
      </c>
      <c r="H1325" s="13">
        <f>IF($B1325="OUT",$D1325,0)</f>
      </c>
    </row>
    <row x14ac:dyDescent="0.25" r="1326" customHeight="1" ht="17.25">
      <c r="A1326" s="52"/>
      <c r="B1326" s="2"/>
      <c r="C1326" s="2"/>
      <c r="D1326" s="3"/>
      <c r="E1326" s="3"/>
      <c r="F1326" s="2"/>
      <c r="G1326" s="13">
        <f>IF($B1326="IN",$D1326,0)</f>
      </c>
      <c r="H1326" s="13">
        <f>IF($B1326="OUT",$D1326,0)</f>
      </c>
    </row>
    <row x14ac:dyDescent="0.25" r="1327" customHeight="1" ht="17.25">
      <c r="A1327" s="52"/>
      <c r="B1327" s="2"/>
      <c r="C1327" s="2"/>
      <c r="D1327" s="3"/>
      <c r="E1327" s="3"/>
      <c r="F1327" s="2"/>
      <c r="G1327" s="13">
        <f>IF($B1327="IN",$D1327,0)</f>
      </c>
      <c r="H1327" s="13">
        <f>IF($B1327="OUT",$D1327,0)</f>
      </c>
    </row>
    <row x14ac:dyDescent="0.25" r="1328" customHeight="1" ht="17.25">
      <c r="A1328" s="52"/>
      <c r="B1328" s="2"/>
      <c r="C1328" s="2"/>
      <c r="D1328" s="3"/>
      <c r="E1328" s="3"/>
      <c r="F1328" s="2"/>
      <c r="G1328" s="13">
        <f>IF($B1328="IN",$D1328,0)</f>
      </c>
      <c r="H1328" s="13">
        <f>IF($B1328="OUT",$D1328,0)</f>
      </c>
    </row>
    <row x14ac:dyDescent="0.25" r="1329" customHeight="1" ht="17.25">
      <c r="A1329" s="52"/>
      <c r="B1329" s="2"/>
      <c r="C1329" s="2"/>
      <c r="D1329" s="3"/>
      <c r="E1329" s="3"/>
      <c r="F1329" s="2"/>
      <c r="G1329" s="13">
        <f>IF($B1329="IN",$D1329,0)</f>
      </c>
      <c r="H1329" s="13">
        <f>IF($B1329="OUT",$D1329,0)</f>
      </c>
    </row>
    <row x14ac:dyDescent="0.25" r="1330" customHeight="1" ht="17.25">
      <c r="A1330" s="52"/>
      <c r="B1330" s="2"/>
      <c r="C1330" s="2"/>
      <c r="D1330" s="3"/>
      <c r="E1330" s="3"/>
      <c r="F1330" s="2"/>
      <c r="G1330" s="13">
        <f>IF($B1330="IN",$D1330,0)</f>
      </c>
      <c r="H1330" s="13">
        <f>IF($B1330="OUT",$D1330,0)</f>
      </c>
    </row>
    <row x14ac:dyDescent="0.25" r="1331" customHeight="1" ht="17.25">
      <c r="A1331" s="52"/>
      <c r="B1331" s="2"/>
      <c r="C1331" s="2"/>
      <c r="D1331" s="3"/>
      <c r="E1331" s="3"/>
      <c r="F1331" s="2"/>
      <c r="G1331" s="13">
        <f>IF($B1331="IN",$D1331,0)</f>
      </c>
      <c r="H1331" s="13">
        <f>IF($B1331="OUT",$D1331,0)</f>
      </c>
    </row>
    <row x14ac:dyDescent="0.25" r="1332" customHeight="1" ht="17.25">
      <c r="A1332" s="52"/>
      <c r="B1332" s="2"/>
      <c r="C1332" s="2"/>
      <c r="D1332" s="3"/>
      <c r="E1332" s="3"/>
      <c r="F1332" s="2"/>
      <c r="G1332" s="13">
        <f>IF($B1332="IN",$D1332,0)</f>
      </c>
      <c r="H1332" s="13">
        <f>IF($B1332="OUT",$D1332,0)</f>
      </c>
    </row>
    <row x14ac:dyDescent="0.25" r="1333" customHeight="1" ht="17.25">
      <c r="A1333" s="52"/>
      <c r="B1333" s="2"/>
      <c r="C1333" s="2"/>
      <c r="D1333" s="3"/>
      <c r="E1333" s="3"/>
      <c r="F1333" s="2"/>
      <c r="G1333" s="13">
        <f>IF($B1333="IN",$D1333,0)</f>
      </c>
      <c r="H1333" s="13">
        <f>IF($B1333="OUT",$D1333,0)</f>
      </c>
    </row>
    <row x14ac:dyDescent="0.25" r="1334" customHeight="1" ht="17.25">
      <c r="A1334" s="52"/>
      <c r="B1334" s="2"/>
      <c r="C1334" s="2"/>
      <c r="D1334" s="3"/>
      <c r="E1334" s="3"/>
      <c r="F1334" s="2"/>
      <c r="G1334" s="13">
        <f>IF($B1334="IN",$D1334,0)</f>
      </c>
      <c r="H1334" s="13">
        <f>IF($B1334="OUT",$D1334,0)</f>
      </c>
    </row>
    <row x14ac:dyDescent="0.25" r="1335" customHeight="1" ht="17.25">
      <c r="A1335" s="52"/>
      <c r="B1335" s="2"/>
      <c r="C1335" s="2"/>
      <c r="D1335" s="3"/>
      <c r="E1335" s="3"/>
      <c r="F1335" s="2"/>
      <c r="G1335" s="13">
        <f>IF($B1335="IN",$D1335,0)</f>
      </c>
      <c r="H1335" s="13">
        <f>IF($B1335="OUT",$D1335,0)</f>
      </c>
    </row>
    <row x14ac:dyDescent="0.25" r="1336" customHeight="1" ht="17.25">
      <c r="A1336" s="52"/>
      <c r="B1336" s="2"/>
      <c r="C1336" s="2"/>
      <c r="D1336" s="3"/>
      <c r="E1336" s="3"/>
      <c r="F1336" s="2"/>
      <c r="G1336" s="13">
        <f>IF($B1336="IN",$D1336,0)</f>
      </c>
      <c r="H1336" s="13">
        <f>IF($B1336="OUT",$D1336,0)</f>
      </c>
    </row>
    <row x14ac:dyDescent="0.25" r="1337" customHeight="1" ht="17.25">
      <c r="A1337" s="52"/>
      <c r="B1337" s="2"/>
      <c r="C1337" s="2"/>
      <c r="D1337" s="3"/>
      <c r="E1337" s="3"/>
      <c r="F1337" s="2"/>
      <c r="G1337" s="13">
        <f>IF($B1337="IN",$D1337,0)</f>
      </c>
      <c r="H1337" s="13">
        <f>IF($B1337="OUT",$D1337,0)</f>
      </c>
    </row>
    <row x14ac:dyDescent="0.25" r="1338" customHeight="1" ht="17.25">
      <c r="A1338" s="52"/>
      <c r="B1338" s="2"/>
      <c r="C1338" s="2"/>
      <c r="D1338" s="3"/>
      <c r="E1338" s="3"/>
      <c r="F1338" s="2"/>
      <c r="G1338" s="13">
        <f>IF($B1338="IN",$D1338,0)</f>
      </c>
      <c r="H1338" s="13">
        <f>IF($B1338="OUT",$D1338,0)</f>
      </c>
    </row>
    <row x14ac:dyDescent="0.25" r="1339" customHeight="1" ht="17.25">
      <c r="A1339" s="52"/>
      <c r="B1339" s="2"/>
      <c r="C1339" s="2"/>
      <c r="D1339" s="3"/>
      <c r="E1339" s="3"/>
      <c r="F1339" s="2"/>
      <c r="G1339" s="13">
        <f>IF($B1339="IN",$D1339,0)</f>
      </c>
      <c r="H1339" s="13">
        <f>IF($B1339="OUT",$D1339,0)</f>
      </c>
    </row>
    <row x14ac:dyDescent="0.25" r="1340" customHeight="1" ht="17.25">
      <c r="A1340" s="52"/>
      <c r="B1340" s="2"/>
      <c r="C1340" s="2"/>
      <c r="D1340" s="3"/>
      <c r="E1340" s="3"/>
      <c r="F1340" s="2"/>
      <c r="G1340" s="13">
        <f>IF($B1340="IN",$D1340,0)</f>
      </c>
      <c r="H1340" s="13">
        <f>IF($B1340="OUT",$D1340,0)</f>
      </c>
    </row>
    <row x14ac:dyDescent="0.25" r="1341" customHeight="1" ht="17.25">
      <c r="A1341" s="52"/>
      <c r="B1341" s="2"/>
      <c r="C1341" s="2"/>
      <c r="D1341" s="3"/>
      <c r="E1341" s="3"/>
      <c r="F1341" s="2"/>
      <c r="G1341" s="13">
        <f>IF($B1341="IN",$D1341,0)</f>
      </c>
      <c r="H1341" s="13">
        <f>IF($B1341="OUT",$D1341,0)</f>
      </c>
    </row>
    <row x14ac:dyDescent="0.25" r="1342" customHeight="1" ht="17.25">
      <c r="A1342" s="52"/>
      <c r="B1342" s="2"/>
      <c r="C1342" s="2"/>
      <c r="D1342" s="3"/>
      <c r="E1342" s="3"/>
      <c r="F1342" s="2"/>
      <c r="G1342" s="13">
        <f>IF($B1342="IN",$D1342,0)</f>
      </c>
      <c r="H1342" s="13">
        <f>IF($B1342="OUT",$D1342,0)</f>
      </c>
    </row>
    <row x14ac:dyDescent="0.25" r="1343" customHeight="1" ht="17.25">
      <c r="A1343" s="52"/>
      <c r="B1343" s="2"/>
      <c r="C1343" s="2"/>
      <c r="D1343" s="3"/>
      <c r="E1343" s="3"/>
      <c r="F1343" s="2"/>
      <c r="G1343" s="13">
        <f>IF($B1343="IN",$D1343,0)</f>
      </c>
      <c r="H1343" s="13">
        <f>IF($B1343="OUT",$D1343,0)</f>
      </c>
    </row>
    <row x14ac:dyDescent="0.25" r="1344" customHeight="1" ht="17.25">
      <c r="A1344" s="52"/>
      <c r="B1344" s="2"/>
      <c r="C1344" s="2"/>
      <c r="D1344" s="3"/>
      <c r="E1344" s="3"/>
      <c r="F1344" s="2"/>
      <c r="G1344" s="13">
        <f>IF($B1344="IN",$D1344,0)</f>
      </c>
      <c r="H1344" s="13">
        <f>IF($B1344="OUT",$D1344,0)</f>
      </c>
    </row>
    <row x14ac:dyDescent="0.25" r="1345" customHeight="1" ht="17.25">
      <c r="A1345" s="52"/>
      <c r="B1345" s="2"/>
      <c r="C1345" s="2"/>
      <c r="D1345" s="3"/>
      <c r="E1345" s="3"/>
      <c r="F1345" s="2"/>
      <c r="G1345" s="13">
        <f>IF($B1345="IN",$D1345,0)</f>
      </c>
      <c r="H1345" s="13">
        <f>IF($B1345="OUT",$D1345,0)</f>
      </c>
    </row>
    <row x14ac:dyDescent="0.25" r="1346" customHeight="1" ht="17.25">
      <c r="A1346" s="52"/>
      <c r="B1346" s="2"/>
      <c r="C1346" s="2"/>
      <c r="D1346" s="3"/>
      <c r="E1346" s="3"/>
      <c r="F1346" s="2"/>
      <c r="G1346" s="13">
        <f>IF($B1346="IN",$D1346,0)</f>
      </c>
      <c r="H1346" s="13">
        <f>IF($B1346="OUT",$D1346,0)</f>
      </c>
    </row>
    <row x14ac:dyDescent="0.25" r="1347" customHeight="1" ht="17.25">
      <c r="A1347" s="52"/>
      <c r="B1347" s="2"/>
      <c r="C1347" s="2"/>
      <c r="D1347" s="3"/>
      <c r="E1347" s="3"/>
      <c r="F1347" s="2"/>
      <c r="G1347" s="13">
        <f>IF($B1347="IN",$D1347,0)</f>
      </c>
      <c r="H1347" s="13">
        <f>IF($B1347="OUT",$D1347,0)</f>
      </c>
    </row>
    <row x14ac:dyDescent="0.25" r="1348" customHeight="1" ht="17.25">
      <c r="A1348" s="52"/>
      <c r="B1348" s="2"/>
      <c r="C1348" s="2"/>
      <c r="D1348" s="3"/>
      <c r="E1348" s="3"/>
      <c r="F1348" s="2"/>
      <c r="G1348" s="13">
        <f>IF($B1348="IN",$D1348,0)</f>
      </c>
      <c r="H1348" s="13">
        <f>IF($B1348="OUT",$D1348,0)</f>
      </c>
    </row>
    <row x14ac:dyDescent="0.25" r="1349" customHeight="1" ht="17.25">
      <c r="A1349" s="52"/>
      <c r="B1349" s="2"/>
      <c r="C1349" s="2"/>
      <c r="D1349" s="3"/>
      <c r="E1349" s="3"/>
      <c r="F1349" s="2"/>
      <c r="G1349" s="13">
        <f>IF($B1349="IN",$D1349,0)</f>
      </c>
      <c r="H1349" s="13">
        <f>IF($B1349="OUT",$D1349,0)</f>
      </c>
    </row>
    <row x14ac:dyDescent="0.25" r="1350" customHeight="1" ht="17.25">
      <c r="A1350" s="52"/>
      <c r="B1350" s="2"/>
      <c r="C1350" s="2"/>
      <c r="D1350" s="3"/>
      <c r="E1350" s="3"/>
      <c r="F1350" s="2"/>
      <c r="G1350" s="13">
        <f>IF($B1350="IN",$D1350,0)</f>
      </c>
      <c r="H1350" s="13">
        <f>IF($B1350="OUT",$D1350,0)</f>
      </c>
    </row>
    <row x14ac:dyDescent="0.25" r="1351" customHeight="1" ht="17.25">
      <c r="A1351" s="52"/>
      <c r="B1351" s="2"/>
      <c r="C1351" s="2"/>
      <c r="D1351" s="3"/>
      <c r="E1351" s="3"/>
      <c r="F1351" s="2"/>
      <c r="G1351" s="13">
        <f>IF($B1351="IN",$D1351,0)</f>
      </c>
      <c r="H1351" s="13">
        <f>IF($B1351="OUT",$D1351,0)</f>
      </c>
    </row>
    <row x14ac:dyDescent="0.25" r="1352" customHeight="1" ht="17.25">
      <c r="A1352" s="52"/>
      <c r="B1352" s="2"/>
      <c r="C1352" s="2"/>
      <c r="D1352" s="3"/>
      <c r="E1352" s="3"/>
      <c r="F1352" s="2"/>
      <c r="G1352" s="13">
        <f>IF($B1352="IN",$D1352,0)</f>
      </c>
      <c r="H1352" s="13">
        <f>IF($B1352="OUT",$D1352,0)</f>
      </c>
    </row>
    <row x14ac:dyDescent="0.25" r="1353" customHeight="1" ht="17.25">
      <c r="A1353" s="52"/>
      <c r="B1353" s="2"/>
      <c r="C1353" s="2"/>
      <c r="D1353" s="3"/>
      <c r="E1353" s="3"/>
      <c r="F1353" s="2"/>
      <c r="G1353" s="13">
        <f>IF($B1353="IN",$D1353,0)</f>
      </c>
      <c r="H1353" s="13">
        <f>IF($B1353="OUT",$D1353,0)</f>
      </c>
    </row>
    <row x14ac:dyDescent="0.25" r="1354" customHeight="1" ht="17.25">
      <c r="A1354" s="52"/>
      <c r="B1354" s="2"/>
      <c r="C1354" s="2"/>
      <c r="D1354" s="3"/>
      <c r="E1354" s="3"/>
      <c r="F1354" s="2"/>
      <c r="G1354" s="13">
        <f>IF($B1354="IN",$D1354,0)</f>
      </c>
      <c r="H1354" s="13">
        <f>IF($B1354="OUT",$D1354,0)</f>
      </c>
    </row>
    <row x14ac:dyDescent="0.25" r="1355" customHeight="1" ht="17.25">
      <c r="A1355" s="52"/>
      <c r="B1355" s="2"/>
      <c r="C1355" s="2"/>
      <c r="D1355" s="3"/>
      <c r="E1355" s="3"/>
      <c r="F1355" s="2"/>
      <c r="G1355" s="13">
        <f>IF($B1355="IN",$D1355,0)</f>
      </c>
      <c r="H1355" s="13">
        <f>IF($B1355="OUT",$D1355,0)</f>
      </c>
    </row>
    <row x14ac:dyDescent="0.25" r="1356" customHeight="1" ht="17.25">
      <c r="A1356" s="52"/>
      <c r="B1356" s="2"/>
      <c r="C1356" s="2"/>
      <c r="D1356" s="3"/>
      <c r="E1356" s="3"/>
      <c r="F1356" s="2"/>
      <c r="G1356" s="13">
        <f>IF($B1356="IN",$D1356,0)</f>
      </c>
      <c r="H1356" s="13">
        <f>IF($B1356="OUT",$D1356,0)</f>
      </c>
    </row>
    <row x14ac:dyDescent="0.25" r="1357" customHeight="1" ht="17.25">
      <c r="A1357" s="52"/>
      <c r="B1357" s="2"/>
      <c r="C1357" s="2"/>
      <c r="D1357" s="3"/>
      <c r="E1357" s="3"/>
      <c r="F1357" s="2"/>
      <c r="G1357" s="13">
        <f>IF($B1357="IN",$D1357,0)</f>
      </c>
      <c r="H1357" s="13">
        <f>IF($B1357="OUT",$D1357,0)</f>
      </c>
    </row>
    <row x14ac:dyDescent="0.25" r="1358" customHeight="1" ht="17.25">
      <c r="A1358" s="52"/>
      <c r="B1358" s="2"/>
      <c r="C1358" s="2"/>
      <c r="D1358" s="3"/>
      <c r="E1358" s="3"/>
      <c r="F1358" s="2"/>
      <c r="G1358" s="13">
        <f>IF($B1358="IN",$D1358,0)</f>
      </c>
      <c r="H1358" s="13">
        <f>IF($B1358="OUT",$D1358,0)</f>
      </c>
    </row>
    <row x14ac:dyDescent="0.25" r="1359" customHeight="1" ht="17.25">
      <c r="A1359" s="52"/>
      <c r="B1359" s="2"/>
      <c r="C1359" s="2"/>
      <c r="D1359" s="3"/>
      <c r="E1359" s="3"/>
      <c r="F1359" s="2"/>
      <c r="G1359" s="13">
        <f>IF($B1359="IN",$D1359,0)</f>
      </c>
      <c r="H1359" s="13">
        <f>IF($B1359="OUT",$D1359,0)</f>
      </c>
    </row>
    <row x14ac:dyDescent="0.25" r="1360" customHeight="1" ht="17.25">
      <c r="A1360" s="52"/>
      <c r="B1360" s="2"/>
      <c r="C1360" s="2"/>
      <c r="D1360" s="3"/>
      <c r="E1360" s="3"/>
      <c r="F1360" s="2"/>
      <c r="G1360" s="13">
        <f>IF($B1360="IN",$D1360,0)</f>
      </c>
      <c r="H1360" s="13">
        <f>IF($B1360="OUT",$D1360,0)</f>
      </c>
    </row>
    <row x14ac:dyDescent="0.25" r="1361" customHeight="1" ht="17.25">
      <c r="A1361" s="52"/>
      <c r="B1361" s="2"/>
      <c r="C1361" s="2"/>
      <c r="D1361" s="3"/>
      <c r="E1361" s="3"/>
      <c r="F1361" s="2"/>
      <c r="G1361" s="13">
        <f>IF($B1361="IN",$D1361,0)</f>
      </c>
      <c r="H1361" s="13">
        <f>IF($B1361="OUT",$D1361,0)</f>
      </c>
    </row>
    <row x14ac:dyDescent="0.25" r="1362" customHeight="1" ht="17.25">
      <c r="A1362" s="52"/>
      <c r="B1362" s="2"/>
      <c r="C1362" s="2"/>
      <c r="D1362" s="3"/>
      <c r="E1362" s="3"/>
      <c r="F1362" s="2"/>
      <c r="G1362" s="13">
        <f>IF($B1362="IN",$D1362,0)</f>
      </c>
      <c r="H1362" s="13">
        <f>IF($B1362="OUT",$D1362,0)</f>
      </c>
    </row>
    <row x14ac:dyDescent="0.25" r="1363" customHeight="1" ht="17.25">
      <c r="A1363" s="52"/>
      <c r="B1363" s="2"/>
      <c r="C1363" s="2"/>
      <c r="D1363" s="3"/>
      <c r="E1363" s="3"/>
      <c r="F1363" s="2"/>
      <c r="G1363" s="13">
        <f>IF($B1363="IN",$D1363,0)</f>
      </c>
      <c r="H1363" s="13">
        <f>IF($B1363="OUT",$D1363,0)</f>
      </c>
    </row>
    <row x14ac:dyDescent="0.25" r="1364" customHeight="1" ht="17.25">
      <c r="A1364" s="52"/>
      <c r="B1364" s="2"/>
      <c r="C1364" s="2"/>
      <c r="D1364" s="3"/>
      <c r="E1364" s="3"/>
      <c r="F1364" s="2"/>
      <c r="G1364" s="13">
        <f>IF($B1364="IN",$D1364,0)</f>
      </c>
      <c r="H1364" s="13">
        <f>IF($B1364="OUT",$D1364,0)</f>
      </c>
    </row>
    <row x14ac:dyDescent="0.25" r="1365" customHeight="1" ht="17.25">
      <c r="A1365" s="52"/>
      <c r="B1365" s="2"/>
      <c r="C1365" s="2"/>
      <c r="D1365" s="3"/>
      <c r="E1365" s="3"/>
      <c r="F1365" s="2"/>
      <c r="G1365" s="13">
        <f>IF($B1365="IN",$D1365,0)</f>
      </c>
      <c r="H1365" s="13">
        <f>IF($B1365="OUT",$D1365,0)</f>
      </c>
    </row>
    <row x14ac:dyDescent="0.25" r="1366" customHeight="1" ht="17.25">
      <c r="A1366" s="52"/>
      <c r="B1366" s="2"/>
      <c r="C1366" s="2"/>
      <c r="D1366" s="3"/>
      <c r="E1366" s="3"/>
      <c r="F1366" s="2"/>
      <c r="G1366" s="13">
        <f>IF($B1366="IN",$D1366,0)</f>
      </c>
      <c r="H1366" s="13">
        <f>IF($B1366="OUT",$D1366,0)</f>
      </c>
    </row>
    <row x14ac:dyDescent="0.25" r="1367" customHeight="1" ht="17.25">
      <c r="A1367" s="52"/>
      <c r="B1367" s="2"/>
      <c r="C1367" s="2"/>
      <c r="D1367" s="3"/>
      <c r="E1367" s="3"/>
      <c r="F1367" s="2"/>
      <c r="G1367" s="13">
        <f>IF($B1367="IN",$D1367,0)</f>
      </c>
      <c r="H1367" s="13">
        <f>IF($B1367="OUT",$D1367,0)</f>
      </c>
    </row>
    <row x14ac:dyDescent="0.25" r="1368" customHeight="1" ht="17.25">
      <c r="A1368" s="52"/>
      <c r="B1368" s="2"/>
      <c r="C1368" s="2"/>
      <c r="D1368" s="3"/>
      <c r="E1368" s="3"/>
      <c r="F1368" s="2"/>
      <c r="G1368" s="13">
        <f>IF($B1368="IN",$D1368,0)</f>
      </c>
      <c r="H1368" s="13">
        <f>IF($B1368="OUT",$D1368,0)</f>
      </c>
    </row>
    <row x14ac:dyDescent="0.25" r="1369" customHeight="1" ht="17.25">
      <c r="A1369" s="52"/>
      <c r="B1369" s="2"/>
      <c r="C1369" s="2"/>
      <c r="D1369" s="3"/>
      <c r="E1369" s="3"/>
      <c r="F1369" s="2"/>
      <c r="G1369" s="13">
        <f>IF($B1369="IN",$D1369,0)</f>
      </c>
      <c r="H1369" s="13">
        <f>IF($B1369="OUT",$D1369,0)</f>
      </c>
    </row>
    <row x14ac:dyDescent="0.25" r="1370" customHeight="1" ht="17.25">
      <c r="A1370" s="52"/>
      <c r="B1370" s="2"/>
      <c r="C1370" s="2"/>
      <c r="D1370" s="3"/>
      <c r="E1370" s="3"/>
      <c r="F1370" s="2"/>
      <c r="G1370" s="13">
        <f>IF($B1370="IN",$D1370,0)</f>
      </c>
      <c r="H1370" s="13">
        <f>IF($B1370="OUT",$D1370,0)</f>
      </c>
    </row>
    <row x14ac:dyDescent="0.25" r="1371" customHeight="1" ht="17.25">
      <c r="A1371" s="52"/>
      <c r="B1371" s="2"/>
      <c r="C1371" s="2"/>
      <c r="D1371" s="3"/>
      <c r="E1371" s="3"/>
      <c r="F1371" s="2"/>
      <c r="G1371" s="13">
        <f>IF($B1371="IN",$D1371,0)</f>
      </c>
      <c r="H1371" s="13">
        <f>IF($B1371="OUT",$D1371,0)</f>
      </c>
    </row>
    <row x14ac:dyDescent="0.25" r="1372" customHeight="1" ht="17.25">
      <c r="A1372" s="52"/>
      <c r="B1372" s="2"/>
      <c r="C1372" s="2"/>
      <c r="D1372" s="3"/>
      <c r="E1372" s="3"/>
      <c r="F1372" s="2"/>
      <c r="G1372" s="13">
        <f>IF($B1372="IN",$D1372,0)</f>
      </c>
      <c r="H1372" s="13">
        <f>IF($B1372="OUT",$D1372,0)</f>
      </c>
    </row>
    <row x14ac:dyDescent="0.25" r="1373" customHeight="1" ht="17.25">
      <c r="A1373" s="52"/>
      <c r="B1373" s="2"/>
      <c r="C1373" s="2"/>
      <c r="D1373" s="3"/>
      <c r="E1373" s="3"/>
      <c r="F1373" s="2"/>
      <c r="G1373" s="13">
        <f>IF($B1373="IN",$D1373,0)</f>
      </c>
      <c r="H1373" s="13">
        <f>IF($B1373="OUT",$D1373,0)</f>
      </c>
    </row>
    <row x14ac:dyDescent="0.25" r="1374" customHeight="1" ht="17.25">
      <c r="A1374" s="52"/>
      <c r="B1374" s="2"/>
      <c r="C1374" s="2"/>
      <c r="D1374" s="3"/>
      <c r="E1374" s="3"/>
      <c r="F1374" s="2"/>
      <c r="G1374" s="13">
        <f>IF($B1374="IN",$D1374,0)</f>
      </c>
      <c r="H1374" s="13">
        <f>IF($B1374="OUT",$D1374,0)</f>
      </c>
    </row>
    <row x14ac:dyDescent="0.25" r="1375" customHeight="1" ht="17.25">
      <c r="A1375" s="52"/>
      <c r="B1375" s="2"/>
      <c r="C1375" s="2"/>
      <c r="D1375" s="3"/>
      <c r="E1375" s="3"/>
      <c r="F1375" s="2"/>
      <c r="G1375" s="13">
        <f>IF($B1375="IN",$D1375,0)</f>
      </c>
      <c r="H1375" s="13">
        <f>IF($B1375="OUT",$D1375,0)</f>
      </c>
    </row>
    <row x14ac:dyDescent="0.25" r="1376" customHeight="1" ht="17.25">
      <c r="A1376" s="52"/>
      <c r="B1376" s="2"/>
      <c r="C1376" s="2"/>
      <c r="D1376" s="3"/>
      <c r="E1376" s="3"/>
      <c r="F1376" s="2"/>
      <c r="G1376" s="13">
        <f>IF($B1376="IN",$D1376,0)</f>
      </c>
      <c r="H1376" s="13">
        <f>IF($B1376="OUT",$D1376,0)</f>
      </c>
    </row>
    <row x14ac:dyDescent="0.25" r="1377" customHeight="1" ht="17.25">
      <c r="A1377" s="52"/>
      <c r="B1377" s="2"/>
      <c r="C1377" s="2"/>
      <c r="D1377" s="3"/>
      <c r="E1377" s="3"/>
      <c r="F1377" s="2"/>
      <c r="G1377" s="13">
        <f>IF($B1377="IN",$D1377,0)</f>
      </c>
      <c r="H1377" s="13">
        <f>IF($B1377="OUT",$D1377,0)</f>
      </c>
    </row>
    <row x14ac:dyDescent="0.25" r="1378" customHeight="1" ht="17.25">
      <c r="A1378" s="52"/>
      <c r="B1378" s="2"/>
      <c r="C1378" s="2"/>
      <c r="D1378" s="3"/>
      <c r="E1378" s="3"/>
      <c r="F1378" s="2"/>
      <c r="G1378" s="13">
        <f>IF($B1378="IN",$D1378,0)</f>
      </c>
      <c r="H1378" s="13">
        <f>IF($B1378="OUT",$D1378,0)</f>
      </c>
    </row>
    <row x14ac:dyDescent="0.25" r="1379" customHeight="1" ht="17.25">
      <c r="A1379" s="52"/>
      <c r="B1379" s="2"/>
      <c r="C1379" s="2"/>
      <c r="D1379" s="3"/>
      <c r="E1379" s="3"/>
      <c r="F1379" s="2"/>
      <c r="G1379" s="13">
        <f>IF($B1379="IN",$D1379,0)</f>
      </c>
      <c r="H1379" s="13">
        <f>IF($B1379="OUT",$D1379,0)</f>
      </c>
    </row>
    <row x14ac:dyDescent="0.25" r="1380" customHeight="1" ht="17.25">
      <c r="A1380" s="52"/>
      <c r="B1380" s="2"/>
      <c r="C1380" s="2"/>
      <c r="D1380" s="3"/>
      <c r="E1380" s="3"/>
      <c r="F1380" s="2"/>
      <c r="G1380" s="13">
        <f>IF($B1380="IN",$D1380,0)</f>
      </c>
      <c r="H1380" s="13">
        <f>IF($B1380="OUT",$D1380,0)</f>
      </c>
    </row>
    <row x14ac:dyDescent="0.25" r="1381" customHeight="1" ht="17.25">
      <c r="A1381" s="52"/>
      <c r="B1381" s="2"/>
      <c r="C1381" s="2"/>
      <c r="D1381" s="3"/>
      <c r="E1381" s="3"/>
      <c r="F1381" s="2"/>
      <c r="G1381" s="13">
        <f>IF($B1381="IN",$D1381,0)</f>
      </c>
      <c r="H1381" s="13">
        <f>IF($B1381="OUT",$D1381,0)</f>
      </c>
    </row>
    <row x14ac:dyDescent="0.25" r="1382" customHeight="1" ht="17.25">
      <c r="A1382" s="52"/>
      <c r="B1382" s="2"/>
      <c r="C1382" s="2"/>
      <c r="D1382" s="3"/>
      <c r="E1382" s="3"/>
      <c r="F1382" s="2"/>
      <c r="G1382" s="13">
        <f>IF($B1382="IN",$D1382,0)</f>
      </c>
      <c r="H1382" s="13">
        <f>IF($B1382="OUT",$D1382,0)</f>
      </c>
    </row>
    <row x14ac:dyDescent="0.25" r="1383" customHeight="1" ht="17.25">
      <c r="A1383" s="52"/>
      <c r="B1383" s="2"/>
      <c r="C1383" s="2"/>
      <c r="D1383" s="3"/>
      <c r="E1383" s="3"/>
      <c r="F1383" s="2"/>
      <c r="G1383" s="13">
        <f>IF($B1383="IN",$D1383,0)</f>
      </c>
      <c r="H1383" s="13">
        <f>IF($B1383="OUT",$D1383,0)</f>
      </c>
    </row>
    <row x14ac:dyDescent="0.25" r="1384" customHeight="1" ht="17.25">
      <c r="A1384" s="52"/>
      <c r="B1384" s="2"/>
      <c r="C1384" s="2"/>
      <c r="D1384" s="3"/>
      <c r="E1384" s="3"/>
      <c r="F1384" s="2"/>
      <c r="G1384" s="13">
        <f>IF($B1384="IN",$D1384,0)</f>
      </c>
      <c r="H1384" s="13">
        <f>IF($B1384="OUT",$D1384,0)</f>
      </c>
    </row>
    <row x14ac:dyDescent="0.25" r="1385" customHeight="1" ht="17.25">
      <c r="A1385" s="52"/>
      <c r="B1385" s="2"/>
      <c r="C1385" s="2"/>
      <c r="D1385" s="3"/>
      <c r="E1385" s="3"/>
      <c r="F1385" s="2"/>
      <c r="G1385" s="13">
        <f>IF($B1385="IN",$D1385,0)</f>
      </c>
      <c r="H1385" s="13">
        <f>IF($B1385="OUT",$D1385,0)</f>
      </c>
    </row>
    <row x14ac:dyDescent="0.25" r="1386" customHeight="1" ht="17.25">
      <c r="A1386" s="52"/>
      <c r="B1386" s="2"/>
      <c r="C1386" s="2"/>
      <c r="D1386" s="3"/>
      <c r="E1386" s="3"/>
      <c r="F1386" s="2"/>
      <c r="G1386" s="13">
        <f>IF($B1386="IN",$D1386,0)</f>
      </c>
      <c r="H1386" s="13">
        <f>IF($B1386="OUT",$D1386,0)</f>
      </c>
    </row>
    <row x14ac:dyDescent="0.25" r="1387" customHeight="1" ht="17.25">
      <c r="A1387" s="52"/>
      <c r="B1387" s="2"/>
      <c r="C1387" s="2"/>
      <c r="D1387" s="3"/>
      <c r="E1387" s="3"/>
      <c r="F1387" s="2"/>
      <c r="G1387" s="13">
        <f>IF($B1387="IN",$D1387,0)</f>
      </c>
      <c r="H1387" s="13">
        <f>IF($B1387="OUT",$D1387,0)</f>
      </c>
    </row>
    <row x14ac:dyDescent="0.25" r="1388" customHeight="1" ht="17.25">
      <c r="A1388" s="52"/>
      <c r="B1388" s="2"/>
      <c r="C1388" s="2"/>
      <c r="D1388" s="3"/>
      <c r="E1388" s="3"/>
      <c r="F1388" s="2"/>
      <c r="G1388" s="13">
        <f>IF($B1388="IN",$D1388,0)</f>
      </c>
      <c r="H1388" s="13">
        <f>IF($B1388="OUT",$D1388,0)</f>
      </c>
    </row>
    <row x14ac:dyDescent="0.25" r="1389" customHeight="1" ht="17.25">
      <c r="A1389" s="52"/>
      <c r="B1389" s="2"/>
      <c r="C1389" s="2"/>
      <c r="D1389" s="3"/>
      <c r="E1389" s="3"/>
      <c r="F1389" s="2"/>
      <c r="G1389" s="13">
        <f>IF($B1389="IN",$D1389,0)</f>
      </c>
      <c r="H1389" s="13">
        <f>IF($B1389="OUT",$D1389,0)</f>
      </c>
    </row>
    <row x14ac:dyDescent="0.25" r="1390" customHeight="1" ht="17.25">
      <c r="A1390" s="52"/>
      <c r="B1390" s="2"/>
      <c r="C1390" s="2"/>
      <c r="D1390" s="3"/>
      <c r="E1390" s="3"/>
      <c r="F1390" s="2"/>
      <c r="G1390" s="13">
        <f>IF($B1390="IN",$D1390,0)</f>
      </c>
      <c r="H1390" s="13">
        <f>IF($B1390="OUT",$D1390,0)</f>
      </c>
    </row>
    <row x14ac:dyDescent="0.25" r="1391" customHeight="1" ht="17.25">
      <c r="A1391" s="52"/>
      <c r="B1391" s="2"/>
      <c r="C1391" s="2"/>
      <c r="D1391" s="3"/>
      <c r="E1391" s="3"/>
      <c r="F1391" s="2"/>
      <c r="G1391" s="13">
        <f>IF($B1391="IN",$D1391,0)</f>
      </c>
      <c r="H1391" s="13">
        <f>IF($B1391="OUT",$D1391,0)</f>
      </c>
    </row>
    <row x14ac:dyDescent="0.25" r="1392" customHeight="1" ht="17.25">
      <c r="A1392" s="52"/>
      <c r="B1392" s="2"/>
      <c r="C1392" s="2"/>
      <c r="D1392" s="3"/>
      <c r="E1392" s="3"/>
      <c r="F1392" s="2"/>
      <c r="G1392" s="13">
        <f>IF($B1392="IN",$D1392,0)</f>
      </c>
      <c r="H1392" s="13">
        <f>IF($B1392="OUT",$D1392,0)</f>
      </c>
    </row>
    <row x14ac:dyDescent="0.25" r="1393" customHeight="1" ht="17.25">
      <c r="A1393" s="52"/>
      <c r="B1393" s="2"/>
      <c r="C1393" s="2"/>
      <c r="D1393" s="3"/>
      <c r="E1393" s="3"/>
      <c r="F1393" s="2"/>
      <c r="G1393" s="13">
        <f>IF($B1393="IN",$D1393,0)</f>
      </c>
      <c r="H1393" s="13">
        <f>IF($B1393="OUT",$D1393,0)</f>
      </c>
    </row>
    <row x14ac:dyDescent="0.25" r="1394" customHeight="1" ht="17.25">
      <c r="A1394" s="52"/>
      <c r="B1394" s="2"/>
      <c r="C1394" s="2"/>
      <c r="D1394" s="3"/>
      <c r="E1394" s="3"/>
      <c r="F1394" s="2"/>
      <c r="G1394" s="13">
        <f>IF($B1394="IN",$D1394,0)</f>
      </c>
      <c r="H1394" s="13">
        <f>IF($B1394="OUT",$D1394,0)</f>
      </c>
    </row>
    <row x14ac:dyDescent="0.25" r="1395" customHeight="1" ht="17.25">
      <c r="A1395" s="52"/>
      <c r="B1395" s="2"/>
      <c r="C1395" s="2"/>
      <c r="D1395" s="3"/>
      <c r="E1395" s="3"/>
      <c r="F1395" s="2"/>
      <c r="G1395" s="13">
        <f>IF($B1395="IN",$D1395,0)</f>
      </c>
      <c r="H1395" s="13">
        <f>IF($B1395="OUT",$D1395,0)</f>
      </c>
    </row>
    <row x14ac:dyDescent="0.25" r="1396" customHeight="1" ht="17.25">
      <c r="A1396" s="52"/>
      <c r="B1396" s="2"/>
      <c r="C1396" s="2"/>
      <c r="D1396" s="3"/>
      <c r="E1396" s="3"/>
      <c r="F1396" s="2"/>
      <c r="G1396" s="13">
        <f>IF($B1396="IN",$D1396,0)</f>
      </c>
      <c r="H1396" s="13">
        <f>IF($B1396="OUT",$D1396,0)</f>
      </c>
    </row>
    <row x14ac:dyDescent="0.25" r="1397" customHeight="1" ht="17.25">
      <c r="A1397" s="52"/>
      <c r="B1397" s="2"/>
      <c r="C1397" s="2"/>
      <c r="D1397" s="3"/>
      <c r="E1397" s="3"/>
      <c r="F1397" s="2"/>
      <c r="G1397" s="13">
        <f>IF($B1397="IN",$D1397,0)</f>
      </c>
      <c r="H1397" s="13">
        <f>IF($B1397="OUT",$D1397,0)</f>
      </c>
    </row>
    <row x14ac:dyDescent="0.25" r="1398" customHeight="1" ht="17.25">
      <c r="A1398" s="52"/>
      <c r="B1398" s="2"/>
      <c r="C1398" s="2"/>
      <c r="D1398" s="3"/>
      <c r="E1398" s="3"/>
      <c r="F1398" s="2"/>
      <c r="G1398" s="13">
        <f>IF($B1398="IN",$D1398,0)</f>
      </c>
      <c r="H1398" s="13">
        <f>IF($B1398="OUT",$D1398,0)</f>
      </c>
    </row>
    <row x14ac:dyDescent="0.25" r="1399" customHeight="1" ht="17.25">
      <c r="A1399" s="52"/>
      <c r="B1399" s="2"/>
      <c r="C1399" s="2"/>
      <c r="D1399" s="3"/>
      <c r="E1399" s="3"/>
      <c r="F1399" s="2"/>
      <c r="G1399" s="13">
        <f>IF($B1399="IN",$D1399,0)</f>
      </c>
      <c r="H1399" s="13">
        <f>IF($B1399="OUT",$D1399,0)</f>
      </c>
    </row>
    <row x14ac:dyDescent="0.25" r="1400" customHeight="1" ht="17.25">
      <c r="A1400" s="52"/>
      <c r="B1400" s="2"/>
      <c r="C1400" s="2"/>
      <c r="D1400" s="3"/>
      <c r="E1400" s="3"/>
      <c r="F1400" s="2"/>
      <c r="G1400" s="13">
        <f>IF($B1400="IN",$D1400,0)</f>
      </c>
      <c r="H1400" s="13">
        <f>IF($B1400="OUT",$D1400,0)</f>
      </c>
    </row>
    <row x14ac:dyDescent="0.25" r="1401" customHeight="1" ht="17.25">
      <c r="A1401" s="52"/>
      <c r="B1401" s="2"/>
      <c r="C1401" s="2"/>
      <c r="D1401" s="3"/>
      <c r="E1401" s="3"/>
      <c r="F1401" s="2"/>
      <c r="G1401" s="13">
        <f>IF($B1401="IN",$D1401,0)</f>
      </c>
      <c r="H1401" s="13">
        <f>IF($B1401="OUT",$D1401,0)</f>
      </c>
    </row>
    <row x14ac:dyDescent="0.25" r="1402" customHeight="1" ht="17.25">
      <c r="A1402" s="52"/>
      <c r="B1402" s="2"/>
      <c r="C1402" s="2"/>
      <c r="D1402" s="3"/>
      <c r="E1402" s="3"/>
      <c r="F1402" s="2"/>
      <c r="G1402" s="13">
        <f>IF($B1402="IN",$D1402,0)</f>
      </c>
      <c r="H1402" s="13">
        <f>IF($B1402="OUT",$D1402,0)</f>
      </c>
    </row>
    <row x14ac:dyDescent="0.25" r="1403" customHeight="1" ht="17.25">
      <c r="A1403" s="52"/>
      <c r="B1403" s="2"/>
      <c r="C1403" s="2"/>
      <c r="D1403" s="3"/>
      <c r="E1403" s="3"/>
      <c r="F1403" s="2"/>
      <c r="G1403" s="13">
        <f>IF($B1403="IN",$D1403,0)</f>
      </c>
      <c r="H1403" s="13">
        <f>IF($B1403="OUT",$D1403,0)</f>
      </c>
    </row>
    <row x14ac:dyDescent="0.25" r="1404" customHeight="1" ht="17.25">
      <c r="A1404" s="52"/>
      <c r="B1404" s="2"/>
      <c r="C1404" s="2"/>
      <c r="D1404" s="3"/>
      <c r="E1404" s="3"/>
      <c r="F1404" s="2"/>
      <c r="G1404" s="13">
        <f>IF($B1404="IN",$D1404,0)</f>
      </c>
      <c r="H1404" s="13">
        <f>IF($B1404="OUT",$D1404,0)</f>
      </c>
    </row>
    <row x14ac:dyDescent="0.25" r="1405" customHeight="1" ht="17.25">
      <c r="A1405" s="52"/>
      <c r="B1405" s="2"/>
      <c r="C1405" s="2"/>
      <c r="D1405" s="3"/>
      <c r="E1405" s="3"/>
      <c r="F1405" s="2"/>
      <c r="G1405" s="13">
        <f>IF($B1405="IN",$D1405,0)</f>
      </c>
      <c r="H1405" s="13">
        <f>IF($B1405="OUT",$D1405,0)</f>
      </c>
    </row>
    <row x14ac:dyDescent="0.25" r="1406" customHeight="1" ht="17.25">
      <c r="A1406" s="52"/>
      <c r="B1406" s="2"/>
      <c r="C1406" s="2"/>
      <c r="D1406" s="3"/>
      <c r="E1406" s="3"/>
      <c r="F1406" s="2"/>
      <c r="G1406" s="13">
        <f>IF($B1406="IN",$D1406,0)</f>
      </c>
      <c r="H1406" s="13">
        <f>IF($B1406="OUT",$D1406,0)</f>
      </c>
    </row>
    <row x14ac:dyDescent="0.25" r="1407" customHeight="1" ht="17.25">
      <c r="A1407" s="52"/>
      <c r="B1407" s="2"/>
      <c r="C1407" s="2"/>
      <c r="D1407" s="3"/>
      <c r="E1407" s="3"/>
      <c r="F1407" s="2"/>
      <c r="G1407" s="13">
        <f>IF($B1407="IN",$D1407,0)</f>
      </c>
      <c r="H1407" s="13">
        <f>IF($B1407="OUT",$D1407,0)</f>
      </c>
    </row>
    <row x14ac:dyDescent="0.25" r="1408" customHeight="1" ht="17.25">
      <c r="A1408" s="52"/>
      <c r="B1408" s="2"/>
      <c r="C1408" s="2"/>
      <c r="D1408" s="3"/>
      <c r="E1408" s="3"/>
      <c r="F1408" s="2"/>
      <c r="G1408" s="13">
        <f>IF($B1408="IN",$D1408,0)</f>
      </c>
      <c r="H1408" s="13">
        <f>IF($B1408="OUT",$D1408,0)</f>
      </c>
    </row>
    <row x14ac:dyDescent="0.25" r="1409" customHeight="1" ht="17.25">
      <c r="A1409" s="52"/>
      <c r="B1409" s="2"/>
      <c r="C1409" s="2"/>
      <c r="D1409" s="3"/>
      <c r="E1409" s="3"/>
      <c r="F1409" s="2"/>
      <c r="G1409" s="13">
        <f>IF($B1409="IN",$D1409,0)</f>
      </c>
      <c r="H1409" s="13">
        <f>IF($B1409="OUT",$D1409,0)</f>
      </c>
    </row>
    <row x14ac:dyDescent="0.25" r="1410" customHeight="1" ht="17.25">
      <c r="A1410" s="52"/>
      <c r="B1410" s="2"/>
      <c r="C1410" s="2"/>
      <c r="D1410" s="3"/>
      <c r="E1410" s="3"/>
      <c r="F1410" s="2"/>
      <c r="G1410" s="13">
        <f>IF($B1410="IN",$D1410,0)</f>
      </c>
      <c r="H1410" s="13">
        <f>IF($B1410="OUT",$D1410,0)</f>
      </c>
    </row>
    <row x14ac:dyDescent="0.25" r="1411" customHeight="1" ht="17.25">
      <c r="A1411" s="52"/>
      <c r="B1411" s="2"/>
      <c r="C1411" s="2"/>
      <c r="D1411" s="3"/>
      <c r="E1411" s="3"/>
      <c r="F1411" s="2"/>
      <c r="G1411" s="13">
        <f>IF($B1411="IN",$D1411,0)</f>
      </c>
      <c r="H1411" s="13">
        <f>IF($B1411="OUT",$D1411,0)</f>
      </c>
    </row>
    <row x14ac:dyDescent="0.25" r="1412" customHeight="1" ht="17.25">
      <c r="A1412" s="52"/>
      <c r="B1412" s="2"/>
      <c r="C1412" s="2"/>
      <c r="D1412" s="3"/>
      <c r="E1412" s="3"/>
      <c r="F1412" s="2"/>
      <c r="G1412" s="13">
        <f>IF($B1412="IN",$D1412,0)</f>
      </c>
      <c r="H1412" s="13">
        <f>IF($B1412="OUT",$D1412,0)</f>
      </c>
    </row>
    <row x14ac:dyDescent="0.25" r="1413" customHeight="1" ht="17.25">
      <c r="A1413" s="52"/>
      <c r="B1413" s="2"/>
      <c r="C1413" s="2"/>
      <c r="D1413" s="3"/>
      <c r="E1413" s="3"/>
      <c r="F1413" s="2"/>
      <c r="G1413" s="13">
        <f>IF($B1413="IN",$D1413,0)</f>
      </c>
      <c r="H1413" s="13">
        <f>IF($B1413="OUT",$D1413,0)</f>
      </c>
    </row>
    <row x14ac:dyDescent="0.25" r="1414" customHeight="1" ht="17.25">
      <c r="A1414" s="52"/>
      <c r="B1414" s="2"/>
      <c r="C1414" s="2"/>
      <c r="D1414" s="3"/>
      <c r="E1414" s="3"/>
      <c r="F1414" s="2"/>
      <c r="G1414" s="13">
        <f>IF($B1414="IN",$D1414,0)</f>
      </c>
      <c r="H1414" s="13">
        <f>IF($B1414="OUT",$D1414,0)</f>
      </c>
    </row>
    <row x14ac:dyDescent="0.25" r="1415" customHeight="1" ht="17.25">
      <c r="A1415" s="52"/>
      <c r="B1415" s="2"/>
      <c r="C1415" s="2"/>
      <c r="D1415" s="3"/>
      <c r="E1415" s="3"/>
      <c r="F1415" s="2"/>
      <c r="G1415" s="13">
        <f>IF($B1415="IN",$D1415,0)</f>
      </c>
      <c r="H1415" s="13">
        <f>IF($B1415="OUT",$D1415,0)</f>
      </c>
    </row>
    <row x14ac:dyDescent="0.25" r="1416" customHeight="1" ht="17.25">
      <c r="A1416" s="52"/>
      <c r="B1416" s="2"/>
      <c r="C1416" s="2"/>
      <c r="D1416" s="3"/>
      <c r="E1416" s="3"/>
      <c r="F1416" s="2"/>
      <c r="G1416" s="13">
        <f>IF($B1416="IN",$D1416,0)</f>
      </c>
      <c r="H1416" s="13">
        <f>IF($B1416="OUT",$D1416,0)</f>
      </c>
    </row>
    <row x14ac:dyDescent="0.25" r="1417" customHeight="1" ht="17.25">
      <c r="A1417" s="52"/>
      <c r="B1417" s="2"/>
      <c r="C1417" s="2"/>
      <c r="D1417" s="3"/>
      <c r="E1417" s="3"/>
      <c r="F1417" s="2"/>
      <c r="G1417" s="13">
        <f>IF($B1417="IN",$D1417,0)</f>
      </c>
      <c r="H1417" s="13">
        <f>IF($B1417="OUT",$D1417,0)</f>
      </c>
    </row>
    <row x14ac:dyDescent="0.25" r="1418" customHeight="1" ht="17.25">
      <c r="A1418" s="52"/>
      <c r="B1418" s="2"/>
      <c r="C1418" s="2"/>
      <c r="D1418" s="3"/>
      <c r="E1418" s="3"/>
      <c r="F1418" s="2"/>
      <c r="G1418" s="13">
        <f>IF($B1418="IN",$D1418,0)</f>
      </c>
      <c r="H1418" s="13">
        <f>IF($B1418="OUT",$D1418,0)</f>
      </c>
    </row>
    <row x14ac:dyDescent="0.25" r="1419" customHeight="1" ht="17.25">
      <c r="A1419" s="52"/>
      <c r="B1419" s="2"/>
      <c r="C1419" s="2"/>
      <c r="D1419" s="3"/>
      <c r="E1419" s="3"/>
      <c r="F1419" s="2"/>
      <c r="G1419" s="13">
        <f>IF($B1419="IN",$D1419,0)</f>
      </c>
      <c r="H1419" s="13">
        <f>IF($B1419="OUT",$D1419,0)</f>
      </c>
    </row>
    <row x14ac:dyDescent="0.25" r="1420" customHeight="1" ht="17.25">
      <c r="A1420" s="52"/>
      <c r="B1420" s="2"/>
      <c r="C1420" s="2"/>
      <c r="D1420" s="3"/>
      <c r="E1420" s="3"/>
      <c r="F1420" s="2"/>
      <c r="G1420" s="13">
        <f>IF($B1420="IN",$D1420,0)</f>
      </c>
      <c r="H1420" s="13">
        <f>IF($B1420="OUT",$D1420,0)</f>
      </c>
    </row>
    <row x14ac:dyDescent="0.25" r="1421" customHeight="1" ht="17.25">
      <c r="A1421" s="52"/>
      <c r="B1421" s="2"/>
      <c r="C1421" s="2"/>
      <c r="D1421" s="3"/>
      <c r="E1421" s="3"/>
      <c r="F1421" s="2"/>
      <c r="G1421" s="13">
        <f>IF($B1421="IN",$D1421,0)</f>
      </c>
      <c r="H1421" s="13">
        <f>IF($B1421="OUT",$D1421,0)</f>
      </c>
    </row>
    <row x14ac:dyDescent="0.25" r="1422" customHeight="1" ht="17.25">
      <c r="A1422" s="52"/>
      <c r="B1422" s="2"/>
      <c r="C1422" s="2"/>
      <c r="D1422" s="3"/>
      <c r="E1422" s="3"/>
      <c r="F1422" s="2"/>
      <c r="G1422" s="13">
        <f>IF($B1422="IN",$D1422,0)</f>
      </c>
      <c r="H1422" s="13">
        <f>IF($B1422="OUT",$D1422,0)</f>
      </c>
    </row>
    <row x14ac:dyDescent="0.25" r="1423" customHeight="1" ht="17.25">
      <c r="A1423" s="52"/>
      <c r="B1423" s="2"/>
      <c r="C1423" s="2"/>
      <c r="D1423" s="3"/>
      <c r="E1423" s="3"/>
      <c r="F1423" s="2"/>
      <c r="G1423" s="13">
        <f>IF($B1423="IN",$D1423,0)</f>
      </c>
      <c r="H1423" s="13">
        <f>IF($B1423="OUT",$D1423,0)</f>
      </c>
    </row>
    <row x14ac:dyDescent="0.25" r="1424" customHeight="1" ht="17.25">
      <c r="A1424" s="52"/>
      <c r="B1424" s="2"/>
      <c r="C1424" s="2"/>
      <c r="D1424" s="3"/>
      <c r="E1424" s="3"/>
      <c r="F1424" s="2"/>
      <c r="G1424" s="13">
        <f>IF($B1424="IN",$D1424,0)</f>
      </c>
      <c r="H1424" s="13">
        <f>IF($B1424="OUT",$D1424,0)</f>
      </c>
    </row>
    <row x14ac:dyDescent="0.25" r="1425" customHeight="1" ht="17.25">
      <c r="A1425" s="52"/>
      <c r="B1425" s="2"/>
      <c r="C1425" s="2"/>
      <c r="D1425" s="3"/>
      <c r="E1425" s="3"/>
      <c r="F1425" s="2"/>
      <c r="G1425" s="13">
        <f>IF($B1425="IN",$D1425,0)</f>
      </c>
      <c r="H1425" s="13">
        <f>IF($B1425="OUT",$D1425,0)</f>
      </c>
    </row>
    <row x14ac:dyDescent="0.25" r="1426" customHeight="1" ht="17.25">
      <c r="A1426" s="52"/>
      <c r="B1426" s="2"/>
      <c r="C1426" s="2"/>
      <c r="D1426" s="3"/>
      <c r="E1426" s="3"/>
      <c r="F1426" s="2"/>
      <c r="G1426" s="13">
        <f>IF($B1426="IN",$D1426,0)</f>
      </c>
      <c r="H1426" s="13">
        <f>IF($B1426="OUT",$D1426,0)</f>
      </c>
    </row>
    <row x14ac:dyDescent="0.25" r="1427" customHeight="1" ht="17.25">
      <c r="A1427" s="52"/>
      <c r="B1427" s="2"/>
      <c r="C1427" s="2"/>
      <c r="D1427" s="3"/>
      <c r="E1427" s="3"/>
      <c r="F1427" s="2"/>
      <c r="G1427" s="13">
        <f>IF($B1427="IN",$D1427,0)</f>
      </c>
      <c r="H1427" s="13">
        <f>IF($B1427="OUT",$D1427,0)</f>
      </c>
    </row>
    <row x14ac:dyDescent="0.25" r="1428" customHeight="1" ht="17.25">
      <c r="A1428" s="52"/>
      <c r="B1428" s="2"/>
      <c r="C1428" s="2"/>
      <c r="D1428" s="3"/>
      <c r="E1428" s="3"/>
      <c r="F1428" s="2"/>
      <c r="G1428" s="13">
        <f>IF($B1428="IN",$D1428,0)</f>
      </c>
      <c r="H1428" s="13">
        <f>IF($B1428="OUT",$D1428,0)</f>
      </c>
    </row>
    <row x14ac:dyDescent="0.25" r="1429" customHeight="1" ht="17.25">
      <c r="A1429" s="52"/>
      <c r="B1429" s="2"/>
      <c r="C1429" s="2"/>
      <c r="D1429" s="3"/>
      <c r="E1429" s="3"/>
      <c r="F1429" s="2"/>
      <c r="G1429" s="13">
        <f>IF($B1429="IN",$D1429,0)</f>
      </c>
      <c r="H1429" s="13">
        <f>IF($B1429="OUT",$D1429,0)</f>
      </c>
    </row>
    <row x14ac:dyDescent="0.25" r="1430" customHeight="1" ht="17.25">
      <c r="A1430" s="52"/>
      <c r="B1430" s="2"/>
      <c r="C1430" s="2"/>
      <c r="D1430" s="3"/>
      <c r="E1430" s="3"/>
      <c r="F1430" s="2"/>
      <c r="G1430" s="13">
        <f>IF($B1430="IN",$D1430,0)</f>
      </c>
      <c r="H1430" s="13">
        <f>IF($B1430="OUT",$D1430,0)</f>
      </c>
    </row>
    <row x14ac:dyDescent="0.25" r="1431" customHeight="1" ht="17.25">
      <c r="A1431" s="52"/>
      <c r="B1431" s="2"/>
      <c r="C1431" s="2"/>
      <c r="D1431" s="3"/>
      <c r="E1431" s="3"/>
      <c r="F1431" s="2"/>
      <c r="G1431" s="13">
        <f>IF($B1431="IN",$D1431,0)</f>
      </c>
      <c r="H1431" s="13">
        <f>IF($B1431="OUT",$D1431,0)</f>
      </c>
    </row>
    <row x14ac:dyDescent="0.25" r="1432" customHeight="1" ht="17.25">
      <c r="A1432" s="52"/>
      <c r="B1432" s="2"/>
      <c r="C1432" s="2"/>
      <c r="D1432" s="3"/>
      <c r="E1432" s="3"/>
      <c r="F1432" s="2"/>
      <c r="G1432" s="13">
        <f>IF($B1432="IN",$D1432,0)</f>
      </c>
      <c r="H1432" s="13">
        <f>IF($B1432="OUT",$D1432,0)</f>
      </c>
    </row>
    <row x14ac:dyDescent="0.25" r="1433" customHeight="1" ht="17.25">
      <c r="A1433" s="52"/>
      <c r="B1433" s="2"/>
      <c r="C1433" s="2"/>
      <c r="D1433" s="3"/>
      <c r="E1433" s="3"/>
      <c r="F1433" s="2"/>
      <c r="G1433" s="13">
        <f>IF($B1433="IN",$D1433,0)</f>
      </c>
      <c r="H1433" s="13">
        <f>IF($B1433="OUT",$D1433,0)</f>
      </c>
    </row>
    <row x14ac:dyDescent="0.25" r="1434" customHeight="1" ht="17.25">
      <c r="A1434" s="52"/>
      <c r="B1434" s="2"/>
      <c r="C1434" s="2"/>
      <c r="D1434" s="3"/>
      <c r="E1434" s="3"/>
      <c r="F1434" s="2"/>
      <c r="G1434" s="13">
        <f>IF($B1434="IN",$D1434,0)</f>
      </c>
      <c r="H1434" s="13">
        <f>IF($B1434="OUT",$D1434,0)</f>
      </c>
    </row>
    <row x14ac:dyDescent="0.25" r="1435" customHeight="1" ht="17.25">
      <c r="A1435" s="52"/>
      <c r="B1435" s="2"/>
      <c r="C1435" s="2"/>
      <c r="D1435" s="3"/>
      <c r="E1435" s="3"/>
      <c r="F1435" s="2"/>
      <c r="G1435" s="13">
        <f>IF($B1435="IN",$D1435,0)</f>
      </c>
      <c r="H1435" s="13">
        <f>IF($B1435="OUT",$D1435,0)</f>
      </c>
    </row>
    <row x14ac:dyDescent="0.25" r="1436" customHeight="1" ht="17.25">
      <c r="A1436" s="52"/>
      <c r="B1436" s="2"/>
      <c r="C1436" s="2"/>
      <c r="D1436" s="3"/>
      <c r="E1436" s="3"/>
      <c r="F1436" s="2"/>
      <c r="G1436" s="13">
        <f>IF($B1436="IN",$D1436,0)</f>
      </c>
      <c r="H1436" s="13">
        <f>IF($B1436="OUT",$D1436,0)</f>
      </c>
    </row>
    <row x14ac:dyDescent="0.25" r="1437" customHeight="1" ht="17.25">
      <c r="A1437" s="52"/>
      <c r="B1437" s="2"/>
      <c r="C1437" s="2"/>
      <c r="D1437" s="3"/>
      <c r="E1437" s="3"/>
      <c r="F1437" s="2"/>
      <c r="G1437" s="13">
        <f>IF($B1437="IN",$D1437,0)</f>
      </c>
      <c r="H1437" s="13">
        <f>IF($B1437="OUT",$D1437,0)</f>
      </c>
    </row>
    <row x14ac:dyDescent="0.25" r="1438" customHeight="1" ht="17.25">
      <c r="A1438" s="52"/>
      <c r="B1438" s="2"/>
      <c r="C1438" s="2"/>
      <c r="D1438" s="3"/>
      <c r="E1438" s="3"/>
      <c r="F1438" s="2"/>
      <c r="G1438" s="13">
        <f>IF($B1438="IN",$D1438,0)</f>
      </c>
      <c r="H1438" s="13">
        <f>IF($B1438="OUT",$D1438,0)</f>
      </c>
    </row>
    <row x14ac:dyDescent="0.25" r="1439" customHeight="1" ht="17.25">
      <c r="A1439" s="52"/>
      <c r="B1439" s="2"/>
      <c r="C1439" s="2"/>
      <c r="D1439" s="3"/>
      <c r="E1439" s="3"/>
      <c r="F1439" s="2"/>
      <c r="G1439" s="13">
        <f>IF($B1439="IN",$D1439,0)</f>
      </c>
      <c r="H1439" s="13">
        <f>IF($B1439="OUT",$D1439,0)</f>
      </c>
    </row>
    <row x14ac:dyDescent="0.25" r="1440" customHeight="1" ht="17.25">
      <c r="A1440" s="52"/>
      <c r="B1440" s="2"/>
      <c r="C1440" s="2"/>
      <c r="D1440" s="3"/>
      <c r="E1440" s="3"/>
      <c r="F1440" s="2"/>
      <c r="G1440" s="13">
        <f>IF($B1440="IN",$D1440,0)</f>
      </c>
      <c r="H1440" s="13">
        <f>IF($B1440="OUT",$D1440,0)</f>
      </c>
    </row>
    <row x14ac:dyDescent="0.25" r="1441" customHeight="1" ht="17.25">
      <c r="A1441" s="52"/>
      <c r="B1441" s="2"/>
      <c r="C1441" s="2"/>
      <c r="D1441" s="3"/>
      <c r="E1441" s="3"/>
      <c r="F1441" s="2"/>
      <c r="G1441" s="13">
        <f>IF($B1441="IN",$D1441,0)</f>
      </c>
      <c r="H1441" s="13">
        <f>IF($B1441="OUT",$D1441,0)</f>
      </c>
    </row>
    <row x14ac:dyDescent="0.25" r="1442" customHeight="1" ht="17.25">
      <c r="A1442" s="52"/>
      <c r="B1442" s="2"/>
      <c r="C1442" s="2"/>
      <c r="D1442" s="3"/>
      <c r="E1442" s="3"/>
      <c r="F1442" s="2"/>
      <c r="G1442" s="13">
        <f>IF($B1442="IN",$D1442,0)</f>
      </c>
      <c r="H1442" s="13">
        <f>IF($B1442="OUT",$D1442,0)</f>
      </c>
    </row>
    <row x14ac:dyDescent="0.25" r="1443" customHeight="1" ht="17.25">
      <c r="A1443" s="52"/>
      <c r="B1443" s="2"/>
      <c r="C1443" s="2"/>
      <c r="D1443" s="3"/>
      <c r="E1443" s="3"/>
      <c r="F1443" s="2"/>
      <c r="G1443" s="13">
        <f>IF($B1443="IN",$D1443,0)</f>
      </c>
      <c r="H1443" s="13">
        <f>IF($B1443="OUT",$D1443,0)</f>
      </c>
    </row>
    <row x14ac:dyDescent="0.25" r="1444" customHeight="1" ht="17.25">
      <c r="A1444" s="52"/>
      <c r="B1444" s="2"/>
      <c r="C1444" s="2"/>
      <c r="D1444" s="3"/>
      <c r="E1444" s="3"/>
      <c r="F1444" s="2"/>
      <c r="G1444" s="13">
        <f>IF($B1444="IN",$D1444,0)</f>
      </c>
      <c r="H1444" s="13">
        <f>IF($B1444="OUT",$D1444,0)</f>
      </c>
    </row>
    <row x14ac:dyDescent="0.25" r="1445" customHeight="1" ht="17.25">
      <c r="A1445" s="52"/>
      <c r="B1445" s="2"/>
      <c r="C1445" s="2"/>
      <c r="D1445" s="3"/>
      <c r="E1445" s="3"/>
      <c r="F1445" s="2"/>
      <c r="G1445" s="13">
        <f>IF($B1445="IN",$D1445,0)</f>
      </c>
      <c r="H1445" s="13">
        <f>IF($B1445="OUT",$D1445,0)</f>
      </c>
    </row>
    <row x14ac:dyDescent="0.25" r="1446" customHeight="1" ht="17.25">
      <c r="A1446" s="52"/>
      <c r="B1446" s="2"/>
      <c r="C1446" s="2"/>
      <c r="D1446" s="3"/>
      <c r="E1446" s="3"/>
      <c r="F1446" s="2"/>
      <c r="G1446" s="13">
        <f>IF($B1446="IN",$D1446,0)</f>
      </c>
      <c r="H1446" s="13">
        <f>IF($B1446="OUT",$D1446,0)</f>
      </c>
    </row>
    <row x14ac:dyDescent="0.25" r="1447" customHeight="1" ht="17.25">
      <c r="A1447" s="52"/>
      <c r="B1447" s="2"/>
      <c r="C1447" s="2"/>
      <c r="D1447" s="3"/>
      <c r="E1447" s="3"/>
      <c r="F1447" s="2"/>
      <c r="G1447" s="13">
        <f>IF($B1447="IN",$D1447,0)</f>
      </c>
      <c r="H1447" s="13">
        <f>IF($B1447="OUT",$D1447,0)</f>
      </c>
    </row>
    <row x14ac:dyDescent="0.25" r="1448" customHeight="1" ht="17.25">
      <c r="A1448" s="52"/>
      <c r="B1448" s="2"/>
      <c r="C1448" s="2"/>
      <c r="D1448" s="3"/>
      <c r="E1448" s="3"/>
      <c r="F1448" s="2"/>
      <c r="G1448" s="13">
        <f>IF($B1448="IN",$D1448,0)</f>
      </c>
      <c r="H1448" s="13">
        <f>IF($B1448="OUT",$D1448,0)</f>
      </c>
    </row>
    <row x14ac:dyDescent="0.25" r="1449" customHeight="1" ht="17.25">
      <c r="A1449" s="52"/>
      <c r="B1449" s="2"/>
      <c r="C1449" s="2"/>
      <c r="D1449" s="3"/>
      <c r="E1449" s="3"/>
      <c r="F1449" s="2"/>
      <c r="G1449" s="13">
        <f>IF($B1449="IN",$D1449,0)</f>
      </c>
      <c r="H1449" s="13">
        <f>IF($B1449="OUT",$D1449,0)</f>
      </c>
    </row>
    <row x14ac:dyDescent="0.25" r="1450" customHeight="1" ht="17.25">
      <c r="A1450" s="52"/>
      <c r="B1450" s="2"/>
      <c r="C1450" s="2"/>
      <c r="D1450" s="3"/>
      <c r="E1450" s="3"/>
      <c r="F1450" s="2"/>
      <c r="G1450" s="13">
        <f>IF($B1450="IN",$D1450,0)</f>
      </c>
      <c r="H1450" s="13">
        <f>IF($B1450="OUT",$D1450,0)</f>
      </c>
    </row>
    <row x14ac:dyDescent="0.25" r="1451" customHeight="1" ht="17.25">
      <c r="A1451" s="52"/>
      <c r="B1451" s="2"/>
      <c r="C1451" s="2"/>
      <c r="D1451" s="3"/>
      <c r="E1451" s="3"/>
      <c r="F1451" s="2"/>
      <c r="G1451" s="13">
        <f>IF($B1451="IN",$D1451,0)</f>
      </c>
      <c r="H1451" s="13">
        <f>IF($B1451="OUT",$D1451,0)</f>
      </c>
    </row>
    <row x14ac:dyDescent="0.25" r="1452" customHeight="1" ht="17.25">
      <c r="A1452" s="52"/>
      <c r="B1452" s="2"/>
      <c r="C1452" s="2"/>
      <c r="D1452" s="3"/>
      <c r="E1452" s="3"/>
      <c r="F1452" s="2"/>
      <c r="G1452" s="13">
        <f>IF($B1452="IN",$D1452,0)</f>
      </c>
      <c r="H1452" s="13">
        <f>IF($B1452="OUT",$D1452,0)</f>
      </c>
    </row>
    <row x14ac:dyDescent="0.25" r="1453" customHeight="1" ht="17.25">
      <c r="A1453" s="52"/>
      <c r="B1453" s="2"/>
      <c r="C1453" s="2"/>
      <c r="D1453" s="3"/>
      <c r="E1453" s="3"/>
      <c r="F1453" s="2"/>
      <c r="G1453" s="13">
        <f>IF($B1453="IN",$D1453,0)</f>
      </c>
      <c r="H1453" s="13">
        <f>IF($B1453="OUT",$D1453,0)</f>
      </c>
    </row>
    <row x14ac:dyDescent="0.25" r="1454" customHeight="1" ht="17.25">
      <c r="A1454" s="52"/>
      <c r="B1454" s="2"/>
      <c r="C1454" s="2"/>
      <c r="D1454" s="3"/>
      <c r="E1454" s="3"/>
      <c r="F1454" s="2"/>
      <c r="G1454" s="13">
        <f>IF($B1454="IN",$D1454,0)</f>
      </c>
      <c r="H1454" s="13">
        <f>IF($B1454="OUT",$D1454,0)</f>
      </c>
    </row>
    <row x14ac:dyDescent="0.25" r="1455" customHeight="1" ht="17.25">
      <c r="A1455" s="52"/>
      <c r="B1455" s="2"/>
      <c r="C1455" s="2"/>
      <c r="D1455" s="3"/>
      <c r="E1455" s="3"/>
      <c r="F1455" s="2"/>
      <c r="G1455" s="13">
        <f>IF($B1455="IN",$D1455,0)</f>
      </c>
      <c r="H1455" s="13">
        <f>IF($B1455="OUT",$D1455,0)</f>
      </c>
    </row>
    <row x14ac:dyDescent="0.25" r="1456" customHeight="1" ht="17.25">
      <c r="A1456" s="52"/>
      <c r="B1456" s="2"/>
      <c r="C1456" s="2"/>
      <c r="D1456" s="3"/>
      <c r="E1456" s="3"/>
      <c r="F1456" s="2"/>
      <c r="G1456" s="13">
        <f>IF($B1456="IN",$D1456,0)</f>
      </c>
      <c r="H1456" s="13">
        <f>IF($B1456="OUT",$D1456,0)</f>
      </c>
    </row>
    <row x14ac:dyDescent="0.25" r="1457" customHeight="1" ht="17.25">
      <c r="A1457" s="52"/>
      <c r="B1457" s="2"/>
      <c r="C1457" s="2"/>
      <c r="D1457" s="3"/>
      <c r="E1457" s="3"/>
      <c r="F1457" s="2"/>
      <c r="G1457" s="13">
        <f>IF($B1457="IN",$D1457,0)</f>
      </c>
      <c r="H1457" s="13">
        <f>IF($B1457="OUT",$D1457,0)</f>
      </c>
    </row>
    <row x14ac:dyDescent="0.25" r="1458" customHeight="1" ht="17.25">
      <c r="A1458" s="52"/>
      <c r="B1458" s="2"/>
      <c r="C1458" s="2"/>
      <c r="D1458" s="3"/>
      <c r="E1458" s="3"/>
      <c r="F1458" s="2"/>
      <c r="G1458" s="13">
        <f>IF($B1458="IN",$D1458,0)</f>
      </c>
      <c r="H1458" s="13">
        <f>IF($B1458="OUT",$D1458,0)</f>
      </c>
    </row>
    <row x14ac:dyDescent="0.25" r="1459" customHeight="1" ht="17.25">
      <c r="A1459" s="52"/>
      <c r="B1459" s="2"/>
      <c r="C1459" s="2"/>
      <c r="D1459" s="3"/>
      <c r="E1459" s="3"/>
      <c r="F1459" s="2"/>
      <c r="G1459" s="13">
        <f>IF($B1459="IN",$D1459,0)</f>
      </c>
      <c r="H1459" s="13">
        <f>IF($B1459="OUT",$D1459,0)</f>
      </c>
    </row>
    <row x14ac:dyDescent="0.25" r="1460" customHeight="1" ht="17.25">
      <c r="A1460" s="52"/>
      <c r="B1460" s="2"/>
      <c r="C1460" s="2"/>
      <c r="D1460" s="3"/>
      <c r="E1460" s="3"/>
      <c r="F1460" s="2"/>
      <c r="G1460" s="13">
        <f>IF($B1460="IN",$D1460,0)</f>
      </c>
      <c r="H1460" s="13">
        <f>IF($B1460="OUT",$D1460,0)</f>
      </c>
    </row>
    <row x14ac:dyDescent="0.25" r="1461" customHeight="1" ht="17.25">
      <c r="A1461" s="52"/>
      <c r="B1461" s="2"/>
      <c r="C1461" s="2"/>
      <c r="D1461" s="3"/>
      <c r="E1461" s="3"/>
      <c r="F1461" s="2"/>
      <c r="G1461" s="13">
        <f>IF($B1461="IN",$D1461,0)</f>
      </c>
      <c r="H1461" s="13">
        <f>IF($B1461="OUT",$D1461,0)</f>
      </c>
    </row>
    <row x14ac:dyDescent="0.25" r="1462" customHeight="1" ht="17.25">
      <c r="A1462" s="52"/>
      <c r="B1462" s="2"/>
      <c r="C1462" s="2"/>
      <c r="D1462" s="3"/>
      <c r="E1462" s="3"/>
      <c r="F1462" s="2"/>
      <c r="G1462" s="13">
        <f>IF($B1462="IN",$D1462,0)</f>
      </c>
      <c r="H1462" s="13">
        <f>IF($B1462="OUT",$D1462,0)</f>
      </c>
    </row>
    <row x14ac:dyDescent="0.25" r="1463" customHeight="1" ht="17.25">
      <c r="A1463" s="52"/>
      <c r="B1463" s="2"/>
      <c r="C1463" s="2"/>
      <c r="D1463" s="3"/>
      <c r="E1463" s="3"/>
      <c r="F1463" s="2"/>
      <c r="G1463" s="13">
        <f>IF($B1463="IN",$D1463,0)</f>
      </c>
      <c r="H1463" s="13">
        <f>IF($B1463="OUT",$D1463,0)</f>
      </c>
    </row>
    <row x14ac:dyDescent="0.25" r="1464" customHeight="1" ht="17.25">
      <c r="A1464" s="52"/>
      <c r="B1464" s="2"/>
      <c r="C1464" s="2"/>
      <c r="D1464" s="3"/>
      <c r="E1464" s="3"/>
      <c r="F1464" s="2"/>
      <c r="G1464" s="13">
        <f>IF($B1464="IN",$D1464,0)</f>
      </c>
      <c r="H1464" s="13">
        <f>IF($B1464="OUT",$D1464,0)</f>
      </c>
    </row>
    <row x14ac:dyDescent="0.25" r="1465" customHeight="1" ht="17.25">
      <c r="A1465" s="52"/>
      <c r="B1465" s="2"/>
      <c r="C1465" s="2"/>
      <c r="D1465" s="3"/>
      <c r="E1465" s="3"/>
      <c r="F1465" s="2"/>
      <c r="G1465" s="13">
        <f>IF($B1465="IN",$D1465,0)</f>
      </c>
      <c r="H1465" s="13">
        <f>IF($B1465="OUT",$D1465,0)</f>
      </c>
    </row>
    <row x14ac:dyDescent="0.25" r="1466" customHeight="1" ht="17.25">
      <c r="A1466" s="52"/>
      <c r="B1466" s="2"/>
      <c r="C1466" s="2"/>
      <c r="D1466" s="3"/>
      <c r="E1466" s="3"/>
      <c r="F1466" s="2"/>
      <c r="G1466" s="13">
        <f>IF($B1466="IN",$D1466,0)</f>
      </c>
      <c r="H1466" s="13">
        <f>IF($B1466="OUT",$D1466,0)</f>
      </c>
    </row>
    <row x14ac:dyDescent="0.25" r="1467" customHeight="1" ht="17.25">
      <c r="A1467" s="52"/>
      <c r="B1467" s="2"/>
      <c r="C1467" s="2"/>
      <c r="D1467" s="3"/>
      <c r="E1467" s="3"/>
      <c r="F1467" s="2"/>
      <c r="G1467" s="13">
        <f>IF($B1467="IN",$D1467,0)</f>
      </c>
      <c r="H1467" s="13">
        <f>IF($B1467="OUT",$D1467,0)</f>
      </c>
    </row>
    <row x14ac:dyDescent="0.25" r="1468" customHeight="1" ht="17.25">
      <c r="A1468" s="52"/>
      <c r="B1468" s="2"/>
      <c r="C1468" s="2"/>
      <c r="D1468" s="3"/>
      <c r="E1468" s="3"/>
      <c r="F1468" s="2"/>
      <c r="G1468" s="13">
        <f>IF($B1468="IN",$D1468,0)</f>
      </c>
      <c r="H1468" s="13">
        <f>IF($B1468="OUT",$D1468,0)</f>
      </c>
    </row>
    <row x14ac:dyDescent="0.25" r="1469" customHeight="1" ht="17.25">
      <c r="A1469" s="52"/>
      <c r="B1469" s="2"/>
      <c r="C1469" s="2"/>
      <c r="D1469" s="3"/>
      <c r="E1469" s="3"/>
      <c r="F1469" s="2"/>
      <c r="G1469" s="13">
        <f>IF($B1469="IN",$D1469,0)</f>
      </c>
      <c r="H1469" s="13">
        <f>IF($B1469="OUT",$D1469,0)</f>
      </c>
    </row>
    <row x14ac:dyDescent="0.25" r="1470" customHeight="1" ht="17.25">
      <c r="A1470" s="52"/>
      <c r="B1470" s="2"/>
      <c r="C1470" s="2"/>
      <c r="D1470" s="3"/>
      <c r="E1470" s="3"/>
      <c r="F1470" s="2"/>
      <c r="G1470" s="13">
        <f>IF($B1470="IN",$D1470,0)</f>
      </c>
      <c r="H1470" s="13">
        <f>IF($B1470="OUT",$D1470,0)</f>
      </c>
    </row>
    <row x14ac:dyDescent="0.25" r="1471" customHeight="1" ht="17.25">
      <c r="A1471" s="52"/>
      <c r="B1471" s="2"/>
      <c r="C1471" s="2"/>
      <c r="D1471" s="3"/>
      <c r="E1471" s="3"/>
      <c r="F1471" s="2"/>
      <c r="G1471" s="13">
        <f>IF($B1471="IN",$D1471,0)</f>
      </c>
      <c r="H1471" s="13">
        <f>IF($B1471="OUT",$D1471,0)</f>
      </c>
    </row>
    <row x14ac:dyDescent="0.25" r="1472" customHeight="1" ht="17.25">
      <c r="A1472" s="52"/>
      <c r="B1472" s="2"/>
      <c r="C1472" s="2"/>
      <c r="D1472" s="3"/>
      <c r="E1472" s="3"/>
      <c r="F1472" s="2"/>
      <c r="G1472" s="13">
        <f>IF($B1472="IN",$D1472,0)</f>
      </c>
      <c r="H1472" s="13">
        <f>IF($B1472="OUT",$D1472,0)</f>
      </c>
    </row>
    <row x14ac:dyDescent="0.25" r="1473" customHeight="1" ht="17.25">
      <c r="A1473" s="52"/>
      <c r="B1473" s="2"/>
      <c r="C1473" s="2"/>
      <c r="D1473" s="3"/>
      <c r="E1473" s="3"/>
      <c r="F1473" s="2"/>
      <c r="G1473" s="13">
        <f>IF($B1473="IN",$D1473,0)</f>
      </c>
      <c r="H1473" s="13">
        <f>IF($B1473="OUT",$D1473,0)</f>
      </c>
    </row>
    <row x14ac:dyDescent="0.25" r="1474" customHeight="1" ht="17.25">
      <c r="A1474" s="52"/>
      <c r="B1474" s="2"/>
      <c r="C1474" s="2"/>
      <c r="D1474" s="3"/>
      <c r="E1474" s="3"/>
      <c r="F1474" s="2"/>
      <c r="G1474" s="13">
        <f>IF($B1474="IN",$D1474,0)</f>
      </c>
      <c r="H1474" s="13">
        <f>IF($B1474="OUT",$D1474,0)</f>
      </c>
    </row>
    <row x14ac:dyDescent="0.25" r="1475" customHeight="1" ht="17.25">
      <c r="A1475" s="52"/>
      <c r="B1475" s="2"/>
      <c r="C1475" s="2"/>
      <c r="D1475" s="3"/>
      <c r="E1475" s="3"/>
      <c r="F1475" s="2"/>
      <c r="G1475" s="13">
        <f>IF($B1475="IN",$D1475,0)</f>
      </c>
      <c r="H1475" s="13">
        <f>IF($B1475="OUT",$D1475,0)</f>
      </c>
    </row>
    <row x14ac:dyDescent="0.25" r="1476" customHeight="1" ht="17.25">
      <c r="A1476" s="52"/>
      <c r="B1476" s="2"/>
      <c r="C1476" s="2"/>
      <c r="D1476" s="3"/>
      <c r="E1476" s="3"/>
      <c r="F1476" s="2"/>
      <c r="G1476" s="13">
        <f>IF($B1476="IN",$D1476,0)</f>
      </c>
      <c r="H1476" s="13">
        <f>IF($B1476="OUT",$D1476,0)</f>
      </c>
    </row>
    <row x14ac:dyDescent="0.25" r="1477" customHeight="1" ht="17.25">
      <c r="A1477" s="52"/>
      <c r="B1477" s="2"/>
      <c r="C1477" s="2"/>
      <c r="D1477" s="3"/>
      <c r="E1477" s="3"/>
      <c r="F1477" s="2"/>
      <c r="G1477" s="13">
        <f>IF($B1477="IN",$D1477,0)</f>
      </c>
      <c r="H1477" s="13">
        <f>IF($B1477="OUT",$D1477,0)</f>
      </c>
    </row>
    <row x14ac:dyDescent="0.25" r="1478" customHeight="1" ht="17.25">
      <c r="A1478" s="52"/>
      <c r="B1478" s="2"/>
      <c r="C1478" s="2"/>
      <c r="D1478" s="3"/>
      <c r="E1478" s="3"/>
      <c r="F1478" s="2"/>
      <c r="G1478" s="13">
        <f>IF($B1478="IN",$D1478,0)</f>
      </c>
      <c r="H1478" s="13">
        <f>IF($B1478="OUT",$D1478,0)</f>
      </c>
    </row>
    <row x14ac:dyDescent="0.25" r="1479" customHeight="1" ht="17.25">
      <c r="A1479" s="52"/>
      <c r="B1479" s="2"/>
      <c r="C1479" s="2"/>
      <c r="D1479" s="3"/>
      <c r="E1479" s="3"/>
      <c r="F1479" s="2"/>
      <c r="G1479" s="13">
        <f>IF($B1479="IN",$D1479,0)</f>
      </c>
      <c r="H1479" s="13">
        <f>IF($B1479="OUT",$D1479,0)</f>
      </c>
    </row>
    <row x14ac:dyDescent="0.25" r="1480" customHeight="1" ht="17.25">
      <c r="A1480" s="52"/>
      <c r="B1480" s="2"/>
      <c r="C1480" s="2"/>
      <c r="D1480" s="3"/>
      <c r="E1480" s="3"/>
      <c r="F1480" s="2"/>
      <c r="G1480" s="13">
        <f>IF($B1480="IN",$D1480,0)</f>
      </c>
      <c r="H1480" s="13">
        <f>IF($B1480="OUT",$D1480,0)</f>
      </c>
    </row>
    <row x14ac:dyDescent="0.25" r="1481" customHeight="1" ht="17.25">
      <c r="A1481" s="52"/>
      <c r="B1481" s="2"/>
      <c r="C1481" s="2"/>
      <c r="D1481" s="3"/>
      <c r="E1481" s="3"/>
      <c r="F1481" s="2"/>
      <c r="G1481" s="13">
        <f>IF($B1481="IN",$D1481,0)</f>
      </c>
      <c r="H1481" s="13">
        <f>IF($B1481="OUT",$D1481,0)</f>
      </c>
    </row>
    <row x14ac:dyDescent="0.25" r="1482" customHeight="1" ht="17.25">
      <c r="A1482" s="52"/>
      <c r="B1482" s="2"/>
      <c r="C1482" s="2"/>
      <c r="D1482" s="3"/>
      <c r="E1482" s="3"/>
      <c r="F1482" s="2"/>
      <c r="G1482" s="13">
        <f>IF($B1482="IN",$D1482,0)</f>
      </c>
      <c r="H1482" s="13">
        <f>IF($B1482="OUT",$D1482,0)</f>
      </c>
    </row>
    <row x14ac:dyDescent="0.25" r="1483" customHeight="1" ht="17.25">
      <c r="A1483" s="52"/>
      <c r="B1483" s="2"/>
      <c r="C1483" s="2"/>
      <c r="D1483" s="3"/>
      <c r="E1483" s="3"/>
      <c r="F1483" s="2"/>
      <c r="G1483" s="13">
        <f>IF($B1483="IN",$D1483,0)</f>
      </c>
      <c r="H1483" s="13">
        <f>IF($B1483="OUT",$D1483,0)</f>
      </c>
    </row>
    <row x14ac:dyDescent="0.25" r="1484" customHeight="1" ht="17.25">
      <c r="A1484" s="52"/>
      <c r="B1484" s="2"/>
      <c r="C1484" s="2"/>
      <c r="D1484" s="3"/>
      <c r="E1484" s="3"/>
      <c r="F1484" s="2"/>
      <c r="G1484" s="13">
        <f>IF($B1484="IN",$D1484,0)</f>
      </c>
      <c r="H1484" s="13">
        <f>IF($B1484="OUT",$D1484,0)</f>
      </c>
    </row>
    <row x14ac:dyDescent="0.25" r="1485" customHeight="1" ht="17.25">
      <c r="A1485" s="52"/>
      <c r="B1485" s="2"/>
      <c r="C1485" s="2"/>
      <c r="D1485" s="3"/>
      <c r="E1485" s="3"/>
      <c r="F1485" s="2"/>
      <c r="G1485" s="13">
        <f>IF($B1485="IN",$D1485,0)</f>
      </c>
      <c r="H1485" s="13">
        <f>IF($B1485="OUT",$D1485,0)</f>
      </c>
    </row>
    <row x14ac:dyDescent="0.25" r="1486" customHeight="1" ht="17.25">
      <c r="A1486" s="52"/>
      <c r="B1486" s="2"/>
      <c r="C1486" s="2"/>
      <c r="D1486" s="3"/>
      <c r="E1486" s="3"/>
      <c r="F1486" s="2"/>
      <c r="G1486" s="13">
        <f>IF($B1486="IN",$D1486,0)</f>
      </c>
      <c r="H1486" s="13">
        <f>IF($B1486="OUT",$D1486,0)</f>
      </c>
    </row>
    <row x14ac:dyDescent="0.25" r="1487" customHeight="1" ht="17.25">
      <c r="A1487" s="52"/>
      <c r="B1487" s="2"/>
      <c r="C1487" s="2"/>
      <c r="D1487" s="3"/>
      <c r="E1487" s="3"/>
      <c r="F1487" s="2"/>
      <c r="G1487" s="13">
        <f>IF($B1487="IN",$D1487,0)</f>
      </c>
      <c r="H1487" s="13">
        <f>IF($B1487="OUT",$D1487,0)</f>
      </c>
    </row>
    <row x14ac:dyDescent="0.25" r="1488" customHeight="1" ht="17.25">
      <c r="A1488" s="52"/>
      <c r="B1488" s="2"/>
      <c r="C1488" s="2"/>
      <c r="D1488" s="3"/>
      <c r="E1488" s="3"/>
      <c r="F1488" s="2"/>
      <c r="G1488" s="13">
        <f>IF($B1488="IN",$D1488,0)</f>
      </c>
      <c r="H1488" s="13">
        <f>IF($B1488="OUT",$D1488,0)</f>
      </c>
    </row>
    <row x14ac:dyDescent="0.25" r="1489" customHeight="1" ht="17.25">
      <c r="A1489" s="52"/>
      <c r="B1489" s="2"/>
      <c r="C1489" s="2"/>
      <c r="D1489" s="3"/>
      <c r="E1489" s="3"/>
      <c r="F1489" s="2"/>
      <c r="G1489" s="13">
        <f>IF($B1489="IN",$D1489,0)</f>
      </c>
      <c r="H1489" s="13">
        <f>IF($B1489="OUT",$D1489,0)</f>
      </c>
    </row>
    <row x14ac:dyDescent="0.25" r="1490" customHeight="1" ht="17.25">
      <c r="A1490" s="52"/>
      <c r="B1490" s="2"/>
      <c r="C1490" s="2"/>
      <c r="D1490" s="3"/>
      <c r="E1490" s="3"/>
      <c r="F1490" s="2"/>
      <c r="G1490" s="13">
        <f>IF($B1490="IN",$D1490,0)</f>
      </c>
      <c r="H1490" s="13">
        <f>IF($B1490="OUT",$D1490,0)</f>
      </c>
    </row>
    <row x14ac:dyDescent="0.25" r="1491" customHeight="1" ht="17.25">
      <c r="A1491" s="52"/>
      <c r="B1491" s="2"/>
      <c r="C1491" s="2"/>
      <c r="D1491" s="3"/>
      <c r="E1491" s="3"/>
      <c r="F1491" s="2"/>
      <c r="G1491" s="13">
        <f>IF($B1491="IN",$D1491,0)</f>
      </c>
      <c r="H1491" s="13">
        <f>IF($B1491="OUT",$D1491,0)</f>
      </c>
    </row>
    <row x14ac:dyDescent="0.25" r="1492" customHeight="1" ht="17.25">
      <c r="A1492" s="52"/>
      <c r="B1492" s="2"/>
      <c r="C1492" s="2"/>
      <c r="D1492" s="3"/>
      <c r="E1492" s="3"/>
      <c r="F1492" s="2"/>
      <c r="G1492" s="13">
        <f>IF($B1492="IN",$D1492,0)</f>
      </c>
      <c r="H1492" s="13">
        <f>IF($B1492="OUT",$D1492,0)</f>
      </c>
    </row>
    <row x14ac:dyDescent="0.25" r="1493" customHeight="1" ht="17.25">
      <c r="A1493" s="52"/>
      <c r="B1493" s="2"/>
      <c r="C1493" s="2"/>
      <c r="D1493" s="3"/>
      <c r="E1493" s="3"/>
      <c r="F1493" s="2"/>
      <c r="G1493" s="13">
        <f>IF($B1493="IN",$D1493,0)</f>
      </c>
      <c r="H1493" s="13">
        <f>IF($B1493="OUT",$D1493,0)</f>
      </c>
    </row>
    <row x14ac:dyDescent="0.25" r="1494" customHeight="1" ht="17.25">
      <c r="A1494" s="52"/>
      <c r="B1494" s="2"/>
      <c r="C1494" s="2"/>
      <c r="D1494" s="3"/>
      <c r="E1494" s="3"/>
      <c r="F1494" s="2"/>
      <c r="G1494" s="13">
        <f>IF($B1494="IN",$D1494,0)</f>
      </c>
      <c r="H1494" s="13">
        <f>IF($B1494="OUT",$D1494,0)</f>
      </c>
    </row>
    <row x14ac:dyDescent="0.25" r="1495" customHeight="1" ht="17.25">
      <c r="A1495" s="52"/>
      <c r="B1495" s="2"/>
      <c r="C1495" s="2"/>
      <c r="D1495" s="3"/>
      <c r="E1495" s="3"/>
      <c r="F1495" s="2"/>
      <c r="G1495" s="13">
        <f>IF($B1495="IN",$D1495,0)</f>
      </c>
      <c r="H1495" s="13">
        <f>IF($B1495="OUT",$D1495,0)</f>
      </c>
    </row>
    <row x14ac:dyDescent="0.25" r="1496" customHeight="1" ht="17.25">
      <c r="A1496" s="52"/>
      <c r="B1496" s="2"/>
      <c r="C1496" s="2"/>
      <c r="D1496" s="3"/>
      <c r="E1496" s="3"/>
      <c r="F1496" s="2"/>
      <c r="G1496" s="13">
        <f>IF($B1496="IN",$D1496,0)</f>
      </c>
      <c r="H1496" s="13">
        <f>IF($B1496="OUT",$D1496,0)</f>
      </c>
    </row>
    <row x14ac:dyDescent="0.25" r="1497" customHeight="1" ht="17.25">
      <c r="A1497" s="52"/>
      <c r="B1497" s="2"/>
      <c r="C1497" s="2"/>
      <c r="D1497" s="3"/>
      <c r="E1497" s="3"/>
      <c r="F1497" s="2"/>
      <c r="G1497" s="13">
        <f>IF($B1497="IN",$D1497,0)</f>
      </c>
      <c r="H1497" s="13">
        <f>IF($B1497="OUT",$D1497,0)</f>
      </c>
    </row>
    <row x14ac:dyDescent="0.25" r="1498" customHeight="1" ht="17.25">
      <c r="A1498" s="52"/>
      <c r="B1498" s="2"/>
      <c r="C1498" s="2"/>
      <c r="D1498" s="3"/>
      <c r="E1498" s="3"/>
      <c r="F1498" s="2"/>
      <c r="G1498" s="13">
        <f>IF($B1498="IN",$D1498,0)</f>
      </c>
      <c r="H1498" s="13">
        <f>IF($B1498="OUT",$D1498,0)</f>
      </c>
    </row>
    <row x14ac:dyDescent="0.25" r="1499" customHeight="1" ht="17.25">
      <c r="A1499" s="52"/>
      <c r="B1499" s="2"/>
      <c r="C1499" s="2"/>
      <c r="D1499" s="3"/>
      <c r="E1499" s="3"/>
      <c r="F1499" s="2"/>
      <c r="G1499" s="13">
        <f>IF($B1499="IN",$D1499,0)</f>
      </c>
      <c r="H1499" s="13">
        <f>IF($B1499="OUT",$D1499,0)</f>
      </c>
    </row>
    <row x14ac:dyDescent="0.25" r="1500" customHeight="1" ht="17.25">
      <c r="A1500" s="52"/>
      <c r="B1500" s="2"/>
      <c r="C1500" s="2"/>
      <c r="D1500" s="3"/>
      <c r="E1500" s="3"/>
      <c r="F1500" s="2"/>
      <c r="G1500" s="13">
        <f>IF($B1500="IN",$D1500,0)</f>
      </c>
      <c r="H1500" s="13">
        <f>IF($B1500="OUT",$D1500,0)</f>
      </c>
    </row>
    <row x14ac:dyDescent="0.25" r="1501" customHeight="1" ht="17.25">
      <c r="A1501" s="52"/>
      <c r="B1501" s="2"/>
      <c r="C1501" s="2"/>
      <c r="D1501" s="3"/>
      <c r="E1501" s="3"/>
      <c r="F1501" s="2"/>
      <c r="G1501" s="13">
        <f>IF($B1501="IN",$D1501,0)</f>
      </c>
      <c r="H1501" s="13">
        <f>IF($B1501="OUT",$D1501,0)</f>
      </c>
    </row>
    <row x14ac:dyDescent="0.25" r="1502" customHeight="1" ht="17.25">
      <c r="A1502" s="52"/>
      <c r="B1502" s="2"/>
      <c r="C1502" s="2"/>
      <c r="D1502" s="3"/>
      <c r="E1502" s="3"/>
      <c r="F1502" s="2"/>
      <c r="G1502" s="13">
        <f>IF($B1502="IN",$D1502,0)</f>
      </c>
      <c r="H1502" s="13">
        <f>IF($B1502="OUT",$D1502,0)</f>
      </c>
    </row>
    <row x14ac:dyDescent="0.25" r="1503" customHeight="1" ht="17.25">
      <c r="A1503" s="52"/>
      <c r="B1503" s="2"/>
      <c r="C1503" s="2"/>
      <c r="D1503" s="3"/>
      <c r="E1503" s="3"/>
      <c r="F1503" s="2"/>
      <c r="G1503" s="13">
        <f>IF($B1503="IN",$D1503,0)</f>
      </c>
      <c r="H1503" s="13">
        <f>IF($B1503="OUT",$D1503,0)</f>
      </c>
    </row>
    <row x14ac:dyDescent="0.25" r="1504" customHeight="1" ht="17.25">
      <c r="A1504" s="52"/>
      <c r="B1504" s="2"/>
      <c r="C1504" s="2"/>
      <c r="D1504" s="3"/>
      <c r="E1504" s="3"/>
      <c r="F1504" s="2"/>
      <c r="G1504" s="13">
        <f>IF($B1504="IN",$D1504,0)</f>
      </c>
      <c r="H1504" s="13">
        <f>IF($B1504="OUT",$D1504,0)</f>
      </c>
    </row>
    <row x14ac:dyDescent="0.25" r="1505" customHeight="1" ht="17.25">
      <c r="A1505" s="52"/>
      <c r="B1505" s="2"/>
      <c r="C1505" s="2"/>
      <c r="D1505" s="3"/>
      <c r="E1505" s="3"/>
      <c r="F1505" s="2"/>
      <c r="G1505" s="13">
        <f>IF($B1505="IN",$D1505,0)</f>
      </c>
      <c r="H1505" s="13">
        <f>IF($B1505="OUT",$D1505,0)</f>
      </c>
    </row>
    <row x14ac:dyDescent="0.25" r="1506" customHeight="1" ht="17.25">
      <c r="A1506" s="52"/>
      <c r="B1506" s="2"/>
      <c r="C1506" s="2"/>
      <c r="D1506" s="3"/>
      <c r="E1506" s="3"/>
      <c r="F1506" s="2"/>
      <c r="G1506" s="13">
        <f>IF($B1506="IN",$D1506,0)</f>
      </c>
      <c r="H1506" s="13">
        <f>IF($B1506="OUT",$D1506,0)</f>
      </c>
    </row>
    <row x14ac:dyDescent="0.25" r="1507" customHeight="1" ht="17.25">
      <c r="A1507" s="52"/>
      <c r="B1507" s="2"/>
      <c r="C1507" s="2"/>
      <c r="D1507" s="3"/>
      <c r="E1507" s="3"/>
      <c r="F1507" s="2"/>
      <c r="G1507" s="13">
        <f>IF($B1507="IN",$D1507,0)</f>
      </c>
      <c r="H1507" s="13">
        <f>IF($B1507="OUT",$D1507,0)</f>
      </c>
    </row>
    <row x14ac:dyDescent="0.25" r="1508" customHeight="1" ht="17.25">
      <c r="A1508" s="52"/>
      <c r="B1508" s="2"/>
      <c r="C1508" s="2"/>
      <c r="D1508" s="3"/>
      <c r="E1508" s="3"/>
      <c r="F1508" s="2"/>
      <c r="G1508" s="13">
        <f>IF($B1508="IN",$D1508,0)</f>
      </c>
      <c r="H1508" s="13">
        <f>IF($B1508="OUT",$D1508,0)</f>
      </c>
    </row>
    <row x14ac:dyDescent="0.25" r="1509" customHeight="1" ht="17.25">
      <c r="A1509" s="52"/>
      <c r="B1509" s="2"/>
      <c r="C1509" s="2"/>
      <c r="D1509" s="3"/>
      <c r="E1509" s="3"/>
      <c r="F1509" s="2"/>
      <c r="G1509" s="13">
        <f>IF($B1509="IN",$D1509,0)</f>
      </c>
      <c r="H1509" s="13">
        <f>IF($B1509="OUT",$D1509,0)</f>
      </c>
    </row>
    <row x14ac:dyDescent="0.25" r="1510" customHeight="1" ht="17.25">
      <c r="A1510" s="52"/>
      <c r="B1510" s="2"/>
      <c r="C1510" s="2"/>
      <c r="D1510" s="3"/>
      <c r="E1510" s="3"/>
      <c r="F1510" s="2"/>
      <c r="G1510" s="13">
        <f>IF($B1510="IN",$D1510,0)</f>
      </c>
      <c r="H1510" s="13">
        <f>IF($B1510="OUT",$D1510,0)</f>
      </c>
    </row>
    <row x14ac:dyDescent="0.25" r="1511" customHeight="1" ht="17.25">
      <c r="A1511" s="52"/>
      <c r="B1511" s="2"/>
      <c r="C1511" s="2"/>
      <c r="D1511" s="3"/>
      <c r="E1511" s="3"/>
      <c r="F1511" s="2"/>
      <c r="G1511" s="13">
        <f>IF($B1511="IN",$D1511,0)</f>
      </c>
      <c r="H1511" s="13">
        <f>IF($B1511="OUT",$D1511,0)</f>
      </c>
    </row>
    <row x14ac:dyDescent="0.25" r="1512" customHeight="1" ht="17.25">
      <c r="A1512" s="52"/>
      <c r="B1512" s="2"/>
      <c r="C1512" s="2"/>
      <c r="D1512" s="3"/>
      <c r="E1512" s="3"/>
      <c r="F1512" s="2"/>
      <c r="G1512" s="13">
        <f>IF($B1512="IN",$D1512,0)</f>
      </c>
      <c r="H1512" s="13">
        <f>IF($B1512="OUT",$D1512,0)</f>
      </c>
    </row>
    <row x14ac:dyDescent="0.25" r="1513" customHeight="1" ht="17.25">
      <c r="A1513" s="52"/>
      <c r="B1513" s="2"/>
      <c r="C1513" s="2"/>
      <c r="D1513" s="3"/>
      <c r="E1513" s="3"/>
      <c r="F1513" s="2"/>
      <c r="G1513" s="13">
        <f>IF($B1513="IN",$D1513,0)</f>
      </c>
      <c r="H1513" s="13">
        <f>IF($B1513="OUT",$D1513,0)</f>
      </c>
    </row>
    <row x14ac:dyDescent="0.25" r="1514" customHeight="1" ht="17.25">
      <c r="A1514" s="52"/>
      <c r="B1514" s="2"/>
      <c r="C1514" s="2"/>
      <c r="D1514" s="3"/>
      <c r="E1514" s="3"/>
      <c r="F1514" s="2"/>
      <c r="G1514" s="13">
        <f>IF($B1514="IN",$D1514,0)</f>
      </c>
      <c r="H1514" s="13">
        <f>IF($B1514="OUT",$D1514,0)</f>
      </c>
    </row>
    <row x14ac:dyDescent="0.25" r="1515" customHeight="1" ht="17.25">
      <c r="A1515" s="52"/>
      <c r="B1515" s="2"/>
      <c r="C1515" s="2"/>
      <c r="D1515" s="3"/>
      <c r="E1515" s="3"/>
      <c r="F1515" s="2"/>
      <c r="G1515" s="13">
        <f>IF($B1515="IN",$D1515,0)</f>
      </c>
      <c r="H1515" s="13">
        <f>IF($B1515="OUT",$D1515,0)</f>
      </c>
    </row>
    <row x14ac:dyDescent="0.25" r="1516" customHeight="1" ht="17.25">
      <c r="A1516" s="52"/>
      <c r="B1516" s="2"/>
      <c r="C1516" s="2"/>
      <c r="D1516" s="3"/>
      <c r="E1516" s="3"/>
      <c r="F1516" s="2"/>
      <c r="G1516" s="13">
        <f>IF($B1516="IN",$D1516,0)</f>
      </c>
      <c r="H1516" s="13">
        <f>IF($B1516="OUT",$D1516,0)</f>
      </c>
    </row>
    <row x14ac:dyDescent="0.25" r="1517" customHeight="1" ht="17.25">
      <c r="A1517" s="52"/>
      <c r="B1517" s="2"/>
      <c r="C1517" s="2"/>
      <c r="D1517" s="3"/>
      <c r="E1517" s="3"/>
      <c r="F1517" s="2"/>
      <c r="G1517" s="13">
        <f>IF($B1517="IN",$D1517,0)</f>
      </c>
      <c r="H1517" s="13">
        <f>IF($B1517="OUT",$D1517,0)</f>
      </c>
    </row>
    <row x14ac:dyDescent="0.25" r="1518" customHeight="1" ht="17.25">
      <c r="A1518" s="52"/>
      <c r="B1518" s="2"/>
      <c r="C1518" s="2"/>
      <c r="D1518" s="3"/>
      <c r="E1518" s="3"/>
      <c r="F1518" s="2"/>
      <c r="G1518" s="13">
        <f>IF($B1518="IN",$D1518,0)</f>
      </c>
      <c r="H1518" s="13">
        <f>IF($B1518="OUT",$D1518,0)</f>
      </c>
    </row>
    <row x14ac:dyDescent="0.25" r="1519" customHeight="1" ht="17.25">
      <c r="A1519" s="52"/>
      <c r="B1519" s="2"/>
      <c r="C1519" s="2"/>
      <c r="D1519" s="3"/>
      <c r="E1519" s="3"/>
      <c r="F1519" s="2"/>
      <c r="G1519" s="13">
        <f>IF($B1519="IN",$D1519,0)</f>
      </c>
      <c r="H1519" s="13">
        <f>IF($B1519="OUT",$D1519,0)</f>
      </c>
    </row>
    <row x14ac:dyDescent="0.25" r="1520" customHeight="1" ht="17.25">
      <c r="A1520" s="52"/>
      <c r="B1520" s="2"/>
      <c r="C1520" s="2"/>
      <c r="D1520" s="3"/>
      <c r="E1520" s="3"/>
      <c r="F1520" s="2"/>
      <c r="G1520" s="13">
        <f>IF($B1520="IN",$D1520,0)</f>
      </c>
      <c r="H1520" s="13">
        <f>IF($B1520="OUT",$D1520,0)</f>
      </c>
    </row>
    <row x14ac:dyDescent="0.25" r="1521" customHeight="1" ht="17.25">
      <c r="A1521" s="52"/>
      <c r="B1521" s="2"/>
      <c r="C1521" s="2"/>
      <c r="D1521" s="3"/>
      <c r="E1521" s="3"/>
      <c r="F1521" s="2"/>
      <c r="G1521" s="13">
        <f>IF($B1521="IN",$D1521,0)</f>
      </c>
      <c r="H1521" s="13">
        <f>IF($B1521="OUT",$D1521,0)</f>
      </c>
    </row>
    <row x14ac:dyDescent="0.25" r="1522" customHeight="1" ht="17.25">
      <c r="A1522" s="52"/>
      <c r="B1522" s="2"/>
      <c r="C1522" s="2"/>
      <c r="D1522" s="3"/>
      <c r="E1522" s="3"/>
      <c r="F1522" s="2"/>
      <c r="G1522" s="13">
        <f>IF($B1522="IN",$D1522,0)</f>
      </c>
      <c r="H1522" s="13">
        <f>IF($B1522="OUT",$D1522,0)</f>
      </c>
    </row>
    <row x14ac:dyDescent="0.25" r="1523" customHeight="1" ht="17.25">
      <c r="A1523" s="52"/>
      <c r="B1523" s="2"/>
      <c r="C1523" s="2"/>
      <c r="D1523" s="3"/>
      <c r="E1523" s="3"/>
      <c r="F1523" s="2"/>
      <c r="G1523" s="13">
        <f>IF($B1523="IN",$D1523,0)</f>
      </c>
      <c r="H1523" s="13">
        <f>IF($B1523="OUT",$D1523,0)</f>
      </c>
    </row>
    <row x14ac:dyDescent="0.25" r="1524" customHeight="1" ht="17.25">
      <c r="A1524" s="52"/>
      <c r="B1524" s="2"/>
      <c r="C1524" s="2"/>
      <c r="D1524" s="3"/>
      <c r="E1524" s="3"/>
      <c r="F1524" s="2"/>
      <c r="G1524" s="13">
        <f>IF($B1524="IN",$D1524,0)</f>
      </c>
      <c r="H1524" s="13">
        <f>IF($B1524="OUT",$D1524,0)</f>
      </c>
    </row>
    <row x14ac:dyDescent="0.25" r="1525" customHeight="1" ht="17.25">
      <c r="A1525" s="52"/>
      <c r="B1525" s="2"/>
      <c r="C1525" s="2"/>
      <c r="D1525" s="3"/>
      <c r="E1525" s="3"/>
      <c r="F1525" s="2"/>
      <c r="G1525" s="13">
        <f>IF($B1525="IN",$D1525,0)</f>
      </c>
      <c r="H1525" s="13">
        <f>IF($B1525="OUT",$D1525,0)</f>
      </c>
    </row>
    <row x14ac:dyDescent="0.25" r="1526" customHeight="1" ht="17.25">
      <c r="A1526" s="52"/>
      <c r="B1526" s="2"/>
      <c r="C1526" s="2"/>
      <c r="D1526" s="3"/>
      <c r="E1526" s="3"/>
      <c r="F1526" s="2"/>
      <c r="G1526" s="13">
        <f>IF($B1526="IN",$D1526,0)</f>
      </c>
      <c r="H1526" s="13">
        <f>IF($B1526="OUT",$D1526,0)</f>
      </c>
    </row>
    <row x14ac:dyDescent="0.25" r="1527" customHeight="1" ht="17.25">
      <c r="A1527" s="52"/>
      <c r="B1527" s="2"/>
      <c r="C1527" s="2"/>
      <c r="D1527" s="3"/>
      <c r="E1527" s="3"/>
      <c r="F1527" s="2"/>
      <c r="G1527" s="13">
        <f>IF($B1527="IN",$D1527,0)</f>
      </c>
      <c r="H1527" s="13">
        <f>IF($B1527="OUT",$D1527,0)</f>
      </c>
    </row>
    <row x14ac:dyDescent="0.25" r="1528" customHeight="1" ht="17.25">
      <c r="A1528" s="52"/>
      <c r="B1528" s="2"/>
      <c r="C1528" s="2"/>
      <c r="D1528" s="3"/>
      <c r="E1528" s="3"/>
      <c r="F1528" s="2"/>
      <c r="G1528" s="13">
        <f>IF($B1528="IN",$D1528,0)</f>
      </c>
      <c r="H1528" s="13">
        <f>IF($B1528="OUT",$D1528,0)</f>
      </c>
    </row>
    <row x14ac:dyDescent="0.25" r="1529" customHeight="1" ht="17.25">
      <c r="A1529" s="52"/>
      <c r="B1529" s="2"/>
      <c r="C1529" s="2"/>
      <c r="D1529" s="3"/>
      <c r="E1529" s="3"/>
      <c r="F1529" s="2"/>
      <c r="G1529" s="13">
        <f>IF($B1529="IN",$D1529,0)</f>
      </c>
      <c r="H1529" s="13">
        <f>IF($B1529="OUT",$D1529,0)</f>
      </c>
    </row>
    <row x14ac:dyDescent="0.25" r="1530" customHeight="1" ht="17.25">
      <c r="A1530" s="52"/>
      <c r="B1530" s="2"/>
      <c r="C1530" s="2"/>
      <c r="D1530" s="3"/>
      <c r="E1530" s="3"/>
      <c r="F1530" s="2"/>
      <c r="G1530" s="13">
        <f>IF($B1530="IN",$D1530,0)</f>
      </c>
      <c r="H1530" s="13">
        <f>IF($B1530="OUT",$D1530,0)</f>
      </c>
    </row>
    <row x14ac:dyDescent="0.25" r="1531" customHeight="1" ht="17.25">
      <c r="A1531" s="52"/>
      <c r="B1531" s="2"/>
      <c r="C1531" s="2"/>
      <c r="D1531" s="3"/>
      <c r="E1531" s="3"/>
      <c r="F1531" s="2"/>
      <c r="G1531" s="13">
        <f>IF($B1531="IN",$D1531,0)</f>
      </c>
      <c r="H1531" s="13">
        <f>IF($B1531="OUT",$D1531,0)</f>
      </c>
    </row>
    <row x14ac:dyDescent="0.25" r="1532" customHeight="1" ht="17.25">
      <c r="A1532" s="52"/>
      <c r="B1532" s="2"/>
      <c r="C1532" s="2"/>
      <c r="D1532" s="3"/>
      <c r="E1532" s="3"/>
      <c r="F1532" s="2"/>
      <c r="G1532" s="13">
        <f>IF($B1532="IN",$D1532,0)</f>
      </c>
      <c r="H1532" s="13">
        <f>IF($B1532="OUT",$D1532,0)</f>
      </c>
    </row>
    <row x14ac:dyDescent="0.25" r="1533" customHeight="1" ht="17.25">
      <c r="A1533" s="52"/>
      <c r="B1533" s="2"/>
      <c r="C1533" s="2"/>
      <c r="D1533" s="3"/>
      <c r="E1533" s="3"/>
      <c r="F1533" s="2"/>
      <c r="G1533" s="13">
        <f>IF($B1533="IN",$D1533,0)</f>
      </c>
      <c r="H1533" s="13">
        <f>IF($B1533="OUT",$D1533,0)</f>
      </c>
    </row>
    <row x14ac:dyDescent="0.25" r="1534" customHeight="1" ht="17.25">
      <c r="A1534" s="52"/>
      <c r="B1534" s="2"/>
      <c r="C1534" s="2"/>
      <c r="D1534" s="3"/>
      <c r="E1534" s="3"/>
      <c r="F1534" s="2"/>
      <c r="G1534" s="13">
        <f>IF($B1534="IN",$D1534,0)</f>
      </c>
      <c r="H1534" s="13">
        <f>IF($B1534="OUT",$D1534,0)</f>
      </c>
    </row>
    <row x14ac:dyDescent="0.25" r="1535" customHeight="1" ht="17.25">
      <c r="A1535" s="52"/>
      <c r="B1535" s="2"/>
      <c r="C1535" s="2"/>
      <c r="D1535" s="3"/>
      <c r="E1535" s="3"/>
      <c r="F1535" s="2"/>
      <c r="G1535" s="13">
        <f>IF($B1535="IN",$D1535,0)</f>
      </c>
      <c r="H1535" s="13">
        <f>IF($B1535="OUT",$D1535,0)</f>
      </c>
    </row>
    <row x14ac:dyDescent="0.25" r="1536" customHeight="1" ht="17.25">
      <c r="A1536" s="52"/>
      <c r="B1536" s="2"/>
      <c r="C1536" s="2"/>
      <c r="D1536" s="3"/>
      <c r="E1536" s="3"/>
      <c r="F1536" s="2"/>
      <c r="G1536" s="13">
        <f>IF($B1536="IN",$D1536,0)</f>
      </c>
      <c r="H1536" s="13">
        <f>IF($B1536="OUT",$D1536,0)</f>
      </c>
    </row>
    <row x14ac:dyDescent="0.25" r="1537" customHeight="1" ht="17.25">
      <c r="A1537" s="52"/>
      <c r="B1537" s="2"/>
      <c r="C1537" s="2"/>
      <c r="D1537" s="3"/>
      <c r="E1537" s="3"/>
      <c r="F1537" s="2"/>
      <c r="G1537" s="13">
        <f>IF($B1537="IN",$D1537,0)</f>
      </c>
      <c r="H1537" s="13">
        <f>IF($B1537="OUT",$D1537,0)</f>
      </c>
    </row>
    <row x14ac:dyDescent="0.25" r="1538" customHeight="1" ht="17.25">
      <c r="A1538" s="52"/>
      <c r="B1538" s="2"/>
      <c r="C1538" s="2"/>
      <c r="D1538" s="3"/>
      <c r="E1538" s="3"/>
      <c r="F1538" s="2"/>
      <c r="G1538" s="13">
        <f>IF($B1538="IN",$D1538,0)</f>
      </c>
      <c r="H1538" s="13">
        <f>IF($B1538="OUT",$D1538,0)</f>
      </c>
    </row>
    <row x14ac:dyDescent="0.25" r="1539" customHeight="1" ht="17.25">
      <c r="A1539" s="52"/>
      <c r="B1539" s="2"/>
      <c r="C1539" s="2"/>
      <c r="D1539" s="3"/>
      <c r="E1539" s="3"/>
      <c r="F1539" s="2"/>
      <c r="G1539" s="13">
        <f>IF($B1539="IN",$D1539,0)</f>
      </c>
      <c r="H1539" s="13">
        <f>IF($B1539="OUT",$D1539,0)</f>
      </c>
    </row>
    <row x14ac:dyDescent="0.25" r="1540" customHeight="1" ht="17.25">
      <c r="A1540" s="52"/>
      <c r="B1540" s="2"/>
      <c r="C1540" s="2"/>
      <c r="D1540" s="3"/>
      <c r="E1540" s="3"/>
      <c r="F1540" s="2"/>
      <c r="G1540" s="13">
        <f>IF($B1540="IN",$D1540,0)</f>
      </c>
      <c r="H1540" s="13">
        <f>IF($B1540="OUT",$D1540,0)</f>
      </c>
    </row>
    <row x14ac:dyDescent="0.25" r="1541" customHeight="1" ht="17.25">
      <c r="A1541" s="52"/>
      <c r="B1541" s="2"/>
      <c r="C1541" s="2"/>
      <c r="D1541" s="3"/>
      <c r="E1541" s="3"/>
      <c r="F1541" s="2"/>
      <c r="G1541" s="13">
        <f>IF($B1541="IN",$D1541,0)</f>
      </c>
      <c r="H1541" s="13">
        <f>IF($B1541="OUT",$D1541,0)</f>
      </c>
    </row>
    <row x14ac:dyDescent="0.25" r="1542" customHeight="1" ht="17.25">
      <c r="A1542" s="52"/>
      <c r="B1542" s="2"/>
      <c r="C1542" s="2"/>
      <c r="D1542" s="3"/>
      <c r="E1542" s="3"/>
      <c r="F1542" s="2"/>
      <c r="G1542" s="13">
        <f>IF($B1542="IN",$D1542,0)</f>
      </c>
      <c r="H1542" s="13">
        <f>IF($B1542="OUT",$D1542,0)</f>
      </c>
    </row>
    <row x14ac:dyDescent="0.25" r="1543" customHeight="1" ht="17.25">
      <c r="A1543" s="52"/>
      <c r="B1543" s="2"/>
      <c r="C1543" s="2"/>
      <c r="D1543" s="3"/>
      <c r="E1543" s="3"/>
      <c r="F1543" s="2"/>
      <c r="G1543" s="13">
        <f>IF($B1543="IN",$D1543,0)</f>
      </c>
      <c r="H1543" s="13">
        <f>IF($B1543="OUT",$D1543,0)</f>
      </c>
    </row>
    <row x14ac:dyDescent="0.25" r="1544" customHeight="1" ht="17.25">
      <c r="A1544" s="52"/>
      <c r="B1544" s="2"/>
      <c r="C1544" s="2"/>
      <c r="D1544" s="3"/>
      <c r="E1544" s="3"/>
      <c r="F1544" s="2"/>
      <c r="G1544" s="13">
        <f>IF($B1544="IN",$D1544,0)</f>
      </c>
      <c r="H1544" s="13">
        <f>IF($B1544="OUT",$D1544,0)</f>
      </c>
    </row>
    <row x14ac:dyDescent="0.25" r="1545" customHeight="1" ht="17.25">
      <c r="A1545" s="52"/>
      <c r="B1545" s="2"/>
      <c r="C1545" s="2"/>
      <c r="D1545" s="3"/>
      <c r="E1545" s="3"/>
      <c r="F1545" s="2"/>
      <c r="G1545" s="13">
        <f>IF($B1545="IN",$D1545,0)</f>
      </c>
      <c r="H1545" s="13">
        <f>IF($B1545="OUT",$D1545,0)</f>
      </c>
    </row>
    <row x14ac:dyDescent="0.25" r="1546" customHeight="1" ht="17.25">
      <c r="A1546" s="52"/>
      <c r="B1546" s="2"/>
      <c r="C1546" s="2"/>
      <c r="D1546" s="3"/>
      <c r="E1546" s="3"/>
      <c r="F1546" s="2"/>
      <c r="G1546" s="13">
        <f>IF($B1546="IN",$D1546,0)</f>
      </c>
      <c r="H1546" s="13">
        <f>IF($B1546="OUT",$D1546,0)</f>
      </c>
    </row>
    <row x14ac:dyDescent="0.25" r="1547" customHeight="1" ht="17.25">
      <c r="A1547" s="52"/>
      <c r="B1547" s="2"/>
      <c r="C1547" s="2"/>
      <c r="D1547" s="3"/>
      <c r="E1547" s="3"/>
      <c r="F1547" s="2"/>
      <c r="G1547" s="13">
        <f>IF($B1547="IN",$D1547,0)</f>
      </c>
      <c r="H1547" s="13">
        <f>IF($B1547="OUT",$D1547,0)</f>
      </c>
    </row>
    <row x14ac:dyDescent="0.25" r="1548" customHeight="1" ht="17.25">
      <c r="A1548" s="52"/>
      <c r="B1548" s="2"/>
      <c r="C1548" s="2"/>
      <c r="D1548" s="3"/>
      <c r="E1548" s="3"/>
      <c r="F1548" s="2"/>
      <c r="G1548" s="13">
        <f>IF($B1548="IN",$D1548,0)</f>
      </c>
      <c r="H1548" s="13">
        <f>IF($B1548="OUT",$D1548,0)</f>
      </c>
    </row>
    <row x14ac:dyDescent="0.25" r="1549" customHeight="1" ht="17.25">
      <c r="A1549" s="52"/>
      <c r="B1549" s="2"/>
      <c r="C1549" s="2"/>
      <c r="D1549" s="3"/>
      <c r="E1549" s="3"/>
      <c r="F1549" s="2"/>
      <c r="G1549" s="13">
        <f>IF($B1549="IN",$D1549,0)</f>
      </c>
      <c r="H1549" s="13">
        <f>IF($B1549="OUT",$D1549,0)</f>
      </c>
    </row>
    <row x14ac:dyDescent="0.25" r="1550" customHeight="1" ht="17.25">
      <c r="A1550" s="52"/>
      <c r="B1550" s="2"/>
      <c r="C1550" s="2"/>
      <c r="D1550" s="3"/>
      <c r="E1550" s="3"/>
      <c r="F1550" s="2"/>
      <c r="G1550" s="13">
        <f>IF($B1550="IN",$D1550,0)</f>
      </c>
      <c r="H1550" s="13">
        <f>IF($B1550="OUT",$D1550,0)</f>
      </c>
    </row>
    <row x14ac:dyDescent="0.25" r="1551" customHeight="1" ht="17.25">
      <c r="A1551" s="52"/>
      <c r="B1551" s="2"/>
      <c r="C1551" s="2"/>
      <c r="D1551" s="3"/>
      <c r="E1551" s="3"/>
      <c r="F1551" s="2"/>
      <c r="G1551" s="13">
        <f>IF($B1551="IN",$D1551,0)</f>
      </c>
      <c r="H1551" s="13">
        <f>IF($B1551="OUT",$D1551,0)</f>
      </c>
    </row>
    <row x14ac:dyDescent="0.25" r="1552" customHeight="1" ht="17.25">
      <c r="A1552" s="52"/>
      <c r="B1552" s="2"/>
      <c r="C1552" s="2"/>
      <c r="D1552" s="3"/>
      <c r="E1552" s="3"/>
      <c r="F1552" s="2"/>
      <c r="G1552" s="13">
        <f>IF($B1552="IN",$D1552,0)</f>
      </c>
      <c r="H1552" s="13">
        <f>IF($B1552="OUT",$D1552,0)</f>
      </c>
    </row>
    <row x14ac:dyDescent="0.25" r="1553" customHeight="1" ht="17.25">
      <c r="A1553" s="52"/>
      <c r="B1553" s="2"/>
      <c r="C1553" s="2"/>
      <c r="D1553" s="3"/>
      <c r="E1553" s="3"/>
      <c r="F1553" s="2"/>
      <c r="G1553" s="13">
        <f>IF($B1553="IN",$D1553,0)</f>
      </c>
      <c r="H1553" s="13">
        <f>IF($B1553="OUT",$D1553,0)</f>
      </c>
    </row>
    <row x14ac:dyDescent="0.25" r="1554" customHeight="1" ht="17.25">
      <c r="A1554" s="52"/>
      <c r="B1554" s="2"/>
      <c r="C1554" s="2"/>
      <c r="D1554" s="3"/>
      <c r="E1554" s="3"/>
      <c r="F1554" s="2"/>
      <c r="G1554" s="13">
        <f>IF($B1554="IN",$D1554,0)</f>
      </c>
      <c r="H1554" s="13">
        <f>IF($B1554="OUT",$D1554,0)</f>
      </c>
    </row>
    <row x14ac:dyDescent="0.25" r="1555" customHeight="1" ht="17.25">
      <c r="A1555" s="52"/>
      <c r="B1555" s="2"/>
      <c r="C1555" s="2"/>
      <c r="D1555" s="3"/>
      <c r="E1555" s="3"/>
      <c r="F1555" s="2"/>
      <c r="G1555" s="13">
        <f>IF($B1555="IN",$D1555,0)</f>
      </c>
      <c r="H1555" s="13">
        <f>IF($B1555="OUT",$D1555,0)</f>
      </c>
    </row>
    <row x14ac:dyDescent="0.25" r="1556" customHeight="1" ht="17.25">
      <c r="A1556" s="52"/>
      <c r="B1556" s="2"/>
      <c r="C1556" s="2"/>
      <c r="D1556" s="3"/>
      <c r="E1556" s="3"/>
      <c r="F1556" s="2"/>
      <c r="G1556" s="13">
        <f>IF($B1556="IN",$D1556,0)</f>
      </c>
      <c r="H1556" s="13">
        <f>IF($B1556="OUT",$D1556,0)</f>
      </c>
    </row>
    <row x14ac:dyDescent="0.25" r="1557" customHeight="1" ht="17.25">
      <c r="A1557" s="52"/>
      <c r="B1557" s="2"/>
      <c r="C1557" s="2"/>
      <c r="D1557" s="3"/>
      <c r="E1557" s="3"/>
      <c r="F1557" s="2"/>
      <c r="G1557" s="13">
        <f>IF($B1557="IN",$D1557,0)</f>
      </c>
      <c r="H1557" s="13">
        <f>IF($B1557="OUT",$D1557,0)</f>
      </c>
    </row>
    <row x14ac:dyDescent="0.25" r="1558" customHeight="1" ht="17.25">
      <c r="A1558" s="52"/>
      <c r="B1558" s="2"/>
      <c r="C1558" s="2"/>
      <c r="D1558" s="3"/>
      <c r="E1558" s="3"/>
      <c r="F1558" s="2"/>
      <c r="G1558" s="13">
        <f>IF($B1558="IN",$D1558,0)</f>
      </c>
      <c r="H1558" s="13">
        <f>IF($B1558="OUT",$D1558,0)</f>
      </c>
    </row>
    <row x14ac:dyDescent="0.25" r="1559" customHeight="1" ht="17.25">
      <c r="A1559" s="52"/>
      <c r="B1559" s="2"/>
      <c r="C1559" s="2"/>
      <c r="D1559" s="3"/>
      <c r="E1559" s="3"/>
      <c r="F1559" s="2"/>
      <c r="G1559" s="13">
        <f>IF($B1559="IN",$D1559,0)</f>
      </c>
      <c r="H1559" s="13">
        <f>IF($B1559="OUT",$D1559,0)</f>
      </c>
    </row>
    <row x14ac:dyDescent="0.25" r="1560" customHeight="1" ht="17.25">
      <c r="A1560" s="52"/>
      <c r="B1560" s="2"/>
      <c r="C1560" s="2"/>
      <c r="D1560" s="3"/>
      <c r="E1560" s="3"/>
      <c r="F1560" s="2"/>
      <c r="G1560" s="13">
        <f>IF($B1560="IN",$D1560,0)</f>
      </c>
      <c r="H1560" s="13">
        <f>IF($B1560="OUT",$D1560,0)</f>
      </c>
    </row>
    <row x14ac:dyDescent="0.25" r="1561" customHeight="1" ht="17.25">
      <c r="A1561" s="52"/>
      <c r="B1561" s="2"/>
      <c r="C1561" s="2"/>
      <c r="D1561" s="3"/>
      <c r="E1561" s="3"/>
      <c r="F1561" s="2"/>
      <c r="G1561" s="13">
        <f>IF($B1561="IN",$D1561,0)</f>
      </c>
      <c r="H1561" s="13">
        <f>IF($B1561="OUT",$D1561,0)</f>
      </c>
    </row>
    <row x14ac:dyDescent="0.25" r="1562" customHeight="1" ht="17.25">
      <c r="A1562" s="52"/>
      <c r="B1562" s="2"/>
      <c r="C1562" s="2"/>
      <c r="D1562" s="3"/>
      <c r="E1562" s="3"/>
      <c r="F1562" s="2"/>
      <c r="G1562" s="13">
        <f>IF($B1562="IN",$D1562,0)</f>
      </c>
      <c r="H1562" s="13">
        <f>IF($B1562="OUT",$D1562,0)</f>
      </c>
    </row>
    <row x14ac:dyDescent="0.25" r="1563" customHeight="1" ht="17.25">
      <c r="A1563" s="52"/>
      <c r="B1563" s="2"/>
      <c r="C1563" s="2"/>
      <c r="D1563" s="3"/>
      <c r="E1563" s="3"/>
      <c r="F1563" s="2"/>
      <c r="G1563" s="13">
        <f>IF($B1563="IN",$D1563,0)</f>
      </c>
      <c r="H1563" s="13">
        <f>IF($B1563="OUT",$D1563,0)</f>
      </c>
    </row>
    <row x14ac:dyDescent="0.25" r="1564" customHeight="1" ht="17.25">
      <c r="A1564" s="52"/>
      <c r="B1564" s="2"/>
      <c r="C1564" s="2"/>
      <c r="D1564" s="3"/>
      <c r="E1564" s="3"/>
      <c r="F1564" s="2"/>
      <c r="G1564" s="13">
        <f>IF($B1564="IN",$D1564,0)</f>
      </c>
      <c r="H1564" s="13">
        <f>IF($B1564="OUT",$D1564,0)</f>
      </c>
    </row>
    <row x14ac:dyDescent="0.25" r="1565" customHeight="1" ht="17.25">
      <c r="A1565" s="52"/>
      <c r="B1565" s="2"/>
      <c r="C1565" s="2"/>
      <c r="D1565" s="3"/>
      <c r="E1565" s="3"/>
      <c r="F1565" s="2"/>
      <c r="G1565" s="13">
        <f>IF($B1565="IN",$D1565,0)</f>
      </c>
      <c r="H1565" s="13">
        <f>IF($B1565="OUT",$D1565,0)</f>
      </c>
    </row>
    <row x14ac:dyDescent="0.25" r="1566" customHeight="1" ht="17.25">
      <c r="A1566" s="52"/>
      <c r="B1566" s="2"/>
      <c r="C1566" s="2"/>
      <c r="D1566" s="3"/>
      <c r="E1566" s="3"/>
      <c r="F1566" s="2"/>
      <c r="G1566" s="13">
        <f>IF($B1566="IN",$D1566,0)</f>
      </c>
      <c r="H1566" s="13">
        <f>IF($B1566="OUT",$D1566,0)</f>
      </c>
    </row>
    <row x14ac:dyDescent="0.25" r="1567" customHeight="1" ht="17.25">
      <c r="A1567" s="52"/>
      <c r="B1567" s="2"/>
      <c r="C1567" s="2"/>
      <c r="D1567" s="3"/>
      <c r="E1567" s="3"/>
      <c r="F1567" s="2"/>
      <c r="G1567" s="13">
        <f>IF($B1567="IN",$D1567,0)</f>
      </c>
      <c r="H1567" s="13">
        <f>IF($B1567="OUT",$D1567,0)</f>
      </c>
    </row>
    <row x14ac:dyDescent="0.25" r="1568" customHeight="1" ht="17.25">
      <c r="A1568" s="52"/>
      <c r="B1568" s="2"/>
      <c r="C1568" s="2"/>
      <c r="D1568" s="3"/>
      <c r="E1568" s="3"/>
      <c r="F1568" s="2"/>
      <c r="G1568" s="13">
        <f>IF($B1568="IN",$D1568,0)</f>
      </c>
      <c r="H1568" s="13">
        <f>IF($B1568="OUT",$D1568,0)</f>
      </c>
    </row>
    <row x14ac:dyDescent="0.25" r="1569" customHeight="1" ht="17.25">
      <c r="A1569" s="52"/>
      <c r="B1569" s="2"/>
      <c r="C1569" s="2"/>
      <c r="D1569" s="3"/>
      <c r="E1569" s="3"/>
      <c r="F1569" s="2"/>
      <c r="G1569" s="13">
        <f>IF($B1569="IN",$D1569,0)</f>
      </c>
      <c r="H1569" s="13">
        <f>IF($B1569="OUT",$D1569,0)</f>
      </c>
    </row>
    <row x14ac:dyDescent="0.25" r="1570" customHeight="1" ht="17.25">
      <c r="A1570" s="52"/>
      <c r="B1570" s="2"/>
      <c r="C1570" s="2"/>
      <c r="D1570" s="3"/>
      <c r="E1570" s="3"/>
      <c r="F1570" s="2"/>
      <c r="G1570" s="13">
        <f>IF($B1570="IN",$D1570,0)</f>
      </c>
      <c r="H1570" s="13">
        <f>IF($B1570="OUT",$D1570,0)</f>
      </c>
    </row>
    <row x14ac:dyDescent="0.25" r="1571" customHeight="1" ht="17.25">
      <c r="A1571" s="52"/>
      <c r="B1571" s="2"/>
      <c r="C1571" s="2"/>
      <c r="D1571" s="3"/>
      <c r="E1571" s="3"/>
      <c r="F1571" s="2"/>
      <c r="G1571" s="13">
        <f>IF($B1571="IN",$D1571,0)</f>
      </c>
      <c r="H1571" s="13">
        <f>IF($B1571="OUT",$D1571,0)</f>
      </c>
    </row>
    <row x14ac:dyDescent="0.25" r="1572" customHeight="1" ht="17.25">
      <c r="A1572" s="52"/>
      <c r="B1572" s="2"/>
      <c r="C1572" s="2"/>
      <c r="D1572" s="3"/>
      <c r="E1572" s="3"/>
      <c r="F1572" s="2"/>
      <c r="G1572" s="13">
        <f>IF($B1572="IN",$D1572,0)</f>
      </c>
      <c r="H1572" s="13">
        <f>IF($B1572="OUT",$D1572,0)</f>
      </c>
    </row>
    <row x14ac:dyDescent="0.25" r="1573" customHeight="1" ht="17.25">
      <c r="A1573" s="52"/>
      <c r="B1573" s="2"/>
      <c r="C1573" s="2"/>
      <c r="D1573" s="3"/>
      <c r="E1573" s="3"/>
      <c r="F1573" s="2"/>
      <c r="G1573" s="13">
        <f>IF($B1573="IN",$D1573,0)</f>
      </c>
      <c r="H1573" s="13">
        <f>IF($B1573="OUT",$D1573,0)</f>
      </c>
    </row>
    <row x14ac:dyDescent="0.25" r="1574" customHeight="1" ht="17.25">
      <c r="A1574" s="52"/>
      <c r="B1574" s="2"/>
      <c r="C1574" s="2"/>
      <c r="D1574" s="3"/>
      <c r="E1574" s="3"/>
      <c r="F1574" s="2"/>
      <c r="G1574" s="13">
        <f>IF($B1574="IN",$D1574,0)</f>
      </c>
      <c r="H1574" s="13">
        <f>IF($B1574="OUT",$D1574,0)</f>
      </c>
    </row>
    <row x14ac:dyDescent="0.25" r="1575" customHeight="1" ht="17.25">
      <c r="A1575" s="52"/>
      <c r="B1575" s="2"/>
      <c r="C1575" s="2"/>
      <c r="D1575" s="3"/>
      <c r="E1575" s="3"/>
      <c r="F1575" s="2"/>
      <c r="G1575" s="13">
        <f>IF($B1575="IN",$D1575,0)</f>
      </c>
      <c r="H1575" s="13">
        <f>IF($B1575="OUT",$D1575,0)</f>
      </c>
    </row>
    <row x14ac:dyDescent="0.25" r="1576" customHeight="1" ht="17.25">
      <c r="A1576" s="52"/>
      <c r="B1576" s="2"/>
      <c r="C1576" s="2"/>
      <c r="D1576" s="3"/>
      <c r="E1576" s="3"/>
      <c r="F1576" s="2"/>
      <c r="G1576" s="13">
        <f>IF($B1576="IN",$D1576,0)</f>
      </c>
      <c r="H1576" s="13">
        <f>IF($B1576="OUT",$D1576,0)</f>
      </c>
    </row>
    <row x14ac:dyDescent="0.25" r="1577" customHeight="1" ht="17.25">
      <c r="A1577" s="52"/>
      <c r="B1577" s="2"/>
      <c r="C1577" s="2"/>
      <c r="D1577" s="3"/>
      <c r="E1577" s="3"/>
      <c r="F1577" s="2"/>
      <c r="G1577" s="13">
        <f>IF($B1577="IN",$D1577,0)</f>
      </c>
      <c r="H1577" s="13">
        <f>IF($B1577="OUT",$D1577,0)</f>
      </c>
    </row>
    <row x14ac:dyDescent="0.25" r="1578" customHeight="1" ht="17.25">
      <c r="A1578" s="52"/>
      <c r="B1578" s="2"/>
      <c r="C1578" s="2"/>
      <c r="D1578" s="3"/>
      <c r="E1578" s="3"/>
      <c r="F1578" s="2"/>
      <c r="G1578" s="13">
        <f>IF($B1578="IN",$D1578,0)</f>
      </c>
      <c r="H1578" s="13">
        <f>IF($B1578="OUT",$D1578,0)</f>
      </c>
    </row>
    <row x14ac:dyDescent="0.25" r="1579" customHeight="1" ht="17.25">
      <c r="A1579" s="52"/>
      <c r="B1579" s="2"/>
      <c r="C1579" s="2"/>
      <c r="D1579" s="3"/>
      <c r="E1579" s="3"/>
      <c r="F1579" s="2"/>
      <c r="G1579" s="13">
        <f>IF($B1579="IN",$D1579,0)</f>
      </c>
      <c r="H1579" s="13">
        <f>IF($B1579="OUT",$D1579,0)</f>
      </c>
    </row>
    <row x14ac:dyDescent="0.25" r="1580" customHeight="1" ht="17.25">
      <c r="A1580" s="52"/>
      <c r="B1580" s="2"/>
      <c r="C1580" s="2"/>
      <c r="D1580" s="3"/>
      <c r="E1580" s="3"/>
      <c r="F1580" s="2"/>
      <c r="G1580" s="13">
        <f>IF($B1580="IN",$D1580,0)</f>
      </c>
      <c r="H1580" s="13">
        <f>IF($B1580="OUT",$D1580,0)</f>
      </c>
    </row>
    <row x14ac:dyDescent="0.25" r="1581" customHeight="1" ht="17.25">
      <c r="A1581" s="52"/>
      <c r="B1581" s="2"/>
      <c r="C1581" s="2"/>
      <c r="D1581" s="3"/>
      <c r="E1581" s="3"/>
      <c r="F1581" s="2"/>
      <c r="G1581" s="13">
        <f>IF($B1581="IN",$D1581,0)</f>
      </c>
      <c r="H1581" s="13">
        <f>IF($B1581="OUT",$D1581,0)</f>
      </c>
    </row>
    <row x14ac:dyDescent="0.25" r="1582" customHeight="1" ht="17.25">
      <c r="A1582" s="52"/>
      <c r="B1582" s="2"/>
      <c r="C1582" s="2"/>
      <c r="D1582" s="3"/>
      <c r="E1582" s="3"/>
      <c r="F1582" s="2"/>
      <c r="G1582" s="13">
        <f>IF($B1582="IN",$D1582,0)</f>
      </c>
      <c r="H1582" s="13">
        <f>IF($B1582="OUT",$D1582,0)</f>
      </c>
    </row>
    <row x14ac:dyDescent="0.25" r="1583" customHeight="1" ht="17.25">
      <c r="A1583" s="52"/>
      <c r="B1583" s="2"/>
      <c r="C1583" s="2"/>
      <c r="D1583" s="3"/>
      <c r="E1583" s="3"/>
      <c r="F1583" s="2"/>
      <c r="G1583" s="13">
        <f>IF($B1583="IN",$D1583,0)</f>
      </c>
      <c r="H1583" s="13">
        <f>IF($B1583="OUT",$D1583,0)</f>
      </c>
    </row>
    <row x14ac:dyDescent="0.25" r="1584" customHeight="1" ht="17.25">
      <c r="A1584" s="52"/>
      <c r="B1584" s="2"/>
      <c r="C1584" s="2"/>
      <c r="D1584" s="3"/>
      <c r="E1584" s="3"/>
      <c r="F1584" s="2"/>
      <c r="G1584" s="13">
        <f>IF($B1584="IN",$D1584,0)</f>
      </c>
      <c r="H1584" s="13">
        <f>IF($B1584="OUT",$D1584,0)</f>
      </c>
    </row>
    <row x14ac:dyDescent="0.25" r="1585" customHeight="1" ht="17.25">
      <c r="A1585" s="52"/>
      <c r="B1585" s="2"/>
      <c r="C1585" s="2"/>
      <c r="D1585" s="3"/>
      <c r="E1585" s="3"/>
      <c r="F1585" s="2"/>
      <c r="G1585" s="13">
        <f>IF($B1585="IN",$D1585,0)</f>
      </c>
      <c r="H1585" s="13">
        <f>IF($B1585="OUT",$D1585,0)</f>
      </c>
    </row>
    <row x14ac:dyDescent="0.25" r="1586" customHeight="1" ht="17.25">
      <c r="A1586" s="52"/>
      <c r="B1586" s="2"/>
      <c r="C1586" s="2"/>
      <c r="D1586" s="3"/>
      <c r="E1586" s="3"/>
      <c r="F1586" s="2"/>
      <c r="G1586" s="13">
        <f>IF($B1586="IN",$D1586,0)</f>
      </c>
      <c r="H1586" s="13">
        <f>IF($B1586="OUT",$D1586,0)</f>
      </c>
    </row>
    <row x14ac:dyDescent="0.25" r="1587" customHeight="1" ht="17.25">
      <c r="A1587" s="52"/>
      <c r="B1587" s="2"/>
      <c r="C1587" s="2"/>
      <c r="D1587" s="3"/>
      <c r="E1587" s="3"/>
      <c r="F1587" s="2"/>
      <c r="G1587" s="13">
        <f>IF($B1587="IN",$D1587,0)</f>
      </c>
      <c r="H1587" s="13">
        <f>IF($B1587="OUT",$D1587,0)</f>
      </c>
    </row>
    <row x14ac:dyDescent="0.25" r="1588" customHeight="1" ht="17.25">
      <c r="A1588" s="52"/>
      <c r="B1588" s="2"/>
      <c r="C1588" s="2"/>
      <c r="D1588" s="3"/>
      <c r="E1588" s="3"/>
      <c r="F1588" s="2"/>
      <c r="G1588" s="13">
        <f>IF($B1588="IN",$D1588,0)</f>
      </c>
      <c r="H1588" s="13">
        <f>IF($B1588="OUT",$D1588,0)</f>
      </c>
    </row>
    <row x14ac:dyDescent="0.25" r="1589" customHeight="1" ht="17.25">
      <c r="A1589" s="52"/>
      <c r="B1589" s="2"/>
      <c r="C1589" s="2"/>
      <c r="D1589" s="3"/>
      <c r="E1589" s="3"/>
      <c r="F1589" s="2"/>
      <c r="G1589" s="13">
        <f>IF($B1589="IN",$D1589,0)</f>
      </c>
      <c r="H1589" s="13">
        <f>IF($B1589="OUT",$D1589,0)</f>
      </c>
    </row>
    <row x14ac:dyDescent="0.25" r="1590" customHeight="1" ht="17.25">
      <c r="A1590" s="52"/>
      <c r="B1590" s="2"/>
      <c r="C1590" s="2"/>
      <c r="D1590" s="3"/>
      <c r="E1590" s="3"/>
      <c r="F1590" s="2"/>
      <c r="G1590" s="13">
        <f>IF($B1590="IN",$D1590,0)</f>
      </c>
      <c r="H1590" s="13">
        <f>IF($B1590="OUT",$D1590,0)</f>
      </c>
    </row>
    <row x14ac:dyDescent="0.25" r="1591" customHeight="1" ht="17.25">
      <c r="A1591" s="52"/>
      <c r="B1591" s="2"/>
      <c r="C1591" s="2"/>
      <c r="D1591" s="3"/>
      <c r="E1591" s="3"/>
      <c r="F1591" s="2"/>
      <c r="G1591" s="13">
        <f>IF($B1591="IN",$D1591,0)</f>
      </c>
      <c r="H1591" s="13">
        <f>IF($B1591="OUT",$D1591,0)</f>
      </c>
    </row>
    <row x14ac:dyDescent="0.25" r="1592" customHeight="1" ht="17.25">
      <c r="A1592" s="52"/>
      <c r="B1592" s="2"/>
      <c r="C1592" s="2"/>
      <c r="D1592" s="3"/>
      <c r="E1592" s="3"/>
      <c r="F1592" s="2"/>
      <c r="G1592" s="13">
        <f>IF($B1592="IN",$D1592,0)</f>
      </c>
      <c r="H1592" s="13">
        <f>IF($B1592="OUT",$D1592,0)</f>
      </c>
    </row>
    <row x14ac:dyDescent="0.25" r="1593" customHeight="1" ht="17.25">
      <c r="A1593" s="52"/>
      <c r="B1593" s="2"/>
      <c r="C1593" s="2"/>
      <c r="D1593" s="3"/>
      <c r="E1593" s="3"/>
      <c r="F1593" s="2"/>
      <c r="G1593" s="13">
        <f>IF($B1593="IN",$D1593,0)</f>
      </c>
      <c r="H1593" s="13">
        <f>IF($B1593="OUT",$D1593,0)</f>
      </c>
    </row>
    <row x14ac:dyDescent="0.25" r="1594" customHeight="1" ht="17.25">
      <c r="A1594" s="52"/>
      <c r="B1594" s="2"/>
      <c r="C1594" s="2"/>
      <c r="D1594" s="3"/>
      <c r="E1594" s="3"/>
      <c r="F1594" s="2"/>
      <c r="G1594" s="13">
        <f>IF($B1594="IN",$D1594,0)</f>
      </c>
      <c r="H1594" s="13">
        <f>IF($B1594="OUT",$D1594,0)</f>
      </c>
    </row>
    <row x14ac:dyDescent="0.25" r="1595" customHeight="1" ht="17.25">
      <c r="A1595" s="52"/>
      <c r="B1595" s="2"/>
      <c r="C1595" s="2"/>
      <c r="D1595" s="3"/>
      <c r="E1595" s="3"/>
      <c r="F1595" s="2"/>
      <c r="G1595" s="13">
        <f>IF($B1595="IN",$D1595,0)</f>
      </c>
      <c r="H1595" s="13">
        <f>IF($B1595="OUT",$D1595,0)</f>
      </c>
    </row>
    <row x14ac:dyDescent="0.25" r="1596" customHeight="1" ht="17.25">
      <c r="A1596" s="52"/>
      <c r="B1596" s="2"/>
      <c r="C1596" s="2"/>
      <c r="D1596" s="3"/>
      <c r="E1596" s="3"/>
      <c r="F1596" s="2"/>
      <c r="G1596" s="13">
        <f>IF($B1596="IN",$D1596,0)</f>
      </c>
      <c r="H1596" s="13">
        <f>IF($B1596="OUT",$D1596,0)</f>
      </c>
    </row>
    <row x14ac:dyDescent="0.25" r="1597" customHeight="1" ht="17.25">
      <c r="A1597" s="52"/>
      <c r="B1597" s="2"/>
      <c r="C1597" s="2"/>
      <c r="D1597" s="3"/>
      <c r="E1597" s="3"/>
      <c r="F1597" s="2"/>
      <c r="G1597" s="13">
        <f>IF($B1597="IN",$D1597,0)</f>
      </c>
      <c r="H1597" s="13">
        <f>IF($B1597="OUT",$D1597,0)</f>
      </c>
    </row>
    <row x14ac:dyDescent="0.25" r="1598" customHeight="1" ht="17.25">
      <c r="A1598" s="52"/>
      <c r="B1598" s="2"/>
      <c r="C1598" s="2"/>
      <c r="D1598" s="3"/>
      <c r="E1598" s="3"/>
      <c r="F1598" s="2"/>
      <c r="G1598" s="13">
        <f>IF($B1598="IN",$D1598,0)</f>
      </c>
      <c r="H1598" s="13">
        <f>IF($B1598="OUT",$D1598,0)</f>
      </c>
    </row>
    <row x14ac:dyDescent="0.25" r="1599" customHeight="1" ht="17.25">
      <c r="A1599" s="52"/>
      <c r="B1599" s="2"/>
      <c r="C1599" s="2"/>
      <c r="D1599" s="3"/>
      <c r="E1599" s="3"/>
      <c r="F1599" s="2"/>
      <c r="G1599" s="13">
        <f>IF($B1599="IN",$D1599,0)</f>
      </c>
      <c r="H1599" s="13">
        <f>IF($B1599="OUT",$D1599,0)</f>
      </c>
    </row>
    <row x14ac:dyDescent="0.25" r="1600" customHeight="1" ht="17.25">
      <c r="A1600" s="52"/>
      <c r="B1600" s="2"/>
      <c r="C1600" s="2"/>
      <c r="D1600" s="3"/>
      <c r="E1600" s="3"/>
      <c r="F1600" s="2"/>
      <c r="G1600" s="13">
        <f>IF($B1600="IN",$D1600,0)</f>
      </c>
      <c r="H1600" s="13">
        <f>IF($B1600="OUT",$D1600,0)</f>
      </c>
    </row>
    <row x14ac:dyDescent="0.25" r="1601" customHeight="1" ht="17.25">
      <c r="A1601" s="52"/>
      <c r="B1601" s="2"/>
      <c r="C1601" s="2"/>
      <c r="D1601" s="3"/>
      <c r="E1601" s="3"/>
      <c r="F1601" s="2"/>
      <c r="G1601" s="13">
        <f>IF($B1601="IN",$D1601,0)</f>
      </c>
      <c r="H1601" s="13">
        <f>IF($B1601="OUT",$D1601,0)</f>
      </c>
    </row>
    <row x14ac:dyDescent="0.25" r="1602" customHeight="1" ht="17.25">
      <c r="A1602" s="52"/>
      <c r="B1602" s="2"/>
      <c r="C1602" s="2"/>
      <c r="D1602" s="3"/>
      <c r="E1602" s="3"/>
      <c r="F1602" s="2"/>
      <c r="G1602" s="13">
        <f>IF($B1602="IN",$D1602,0)</f>
      </c>
      <c r="H1602" s="13">
        <f>IF($B1602="OUT",$D1602,0)</f>
      </c>
    </row>
    <row x14ac:dyDescent="0.25" r="1603" customHeight="1" ht="17.25">
      <c r="A1603" s="52"/>
      <c r="B1603" s="2"/>
      <c r="C1603" s="2"/>
      <c r="D1603" s="3"/>
      <c r="E1603" s="3"/>
      <c r="F1603" s="2"/>
      <c r="G1603" s="13">
        <f>IF($B1603="IN",$D1603,0)</f>
      </c>
      <c r="H1603" s="13">
        <f>IF($B1603="OUT",$D1603,0)</f>
      </c>
    </row>
    <row x14ac:dyDescent="0.25" r="1604" customHeight="1" ht="17.25">
      <c r="A1604" s="52"/>
      <c r="B1604" s="2"/>
      <c r="C1604" s="2"/>
      <c r="D1604" s="3"/>
      <c r="E1604" s="3"/>
      <c r="F1604" s="2"/>
      <c r="G1604" s="13">
        <f>IF($B1604="IN",$D1604,0)</f>
      </c>
      <c r="H1604" s="13">
        <f>IF($B1604="OUT",$D1604,0)</f>
      </c>
    </row>
    <row x14ac:dyDescent="0.25" r="1605" customHeight="1" ht="17.25">
      <c r="A1605" s="52"/>
      <c r="B1605" s="2"/>
      <c r="C1605" s="2"/>
      <c r="D1605" s="3"/>
      <c r="E1605" s="3"/>
      <c r="F1605" s="2"/>
      <c r="G1605" s="13">
        <f>IF($B1605="IN",$D1605,0)</f>
      </c>
      <c r="H1605" s="13">
        <f>IF($B1605="OUT",$D1605,0)</f>
      </c>
    </row>
    <row x14ac:dyDescent="0.25" r="1606" customHeight="1" ht="17.25">
      <c r="A1606" s="52"/>
      <c r="B1606" s="2"/>
      <c r="C1606" s="2"/>
      <c r="D1606" s="3"/>
      <c r="E1606" s="3"/>
      <c r="F1606" s="2"/>
      <c r="G1606" s="13">
        <f>IF($B1606="IN",$D1606,0)</f>
      </c>
      <c r="H1606" s="13">
        <f>IF($B1606="OUT",$D1606,0)</f>
      </c>
    </row>
    <row x14ac:dyDescent="0.25" r="1607" customHeight="1" ht="17.25">
      <c r="A1607" s="52"/>
      <c r="B1607" s="2"/>
      <c r="C1607" s="2"/>
      <c r="D1607" s="3"/>
      <c r="E1607" s="3"/>
      <c r="F1607" s="2"/>
      <c r="G1607" s="13">
        <f>IF($B1607="IN",$D1607,0)</f>
      </c>
      <c r="H1607" s="13">
        <f>IF($B1607="OUT",$D1607,0)</f>
      </c>
    </row>
    <row x14ac:dyDescent="0.25" r="1608" customHeight="1" ht="17.25">
      <c r="A1608" s="52"/>
      <c r="B1608" s="2"/>
      <c r="C1608" s="2"/>
      <c r="D1608" s="3"/>
      <c r="E1608" s="3"/>
      <c r="F1608" s="2"/>
      <c r="G1608" s="13">
        <f>IF($B1608="IN",$D1608,0)</f>
      </c>
      <c r="H1608" s="13">
        <f>IF($B1608="OUT",$D1608,0)</f>
      </c>
    </row>
    <row x14ac:dyDescent="0.25" r="1609" customHeight="1" ht="17.25">
      <c r="A1609" s="52"/>
      <c r="B1609" s="2"/>
      <c r="C1609" s="2"/>
      <c r="D1609" s="3"/>
      <c r="E1609" s="3"/>
      <c r="F1609" s="2"/>
      <c r="G1609" s="13">
        <f>IF($B1609="IN",$D1609,0)</f>
      </c>
      <c r="H1609" s="13">
        <f>IF($B1609="OUT",$D1609,0)</f>
      </c>
    </row>
    <row x14ac:dyDescent="0.25" r="1610" customHeight="1" ht="17.25">
      <c r="A1610" s="52"/>
      <c r="B1610" s="2"/>
      <c r="C1610" s="2"/>
      <c r="D1610" s="3"/>
      <c r="E1610" s="3"/>
      <c r="F1610" s="2"/>
      <c r="G1610" s="13">
        <f>IF($B1610="IN",$D1610,0)</f>
      </c>
      <c r="H1610" s="13">
        <f>IF($B1610="OUT",$D1610,0)</f>
      </c>
    </row>
    <row x14ac:dyDescent="0.25" r="1611" customHeight="1" ht="17.25">
      <c r="A1611" s="52"/>
      <c r="B1611" s="2"/>
      <c r="C1611" s="2"/>
      <c r="D1611" s="3"/>
      <c r="E1611" s="3"/>
      <c r="F1611" s="2"/>
      <c r="G1611" s="13">
        <f>IF($B1611="IN",$D1611,0)</f>
      </c>
      <c r="H1611" s="13">
        <f>IF($B1611="OUT",$D1611,0)</f>
      </c>
    </row>
    <row x14ac:dyDescent="0.25" r="1612" customHeight="1" ht="17.25">
      <c r="A1612" s="52"/>
      <c r="B1612" s="2"/>
      <c r="C1612" s="2"/>
      <c r="D1612" s="3"/>
      <c r="E1612" s="3"/>
      <c r="F1612" s="2"/>
      <c r="G1612" s="13">
        <f>IF($B1612="IN",$D1612,0)</f>
      </c>
      <c r="H1612" s="13">
        <f>IF($B1612="OUT",$D1612,0)</f>
      </c>
    </row>
    <row x14ac:dyDescent="0.25" r="1613" customHeight="1" ht="17.25">
      <c r="A1613" s="52"/>
      <c r="B1613" s="2"/>
      <c r="C1613" s="2"/>
      <c r="D1613" s="3"/>
      <c r="E1613" s="3"/>
      <c r="F1613" s="2"/>
      <c r="G1613" s="13">
        <f>IF($B1613="IN",$D1613,0)</f>
      </c>
      <c r="H1613" s="13">
        <f>IF($B1613="OUT",$D1613,0)</f>
      </c>
    </row>
    <row x14ac:dyDescent="0.25" r="1614" customHeight="1" ht="17.25">
      <c r="A1614" s="52"/>
      <c r="B1614" s="2"/>
      <c r="C1614" s="2"/>
      <c r="D1614" s="3"/>
      <c r="E1614" s="3"/>
      <c r="F1614" s="2"/>
      <c r="G1614" s="13">
        <f>IF($B1614="IN",$D1614,0)</f>
      </c>
      <c r="H1614" s="13">
        <f>IF($B1614="OUT",$D1614,0)</f>
      </c>
    </row>
    <row x14ac:dyDescent="0.25" r="1615" customHeight="1" ht="17.25">
      <c r="A1615" s="52"/>
      <c r="B1615" s="2"/>
      <c r="C1615" s="2"/>
      <c r="D1615" s="3"/>
      <c r="E1615" s="3"/>
      <c r="F1615" s="2"/>
      <c r="G1615" s="13">
        <f>IF($B1615="IN",$D1615,0)</f>
      </c>
      <c r="H1615" s="13">
        <f>IF($B1615="OUT",$D1615,0)</f>
      </c>
    </row>
    <row x14ac:dyDescent="0.25" r="1616" customHeight="1" ht="17.25">
      <c r="A1616" s="52"/>
      <c r="B1616" s="2"/>
      <c r="C1616" s="2"/>
      <c r="D1616" s="3"/>
      <c r="E1616" s="3"/>
      <c r="F1616" s="2"/>
      <c r="G1616" s="13">
        <f>IF($B1616="IN",$D1616,0)</f>
      </c>
      <c r="H1616" s="13">
        <f>IF($B1616="OUT",$D1616,0)</f>
      </c>
    </row>
    <row x14ac:dyDescent="0.25" r="1617" customHeight="1" ht="17.25">
      <c r="A1617" s="52"/>
      <c r="B1617" s="2"/>
      <c r="C1617" s="2"/>
      <c r="D1617" s="3"/>
      <c r="E1617" s="3"/>
      <c r="F1617" s="2"/>
      <c r="G1617" s="13">
        <f>IF($B1617="IN",$D1617,0)</f>
      </c>
      <c r="H1617" s="13">
        <f>IF($B1617="OUT",$D1617,0)</f>
      </c>
    </row>
    <row x14ac:dyDescent="0.25" r="1618" customHeight="1" ht="17.25">
      <c r="A1618" s="52"/>
      <c r="B1618" s="2"/>
      <c r="C1618" s="2"/>
      <c r="D1618" s="3"/>
      <c r="E1618" s="3"/>
      <c r="F1618" s="2"/>
      <c r="G1618" s="13">
        <f>IF($B1618="IN",$D1618,0)</f>
      </c>
      <c r="H1618" s="13">
        <f>IF($B1618="OUT",$D1618,0)</f>
      </c>
    </row>
    <row x14ac:dyDescent="0.25" r="1619" customHeight="1" ht="17.25">
      <c r="A1619" s="52"/>
      <c r="B1619" s="2"/>
      <c r="C1619" s="2"/>
      <c r="D1619" s="3"/>
      <c r="E1619" s="3"/>
      <c r="F1619" s="2"/>
      <c r="G1619" s="13">
        <f>IF($B1619="IN",$D1619,0)</f>
      </c>
      <c r="H1619" s="13">
        <f>IF($B1619="OUT",$D1619,0)</f>
      </c>
    </row>
    <row x14ac:dyDescent="0.25" r="1620" customHeight="1" ht="17.25">
      <c r="A1620" s="52"/>
      <c r="B1620" s="2"/>
      <c r="C1620" s="2"/>
      <c r="D1620" s="3"/>
      <c r="E1620" s="3"/>
      <c r="F1620" s="2"/>
      <c r="G1620" s="13">
        <f>IF($B1620="IN",$D1620,0)</f>
      </c>
      <c r="H1620" s="13">
        <f>IF($B1620="OUT",$D1620,0)</f>
      </c>
    </row>
    <row x14ac:dyDescent="0.25" r="1621" customHeight="1" ht="17.25">
      <c r="A1621" s="52"/>
      <c r="B1621" s="2"/>
      <c r="C1621" s="2"/>
      <c r="D1621" s="3"/>
      <c r="E1621" s="3"/>
      <c r="F1621" s="2"/>
      <c r="G1621" s="13">
        <f>IF($B1621="IN",$D1621,0)</f>
      </c>
      <c r="H1621" s="13">
        <f>IF($B1621="OUT",$D1621,0)</f>
      </c>
    </row>
    <row x14ac:dyDescent="0.25" r="1622" customHeight="1" ht="17.25">
      <c r="A1622" s="52"/>
      <c r="B1622" s="2"/>
      <c r="C1622" s="2"/>
      <c r="D1622" s="3"/>
      <c r="E1622" s="3"/>
      <c r="F1622" s="2"/>
      <c r="G1622" s="13">
        <f>IF($B1622="IN",$D1622,0)</f>
      </c>
      <c r="H1622" s="13">
        <f>IF($B1622="OUT",$D1622,0)</f>
      </c>
    </row>
    <row x14ac:dyDescent="0.25" r="1623" customHeight="1" ht="17.25">
      <c r="A1623" s="52"/>
      <c r="B1623" s="2"/>
      <c r="C1623" s="2"/>
      <c r="D1623" s="3"/>
      <c r="E1623" s="3"/>
      <c r="F1623" s="2"/>
      <c r="G1623" s="13">
        <f>IF($B1623="IN",$D1623,0)</f>
      </c>
      <c r="H1623" s="13">
        <f>IF($B1623="OUT",$D1623,0)</f>
      </c>
    </row>
    <row x14ac:dyDescent="0.25" r="1624" customHeight="1" ht="17.25">
      <c r="A1624" s="52"/>
      <c r="B1624" s="2"/>
      <c r="C1624" s="2"/>
      <c r="D1624" s="3"/>
      <c r="E1624" s="3"/>
      <c r="F1624" s="2"/>
      <c r="G1624" s="13">
        <f>IF($B1624="IN",$D1624,0)</f>
      </c>
      <c r="H1624" s="13">
        <f>IF($B1624="OUT",$D1624,0)</f>
      </c>
    </row>
    <row x14ac:dyDescent="0.25" r="1625" customHeight="1" ht="17.25">
      <c r="A1625" s="52"/>
      <c r="B1625" s="2"/>
      <c r="C1625" s="2"/>
      <c r="D1625" s="3"/>
      <c r="E1625" s="3"/>
      <c r="F1625" s="2"/>
      <c r="G1625" s="13">
        <f>IF($B1625="IN",$D1625,0)</f>
      </c>
      <c r="H1625" s="13">
        <f>IF($B1625="OUT",$D1625,0)</f>
      </c>
    </row>
    <row x14ac:dyDescent="0.25" r="1626" customHeight="1" ht="17.25">
      <c r="A1626" s="52"/>
      <c r="B1626" s="2"/>
      <c r="C1626" s="2"/>
      <c r="D1626" s="3"/>
      <c r="E1626" s="3"/>
      <c r="F1626" s="2"/>
      <c r="G1626" s="13">
        <f>IF($B1626="IN",$D1626,0)</f>
      </c>
      <c r="H1626" s="13">
        <f>IF($B1626="OUT",$D1626,0)</f>
      </c>
    </row>
    <row x14ac:dyDescent="0.25" r="1627" customHeight="1" ht="17.25">
      <c r="A1627" s="52"/>
      <c r="B1627" s="2"/>
      <c r="C1627" s="2"/>
      <c r="D1627" s="3"/>
      <c r="E1627" s="3"/>
      <c r="F1627" s="2"/>
      <c r="G1627" s="13">
        <f>IF($B1627="IN",$D1627,0)</f>
      </c>
      <c r="H1627" s="13">
        <f>IF($B1627="OUT",$D1627,0)</f>
      </c>
    </row>
    <row x14ac:dyDescent="0.25" r="1628" customHeight="1" ht="17.25">
      <c r="A1628" s="52"/>
      <c r="B1628" s="2"/>
      <c r="C1628" s="2"/>
      <c r="D1628" s="3"/>
      <c r="E1628" s="3"/>
      <c r="F1628" s="2"/>
      <c r="G1628" s="13">
        <f>IF($B1628="IN",$D1628,0)</f>
      </c>
      <c r="H1628" s="13">
        <f>IF($B1628="OUT",$D1628,0)</f>
      </c>
    </row>
    <row x14ac:dyDescent="0.25" r="1629" customHeight="1" ht="17.25">
      <c r="A1629" s="52"/>
      <c r="B1629" s="2"/>
      <c r="C1629" s="2"/>
      <c r="D1629" s="3"/>
      <c r="E1629" s="3"/>
      <c r="F1629" s="2"/>
      <c r="G1629" s="13">
        <f>IF($B1629="IN",$D1629,0)</f>
      </c>
      <c r="H1629" s="13">
        <f>IF($B1629="OUT",$D1629,0)</f>
      </c>
    </row>
    <row x14ac:dyDescent="0.25" r="1630" customHeight="1" ht="17.25">
      <c r="A1630" s="52"/>
      <c r="B1630" s="2"/>
      <c r="C1630" s="2"/>
      <c r="D1630" s="3"/>
      <c r="E1630" s="3"/>
      <c r="F1630" s="2"/>
      <c r="G1630" s="13">
        <f>IF($B1630="IN",$D1630,0)</f>
      </c>
      <c r="H1630" s="13">
        <f>IF($B1630="OUT",$D1630,0)</f>
      </c>
    </row>
    <row x14ac:dyDescent="0.25" r="1631" customHeight="1" ht="17.25">
      <c r="A1631" s="52"/>
      <c r="B1631" s="2"/>
      <c r="C1631" s="2"/>
      <c r="D1631" s="3"/>
      <c r="E1631" s="3"/>
      <c r="F1631" s="2"/>
      <c r="G1631" s="13">
        <f>IF($B1631="IN",$D1631,0)</f>
      </c>
      <c r="H1631" s="13">
        <f>IF($B1631="OUT",$D1631,0)</f>
      </c>
    </row>
    <row x14ac:dyDescent="0.25" r="1632" customHeight="1" ht="17.25">
      <c r="A1632" s="52"/>
      <c r="B1632" s="2"/>
      <c r="C1632" s="2"/>
      <c r="D1632" s="3"/>
      <c r="E1632" s="3"/>
      <c r="F1632" s="2"/>
      <c r="G1632" s="13">
        <f>IF($B1632="IN",$D1632,0)</f>
      </c>
      <c r="H1632" s="13">
        <f>IF($B1632="OUT",$D1632,0)</f>
      </c>
    </row>
    <row x14ac:dyDescent="0.25" r="1633" customHeight="1" ht="17.25">
      <c r="A1633" s="52"/>
      <c r="B1633" s="2"/>
      <c r="C1633" s="2"/>
      <c r="D1633" s="3"/>
      <c r="E1633" s="3"/>
      <c r="F1633" s="2"/>
      <c r="G1633" s="13">
        <f>IF($B1633="IN",$D1633,0)</f>
      </c>
      <c r="H1633" s="13">
        <f>IF($B1633="OUT",$D1633,0)</f>
      </c>
    </row>
    <row x14ac:dyDescent="0.25" r="1634" customHeight="1" ht="17.25">
      <c r="A1634" s="52"/>
      <c r="B1634" s="2"/>
      <c r="C1634" s="2"/>
      <c r="D1634" s="3"/>
      <c r="E1634" s="3"/>
      <c r="F1634" s="2"/>
      <c r="G1634" s="13">
        <f>IF($B1634="IN",$D1634,0)</f>
      </c>
      <c r="H1634" s="13">
        <f>IF($B1634="OUT",$D1634,0)</f>
      </c>
    </row>
    <row x14ac:dyDescent="0.25" r="1635" customHeight="1" ht="17.25">
      <c r="A1635" s="52"/>
      <c r="B1635" s="2"/>
      <c r="C1635" s="2"/>
      <c r="D1635" s="3"/>
      <c r="E1635" s="3"/>
      <c r="F1635" s="2"/>
      <c r="G1635" s="13">
        <f>IF($B1635="IN",$D1635,0)</f>
      </c>
      <c r="H1635" s="13">
        <f>IF($B1635="OUT",$D1635,0)</f>
      </c>
    </row>
    <row x14ac:dyDescent="0.25" r="1636" customHeight="1" ht="17.25">
      <c r="A1636" s="52"/>
      <c r="B1636" s="2"/>
      <c r="C1636" s="2"/>
      <c r="D1636" s="3"/>
      <c r="E1636" s="3"/>
      <c r="F1636" s="2"/>
      <c r="G1636" s="13">
        <f>IF($B1636="IN",$D1636,0)</f>
      </c>
      <c r="H1636" s="13">
        <f>IF($B1636="OUT",$D1636,0)</f>
      </c>
    </row>
    <row x14ac:dyDescent="0.25" r="1637" customHeight="1" ht="17.25">
      <c r="A1637" s="52"/>
      <c r="B1637" s="2"/>
      <c r="C1637" s="2"/>
      <c r="D1637" s="3"/>
      <c r="E1637" s="3"/>
      <c r="F1637" s="2"/>
      <c r="G1637" s="13">
        <f>IF($B1637="IN",$D1637,0)</f>
      </c>
      <c r="H1637" s="13">
        <f>IF($B1637="OUT",$D1637,0)</f>
      </c>
    </row>
    <row x14ac:dyDescent="0.25" r="1638" customHeight="1" ht="17.25">
      <c r="A1638" s="52"/>
      <c r="B1638" s="2"/>
      <c r="C1638" s="2"/>
      <c r="D1638" s="3"/>
      <c r="E1638" s="3"/>
      <c r="F1638" s="2"/>
      <c r="G1638" s="13">
        <f>IF($B1638="IN",$D1638,0)</f>
      </c>
      <c r="H1638" s="13">
        <f>IF($B1638="OUT",$D1638,0)</f>
      </c>
    </row>
    <row x14ac:dyDescent="0.25" r="1639" customHeight="1" ht="17.25">
      <c r="A1639" s="52"/>
      <c r="B1639" s="2"/>
      <c r="C1639" s="2"/>
      <c r="D1639" s="3"/>
      <c r="E1639" s="3"/>
      <c r="F1639" s="2"/>
      <c r="G1639" s="13">
        <f>IF($B1639="IN",$D1639,0)</f>
      </c>
      <c r="H1639" s="13">
        <f>IF($B1639="OUT",$D1639,0)</f>
      </c>
    </row>
    <row x14ac:dyDescent="0.25" r="1640" customHeight="1" ht="17.25">
      <c r="A1640" s="52"/>
      <c r="B1640" s="2"/>
      <c r="C1640" s="2"/>
      <c r="D1640" s="3"/>
      <c r="E1640" s="3"/>
      <c r="F1640" s="2"/>
      <c r="G1640" s="13">
        <f>IF($B1640="IN",$D1640,0)</f>
      </c>
      <c r="H1640" s="13">
        <f>IF($B1640="OUT",$D1640,0)</f>
      </c>
    </row>
    <row x14ac:dyDescent="0.25" r="1641" customHeight="1" ht="17.25">
      <c r="A1641" s="52"/>
      <c r="B1641" s="2"/>
      <c r="C1641" s="2"/>
      <c r="D1641" s="3"/>
      <c r="E1641" s="3"/>
      <c r="F1641" s="2"/>
      <c r="G1641" s="13">
        <f>IF($B1641="IN",$D1641,0)</f>
      </c>
      <c r="H1641" s="13">
        <f>IF($B1641="OUT",$D1641,0)</f>
      </c>
    </row>
    <row x14ac:dyDescent="0.25" r="1642" customHeight="1" ht="17.25">
      <c r="A1642" s="52"/>
      <c r="B1642" s="2"/>
      <c r="C1642" s="2"/>
      <c r="D1642" s="3"/>
      <c r="E1642" s="3"/>
      <c r="F1642" s="2"/>
      <c r="G1642" s="13">
        <f>IF($B1642="IN",$D1642,0)</f>
      </c>
      <c r="H1642" s="13">
        <f>IF($B1642="OUT",$D1642,0)</f>
      </c>
    </row>
    <row x14ac:dyDescent="0.25" r="1643" customHeight="1" ht="17.25">
      <c r="A1643" s="52"/>
      <c r="B1643" s="2"/>
      <c r="C1643" s="2"/>
      <c r="D1643" s="3"/>
      <c r="E1643" s="3"/>
      <c r="F1643" s="2"/>
      <c r="G1643" s="13">
        <f>IF($B1643="IN",$D1643,0)</f>
      </c>
      <c r="H1643" s="13">
        <f>IF($B1643="OUT",$D1643,0)</f>
      </c>
    </row>
    <row x14ac:dyDescent="0.25" r="1644" customHeight="1" ht="17.25">
      <c r="A1644" s="52"/>
      <c r="B1644" s="2"/>
      <c r="C1644" s="2"/>
      <c r="D1644" s="3"/>
      <c r="E1644" s="3"/>
      <c r="F1644" s="2"/>
      <c r="G1644" s="13">
        <f>IF($B1644="IN",$D1644,0)</f>
      </c>
      <c r="H1644" s="13">
        <f>IF($B1644="OUT",$D1644,0)</f>
      </c>
    </row>
    <row x14ac:dyDescent="0.25" r="1645" customHeight="1" ht="17.25">
      <c r="A1645" s="52"/>
      <c r="B1645" s="2"/>
      <c r="C1645" s="2"/>
      <c r="D1645" s="3"/>
      <c r="E1645" s="3"/>
      <c r="F1645" s="2"/>
      <c r="G1645" s="13">
        <f>IF($B1645="IN",$D1645,0)</f>
      </c>
      <c r="H1645" s="13">
        <f>IF($B1645="OUT",$D1645,0)</f>
      </c>
    </row>
    <row x14ac:dyDescent="0.25" r="1646" customHeight="1" ht="17.25">
      <c r="A1646" s="52"/>
      <c r="B1646" s="2"/>
      <c r="C1646" s="2"/>
      <c r="D1646" s="3"/>
      <c r="E1646" s="3"/>
      <c r="F1646" s="2"/>
      <c r="G1646" s="13">
        <f>IF($B1646="IN",$D1646,0)</f>
      </c>
      <c r="H1646" s="13">
        <f>IF($B1646="OUT",$D1646,0)</f>
      </c>
    </row>
    <row x14ac:dyDescent="0.25" r="1647" customHeight="1" ht="17.25">
      <c r="A1647" s="52"/>
      <c r="B1647" s="2"/>
      <c r="C1647" s="2"/>
      <c r="D1647" s="3"/>
      <c r="E1647" s="3"/>
      <c r="F1647" s="2"/>
      <c r="G1647" s="13">
        <f>IF($B1647="IN",$D1647,0)</f>
      </c>
      <c r="H1647" s="13">
        <f>IF($B1647="OUT",$D1647,0)</f>
      </c>
    </row>
    <row x14ac:dyDescent="0.25" r="1648" customHeight="1" ht="17.25">
      <c r="A1648" s="52"/>
      <c r="B1648" s="2"/>
      <c r="C1648" s="2"/>
      <c r="D1648" s="3"/>
      <c r="E1648" s="3"/>
      <c r="F1648" s="2"/>
      <c r="G1648" s="13">
        <f>IF($B1648="IN",$D1648,0)</f>
      </c>
      <c r="H1648" s="13">
        <f>IF($B1648="OUT",$D1648,0)</f>
      </c>
    </row>
    <row x14ac:dyDescent="0.25" r="1649" customHeight="1" ht="17.25">
      <c r="A1649" s="52"/>
      <c r="B1649" s="2"/>
      <c r="C1649" s="2"/>
      <c r="D1649" s="3"/>
      <c r="E1649" s="3"/>
      <c r="F1649" s="2"/>
      <c r="G1649" s="13">
        <f>IF($B1649="IN",$D1649,0)</f>
      </c>
      <c r="H1649" s="13">
        <f>IF($B1649="OUT",$D1649,0)</f>
      </c>
    </row>
    <row x14ac:dyDescent="0.25" r="1650" customHeight="1" ht="17.25">
      <c r="A1650" s="52"/>
      <c r="B1650" s="2"/>
      <c r="C1650" s="2"/>
      <c r="D1650" s="3"/>
      <c r="E1650" s="3"/>
      <c r="F1650" s="2"/>
      <c r="G1650" s="13">
        <f>IF($B1650="IN",$D1650,0)</f>
      </c>
      <c r="H1650" s="13">
        <f>IF($B1650="OUT",$D1650,0)</f>
      </c>
    </row>
    <row x14ac:dyDescent="0.25" r="1651" customHeight="1" ht="17.25">
      <c r="A1651" s="52"/>
      <c r="B1651" s="2"/>
      <c r="C1651" s="2"/>
      <c r="D1651" s="3"/>
      <c r="E1651" s="3"/>
      <c r="F1651" s="2"/>
      <c r="G1651" s="13">
        <f>IF($B1651="IN",$D1651,0)</f>
      </c>
      <c r="H1651" s="13">
        <f>IF($B1651="OUT",$D1651,0)</f>
      </c>
    </row>
    <row x14ac:dyDescent="0.25" r="1652" customHeight="1" ht="17.25">
      <c r="A1652" s="52"/>
      <c r="B1652" s="2"/>
      <c r="C1652" s="2"/>
      <c r="D1652" s="3"/>
      <c r="E1652" s="3"/>
      <c r="F1652" s="2"/>
      <c r="G1652" s="13">
        <f>IF($B1652="IN",$D1652,0)</f>
      </c>
      <c r="H1652" s="13">
        <f>IF($B1652="OUT",$D1652,0)</f>
      </c>
    </row>
    <row x14ac:dyDescent="0.25" r="1653" customHeight="1" ht="17.25">
      <c r="A1653" s="52"/>
      <c r="B1653" s="2"/>
      <c r="C1653" s="2"/>
      <c r="D1653" s="3"/>
      <c r="E1653" s="3"/>
      <c r="F1653" s="2"/>
      <c r="G1653" s="13">
        <f>IF($B1653="IN",$D1653,0)</f>
      </c>
      <c r="H1653" s="13">
        <f>IF($B1653="OUT",$D1653,0)</f>
      </c>
    </row>
    <row x14ac:dyDescent="0.25" r="1654" customHeight="1" ht="17.25">
      <c r="A1654" s="52"/>
      <c r="B1654" s="2"/>
      <c r="C1654" s="2"/>
      <c r="D1654" s="3"/>
      <c r="E1654" s="3"/>
      <c r="F1654" s="2"/>
      <c r="G1654" s="13">
        <f>IF($B1654="IN",$D1654,0)</f>
      </c>
      <c r="H1654" s="13">
        <f>IF($B1654="OUT",$D1654,0)</f>
      </c>
    </row>
    <row x14ac:dyDescent="0.25" r="1655" customHeight="1" ht="17.25">
      <c r="A1655" s="52"/>
      <c r="B1655" s="2"/>
      <c r="C1655" s="2"/>
      <c r="D1655" s="3"/>
      <c r="E1655" s="3"/>
      <c r="F1655" s="2"/>
      <c r="G1655" s="13">
        <f>IF($B1655="IN",$D1655,0)</f>
      </c>
      <c r="H1655" s="13">
        <f>IF($B1655="OUT",$D1655,0)</f>
      </c>
    </row>
    <row x14ac:dyDescent="0.25" r="1656" customHeight="1" ht="17.25">
      <c r="A1656" s="52"/>
      <c r="B1656" s="2"/>
      <c r="C1656" s="2"/>
      <c r="D1656" s="3"/>
      <c r="E1656" s="3"/>
      <c r="F1656" s="2"/>
      <c r="G1656" s="13">
        <f>IF($B1656="IN",$D1656,0)</f>
      </c>
      <c r="H1656" s="13">
        <f>IF($B1656="OUT",$D1656,0)</f>
      </c>
    </row>
    <row x14ac:dyDescent="0.25" r="1657" customHeight="1" ht="17.25">
      <c r="A1657" s="52"/>
      <c r="B1657" s="2"/>
      <c r="C1657" s="2"/>
      <c r="D1657" s="3"/>
      <c r="E1657" s="3"/>
      <c r="F1657" s="2"/>
      <c r="G1657" s="13">
        <f>IF($B1657="IN",$D1657,0)</f>
      </c>
      <c r="H1657" s="13">
        <f>IF($B1657="OUT",$D1657,0)</f>
      </c>
    </row>
    <row x14ac:dyDescent="0.25" r="1658" customHeight="1" ht="17.25">
      <c r="A1658" s="52"/>
      <c r="B1658" s="2"/>
      <c r="C1658" s="2"/>
      <c r="D1658" s="3"/>
      <c r="E1658" s="3"/>
      <c r="F1658" s="2"/>
      <c r="G1658" s="13">
        <f>IF($B1658="IN",$D1658,0)</f>
      </c>
      <c r="H1658" s="13">
        <f>IF($B1658="OUT",$D1658,0)</f>
      </c>
    </row>
    <row x14ac:dyDescent="0.25" r="1659" customHeight="1" ht="17.25">
      <c r="A1659" s="52"/>
      <c r="B1659" s="2"/>
      <c r="C1659" s="2"/>
      <c r="D1659" s="3"/>
      <c r="E1659" s="3"/>
      <c r="F1659" s="2"/>
      <c r="G1659" s="13">
        <f>IF($B1659="IN",$D1659,0)</f>
      </c>
      <c r="H1659" s="13">
        <f>IF($B1659="OUT",$D1659,0)</f>
      </c>
    </row>
    <row x14ac:dyDescent="0.25" r="1660" customHeight="1" ht="17.25">
      <c r="A1660" s="52"/>
      <c r="B1660" s="2"/>
      <c r="C1660" s="2"/>
      <c r="D1660" s="3"/>
      <c r="E1660" s="3"/>
      <c r="F1660" s="2"/>
      <c r="G1660" s="13">
        <f>IF($B1660="IN",$D1660,0)</f>
      </c>
      <c r="H1660" s="13">
        <f>IF($B1660="OUT",$D1660,0)</f>
      </c>
    </row>
    <row x14ac:dyDescent="0.25" r="1661" customHeight="1" ht="17.25">
      <c r="A1661" s="52"/>
      <c r="B1661" s="2"/>
      <c r="C1661" s="2"/>
      <c r="D1661" s="3"/>
      <c r="E1661" s="3"/>
      <c r="F1661" s="2"/>
      <c r="G1661" s="13">
        <f>IF($B1661="IN",$D1661,0)</f>
      </c>
      <c r="H1661" s="13">
        <f>IF($B1661="OUT",$D1661,0)</f>
      </c>
    </row>
    <row x14ac:dyDescent="0.25" r="1662" customHeight="1" ht="17.25">
      <c r="A1662" s="52"/>
      <c r="B1662" s="2"/>
      <c r="C1662" s="2"/>
      <c r="D1662" s="3"/>
      <c r="E1662" s="3"/>
      <c r="F1662" s="2"/>
      <c r="G1662" s="13">
        <f>IF($B1662="IN",$D1662,0)</f>
      </c>
      <c r="H1662" s="13">
        <f>IF($B1662="OUT",$D1662,0)</f>
      </c>
    </row>
    <row x14ac:dyDescent="0.25" r="1663" customHeight="1" ht="17.25">
      <c r="A1663" s="52"/>
      <c r="B1663" s="2"/>
      <c r="C1663" s="2"/>
      <c r="D1663" s="3"/>
      <c r="E1663" s="3"/>
      <c r="F1663" s="2"/>
      <c r="G1663" s="13">
        <f>IF($B1663="IN",$D1663,0)</f>
      </c>
      <c r="H1663" s="13">
        <f>IF($B1663="OUT",$D1663,0)</f>
      </c>
    </row>
    <row x14ac:dyDescent="0.25" r="1664" customHeight="1" ht="17.25">
      <c r="A1664" s="52"/>
      <c r="B1664" s="2"/>
      <c r="C1664" s="2"/>
      <c r="D1664" s="3"/>
      <c r="E1664" s="3"/>
      <c r="F1664" s="2"/>
      <c r="G1664" s="13">
        <f>IF($B1664="IN",$D1664,0)</f>
      </c>
      <c r="H1664" s="13">
        <f>IF($B1664="OUT",$D1664,0)</f>
      </c>
    </row>
    <row x14ac:dyDescent="0.25" r="1665" customHeight="1" ht="17.25">
      <c r="A1665" s="52"/>
      <c r="B1665" s="2"/>
      <c r="C1665" s="2"/>
      <c r="D1665" s="3"/>
      <c r="E1665" s="3"/>
      <c r="F1665" s="2"/>
      <c r="G1665" s="13">
        <f>IF($B1665="IN",$D1665,0)</f>
      </c>
      <c r="H1665" s="13">
        <f>IF($B1665="OUT",$D1665,0)</f>
      </c>
    </row>
    <row x14ac:dyDescent="0.25" r="1666" customHeight="1" ht="17.25">
      <c r="A1666" s="52"/>
      <c r="B1666" s="2"/>
      <c r="C1666" s="2"/>
      <c r="D1666" s="3"/>
      <c r="E1666" s="3"/>
      <c r="F1666" s="2"/>
      <c r="G1666" s="13">
        <f>IF($B1666="IN",$D1666,0)</f>
      </c>
      <c r="H1666" s="13">
        <f>IF($B1666="OUT",$D1666,0)</f>
      </c>
    </row>
    <row x14ac:dyDescent="0.25" r="1667" customHeight="1" ht="17.25">
      <c r="A1667" s="52"/>
      <c r="B1667" s="2"/>
      <c r="C1667" s="2"/>
      <c r="D1667" s="3"/>
      <c r="E1667" s="3"/>
      <c r="F1667" s="2"/>
      <c r="G1667" s="13">
        <f>IF($B1667="IN",$D1667,0)</f>
      </c>
      <c r="H1667" s="13">
        <f>IF($B1667="OUT",$D1667,0)</f>
      </c>
    </row>
    <row x14ac:dyDescent="0.25" r="1668" customHeight="1" ht="17.25">
      <c r="A1668" s="52"/>
      <c r="B1668" s="2"/>
      <c r="C1668" s="2"/>
      <c r="D1668" s="3"/>
      <c r="E1668" s="3"/>
      <c r="F1668" s="2"/>
      <c r="G1668" s="13">
        <f>IF($B1668="IN",$D1668,0)</f>
      </c>
      <c r="H1668" s="13">
        <f>IF($B1668="OUT",$D1668,0)</f>
      </c>
    </row>
    <row x14ac:dyDescent="0.25" r="1669" customHeight="1" ht="17.25">
      <c r="A1669" s="52"/>
      <c r="B1669" s="2"/>
      <c r="C1669" s="2"/>
      <c r="D1669" s="3"/>
      <c r="E1669" s="3"/>
      <c r="F1669" s="2"/>
      <c r="G1669" s="13">
        <f>IF($B1669="IN",$D1669,0)</f>
      </c>
      <c r="H1669" s="13">
        <f>IF($B1669="OUT",$D1669,0)</f>
      </c>
    </row>
    <row x14ac:dyDescent="0.25" r="1670" customHeight="1" ht="17.25">
      <c r="A1670" s="52"/>
      <c r="B1670" s="2"/>
      <c r="C1670" s="2"/>
      <c r="D1670" s="3"/>
      <c r="E1670" s="3"/>
      <c r="F1670" s="2"/>
      <c r="G1670" s="13">
        <f>IF($B1670="IN",$D1670,0)</f>
      </c>
      <c r="H1670" s="13">
        <f>IF($B1670="OUT",$D1670,0)</f>
      </c>
    </row>
    <row x14ac:dyDescent="0.25" r="1671" customHeight="1" ht="17.25">
      <c r="A1671" s="52"/>
      <c r="B1671" s="2"/>
      <c r="C1671" s="2"/>
      <c r="D1671" s="3"/>
      <c r="E1671" s="3"/>
      <c r="F1671" s="2"/>
      <c r="G1671" s="13">
        <f>IF($B1671="IN",$D1671,0)</f>
      </c>
      <c r="H1671" s="13">
        <f>IF($B1671="OUT",$D1671,0)</f>
      </c>
    </row>
    <row x14ac:dyDescent="0.25" r="1672" customHeight="1" ht="17.25">
      <c r="A1672" s="52"/>
      <c r="B1672" s="2"/>
      <c r="C1672" s="2"/>
      <c r="D1672" s="3"/>
      <c r="E1672" s="3"/>
      <c r="F1672" s="2"/>
      <c r="G1672" s="13">
        <f>IF($B1672="IN",$D1672,0)</f>
      </c>
      <c r="H1672" s="13">
        <f>IF($B1672="OUT",$D1672,0)</f>
      </c>
    </row>
    <row x14ac:dyDescent="0.25" r="1673" customHeight="1" ht="17.25">
      <c r="A1673" s="52"/>
      <c r="B1673" s="2"/>
      <c r="C1673" s="2"/>
      <c r="D1673" s="3"/>
      <c r="E1673" s="3"/>
      <c r="F1673" s="2"/>
      <c r="G1673" s="13">
        <f>IF($B1673="IN",$D1673,0)</f>
      </c>
      <c r="H1673" s="13">
        <f>IF($B1673="OUT",$D1673,0)</f>
      </c>
    </row>
    <row x14ac:dyDescent="0.25" r="1674" customHeight="1" ht="17.25">
      <c r="A1674" s="52"/>
      <c r="B1674" s="2"/>
      <c r="C1674" s="2"/>
      <c r="D1674" s="3"/>
      <c r="E1674" s="3"/>
      <c r="F1674" s="2"/>
      <c r="G1674" s="13">
        <f>IF($B1674="IN",$D1674,0)</f>
      </c>
      <c r="H1674" s="13">
        <f>IF($B1674="OUT",$D1674,0)</f>
      </c>
    </row>
    <row x14ac:dyDescent="0.25" r="1675" customHeight="1" ht="17.25">
      <c r="A1675" s="52"/>
      <c r="B1675" s="2"/>
      <c r="C1675" s="2"/>
      <c r="D1675" s="3"/>
      <c r="E1675" s="3"/>
      <c r="F1675" s="2"/>
      <c r="G1675" s="13">
        <f>IF($B1675="IN",$D1675,0)</f>
      </c>
      <c r="H1675" s="13">
        <f>IF($B1675="OUT",$D1675,0)</f>
      </c>
    </row>
    <row x14ac:dyDescent="0.25" r="1676" customHeight="1" ht="17.25">
      <c r="A1676" s="52"/>
      <c r="B1676" s="2"/>
      <c r="C1676" s="2"/>
      <c r="D1676" s="3"/>
      <c r="E1676" s="3"/>
      <c r="F1676" s="2"/>
      <c r="G1676" s="13">
        <f>IF($B1676="IN",$D1676,0)</f>
      </c>
      <c r="H1676" s="13">
        <f>IF($B1676="OUT",$D1676,0)</f>
      </c>
    </row>
    <row x14ac:dyDescent="0.25" r="1677" customHeight="1" ht="17.25">
      <c r="A1677" s="52"/>
      <c r="B1677" s="2"/>
      <c r="C1677" s="2"/>
      <c r="D1677" s="3"/>
      <c r="E1677" s="3"/>
      <c r="F1677" s="2"/>
      <c r="G1677" s="13">
        <f>IF($B1677="IN",$D1677,0)</f>
      </c>
      <c r="H1677" s="13">
        <f>IF($B1677="OUT",$D1677,0)</f>
      </c>
    </row>
    <row x14ac:dyDescent="0.25" r="1678" customHeight="1" ht="17.25">
      <c r="A1678" s="52"/>
      <c r="B1678" s="2"/>
      <c r="C1678" s="2"/>
      <c r="D1678" s="3"/>
      <c r="E1678" s="3"/>
      <c r="F1678" s="2"/>
      <c r="G1678" s="13">
        <f>IF($B1678="IN",$D1678,0)</f>
      </c>
      <c r="H1678" s="13">
        <f>IF($B1678="OUT",$D1678,0)</f>
      </c>
    </row>
    <row x14ac:dyDescent="0.25" r="1679" customHeight="1" ht="17.25">
      <c r="A1679" s="52"/>
      <c r="B1679" s="2"/>
      <c r="C1679" s="2"/>
      <c r="D1679" s="3"/>
      <c r="E1679" s="3"/>
      <c r="F1679" s="2"/>
      <c r="G1679" s="13">
        <f>IF($B1679="IN",$D1679,0)</f>
      </c>
      <c r="H1679" s="13">
        <f>IF($B1679="OUT",$D1679,0)</f>
      </c>
    </row>
    <row x14ac:dyDescent="0.25" r="1680" customHeight="1" ht="17.25">
      <c r="A1680" s="52"/>
      <c r="B1680" s="2"/>
      <c r="C1680" s="2"/>
      <c r="D1680" s="3"/>
      <c r="E1680" s="3"/>
      <c r="F1680" s="2"/>
      <c r="G1680" s="13">
        <f>IF($B1680="IN",$D1680,0)</f>
      </c>
      <c r="H1680" s="13">
        <f>IF($B1680="OUT",$D1680,0)</f>
      </c>
    </row>
    <row x14ac:dyDescent="0.25" r="1681" customHeight="1" ht="17.25">
      <c r="A1681" s="52"/>
      <c r="B1681" s="2"/>
      <c r="C1681" s="2"/>
      <c r="D1681" s="3"/>
      <c r="E1681" s="3"/>
      <c r="F1681" s="2"/>
      <c r="G1681" s="13">
        <f>IF($B1681="IN",$D1681,0)</f>
      </c>
      <c r="H1681" s="13">
        <f>IF($B1681="OUT",$D1681,0)</f>
      </c>
    </row>
    <row x14ac:dyDescent="0.25" r="1682" customHeight="1" ht="17.25">
      <c r="A1682" s="52"/>
      <c r="B1682" s="2"/>
      <c r="C1682" s="2"/>
      <c r="D1682" s="3"/>
      <c r="E1682" s="3"/>
      <c r="F1682" s="2"/>
      <c r="G1682" s="13">
        <f>IF($B1682="IN",$D1682,0)</f>
      </c>
      <c r="H1682" s="13">
        <f>IF($B1682="OUT",$D1682,0)</f>
      </c>
    </row>
    <row x14ac:dyDescent="0.25" r="1683" customHeight="1" ht="17.25">
      <c r="A1683" s="52"/>
      <c r="B1683" s="2"/>
      <c r="C1683" s="2"/>
      <c r="D1683" s="3"/>
      <c r="E1683" s="3"/>
      <c r="F1683" s="2"/>
      <c r="G1683" s="13">
        <f>IF($B1683="IN",$D1683,0)</f>
      </c>
      <c r="H1683" s="13">
        <f>IF($B1683="OUT",$D1683,0)</f>
      </c>
    </row>
    <row x14ac:dyDescent="0.25" r="1684" customHeight="1" ht="17.25">
      <c r="A1684" s="52"/>
      <c r="B1684" s="2"/>
      <c r="C1684" s="2"/>
      <c r="D1684" s="3"/>
      <c r="E1684" s="3"/>
      <c r="F1684" s="2"/>
      <c r="G1684" s="13">
        <f>IF($B1684="IN",$D1684,0)</f>
      </c>
      <c r="H1684" s="13">
        <f>IF($B1684="OUT",$D1684,0)</f>
      </c>
    </row>
    <row x14ac:dyDescent="0.25" r="1685" customHeight="1" ht="17.25">
      <c r="A1685" s="52"/>
      <c r="B1685" s="2"/>
      <c r="C1685" s="2"/>
      <c r="D1685" s="3"/>
      <c r="E1685" s="3"/>
      <c r="F1685" s="2"/>
      <c r="G1685" s="13">
        <f>IF($B1685="IN",$D1685,0)</f>
      </c>
      <c r="H1685" s="13">
        <f>IF($B1685="OUT",$D1685,0)</f>
      </c>
    </row>
    <row x14ac:dyDescent="0.25" r="1686" customHeight="1" ht="17.25">
      <c r="A1686" s="52"/>
      <c r="B1686" s="2"/>
      <c r="C1686" s="2"/>
      <c r="D1686" s="3"/>
      <c r="E1686" s="3"/>
      <c r="F1686" s="2"/>
      <c r="G1686" s="13">
        <f>IF($B1686="IN",$D1686,0)</f>
      </c>
      <c r="H1686" s="13">
        <f>IF($B1686="OUT",$D1686,0)</f>
      </c>
    </row>
    <row x14ac:dyDescent="0.25" r="1687" customHeight="1" ht="17.25">
      <c r="A1687" s="52"/>
      <c r="B1687" s="2"/>
      <c r="C1687" s="2"/>
      <c r="D1687" s="3"/>
      <c r="E1687" s="3"/>
      <c r="F1687" s="2"/>
      <c r="G1687" s="13">
        <f>IF($B1687="IN",$D1687,0)</f>
      </c>
      <c r="H1687" s="13">
        <f>IF($B1687="OUT",$D1687,0)</f>
      </c>
    </row>
    <row x14ac:dyDescent="0.25" r="1688" customHeight="1" ht="17.25">
      <c r="A1688" s="52"/>
      <c r="B1688" s="2"/>
      <c r="C1688" s="2"/>
      <c r="D1688" s="3"/>
      <c r="E1688" s="3"/>
      <c r="F1688" s="2"/>
      <c r="G1688" s="13">
        <f>IF($B1688="IN",$D1688,0)</f>
      </c>
      <c r="H1688" s="13">
        <f>IF($B1688="OUT",$D1688,0)</f>
      </c>
    </row>
    <row x14ac:dyDescent="0.25" r="1689" customHeight="1" ht="17.25">
      <c r="A1689" s="52"/>
      <c r="B1689" s="2"/>
      <c r="C1689" s="2"/>
      <c r="D1689" s="3"/>
      <c r="E1689" s="3"/>
      <c r="F1689" s="2"/>
      <c r="G1689" s="13">
        <f>IF($B1689="IN",$D1689,0)</f>
      </c>
      <c r="H1689" s="13">
        <f>IF($B1689="OUT",$D1689,0)</f>
      </c>
    </row>
    <row x14ac:dyDescent="0.25" r="1690" customHeight="1" ht="17.25">
      <c r="A1690" s="52"/>
      <c r="B1690" s="2"/>
      <c r="C1690" s="2"/>
      <c r="D1690" s="3"/>
      <c r="E1690" s="3"/>
      <c r="F1690" s="2"/>
      <c r="G1690" s="13">
        <f>IF($B1690="IN",$D1690,0)</f>
      </c>
      <c r="H1690" s="13">
        <f>IF($B1690="OUT",$D1690,0)</f>
      </c>
    </row>
    <row x14ac:dyDescent="0.25" r="1691" customHeight="1" ht="17.25">
      <c r="A1691" s="52"/>
      <c r="B1691" s="2"/>
      <c r="C1691" s="2"/>
      <c r="D1691" s="3"/>
      <c r="E1691" s="3"/>
      <c r="F1691" s="2"/>
      <c r="G1691" s="13">
        <f>IF($B1691="IN",$D1691,0)</f>
      </c>
      <c r="H1691" s="13">
        <f>IF($B1691="OUT",$D1691,0)</f>
      </c>
    </row>
    <row x14ac:dyDescent="0.25" r="1692" customHeight="1" ht="17.25">
      <c r="A1692" s="52"/>
      <c r="B1692" s="2"/>
      <c r="C1692" s="2"/>
      <c r="D1692" s="3"/>
      <c r="E1692" s="3"/>
      <c r="F1692" s="2"/>
      <c r="G1692" s="13">
        <f>IF($B1692="IN",$D1692,0)</f>
      </c>
      <c r="H1692" s="13">
        <f>IF($B1692="OUT",$D1692,0)</f>
      </c>
    </row>
    <row x14ac:dyDescent="0.25" r="1693" customHeight="1" ht="17.25">
      <c r="A1693" s="52"/>
      <c r="B1693" s="2"/>
      <c r="C1693" s="2"/>
      <c r="D1693" s="3"/>
      <c r="E1693" s="3"/>
      <c r="F1693" s="2"/>
      <c r="G1693" s="13">
        <f>IF($B1693="IN",$D1693,0)</f>
      </c>
      <c r="H1693" s="13">
        <f>IF($B1693="OUT",$D1693,0)</f>
      </c>
    </row>
    <row x14ac:dyDescent="0.25" r="1694" customHeight="1" ht="17.25">
      <c r="A1694" s="52"/>
      <c r="B1694" s="2"/>
      <c r="C1694" s="2"/>
      <c r="D1694" s="3"/>
      <c r="E1694" s="3"/>
      <c r="F1694" s="2"/>
      <c r="G1694" s="13">
        <f>IF($B1694="IN",$D1694,0)</f>
      </c>
      <c r="H1694" s="13">
        <f>IF($B1694="OUT",$D1694,0)</f>
      </c>
    </row>
    <row x14ac:dyDescent="0.25" r="1695" customHeight="1" ht="17.25">
      <c r="A1695" s="52"/>
      <c r="B1695" s="2"/>
      <c r="C1695" s="2"/>
      <c r="D1695" s="3"/>
      <c r="E1695" s="3"/>
      <c r="F1695" s="2"/>
      <c r="G1695" s="13">
        <f>IF($B1695="IN",$D1695,0)</f>
      </c>
      <c r="H1695" s="13">
        <f>IF($B1695="OUT",$D1695,0)</f>
      </c>
    </row>
    <row x14ac:dyDescent="0.25" r="1696" customHeight="1" ht="17.25">
      <c r="A1696" s="52"/>
      <c r="B1696" s="2"/>
      <c r="C1696" s="2"/>
      <c r="D1696" s="3"/>
      <c r="E1696" s="3"/>
      <c r="F1696" s="2"/>
      <c r="G1696" s="13">
        <f>IF($B1696="IN",$D1696,0)</f>
      </c>
      <c r="H1696" s="13">
        <f>IF($B1696="OUT",$D1696,0)</f>
      </c>
    </row>
    <row x14ac:dyDescent="0.25" r="1697" customHeight="1" ht="17.25">
      <c r="A1697" s="52"/>
      <c r="B1697" s="2"/>
      <c r="C1697" s="2"/>
      <c r="D1697" s="3"/>
      <c r="E1697" s="3"/>
      <c r="F1697" s="2"/>
      <c r="G1697" s="13">
        <f>IF($B1697="IN",$D1697,0)</f>
      </c>
      <c r="H1697" s="13">
        <f>IF($B1697="OUT",$D1697,0)</f>
      </c>
    </row>
    <row x14ac:dyDescent="0.25" r="1698" customHeight="1" ht="17.25">
      <c r="A1698" s="52"/>
      <c r="B1698" s="2"/>
      <c r="C1698" s="2"/>
      <c r="D1698" s="3"/>
      <c r="E1698" s="3"/>
      <c r="F1698" s="2"/>
      <c r="G1698" s="13">
        <f>IF($B1698="IN",$D1698,0)</f>
      </c>
      <c r="H1698" s="13">
        <f>IF($B1698="OUT",$D1698,0)</f>
      </c>
    </row>
    <row x14ac:dyDescent="0.25" r="1699" customHeight="1" ht="17.25">
      <c r="A1699" s="52"/>
      <c r="B1699" s="2"/>
      <c r="C1699" s="2"/>
      <c r="D1699" s="3"/>
      <c r="E1699" s="3"/>
      <c r="F1699" s="2"/>
      <c r="G1699" s="13">
        <f>IF($B1699="IN",$D1699,0)</f>
      </c>
      <c r="H1699" s="13">
        <f>IF($B1699="OUT",$D1699,0)</f>
      </c>
    </row>
    <row x14ac:dyDescent="0.25" r="1700" customHeight="1" ht="17.25">
      <c r="A1700" s="52"/>
      <c r="B1700" s="2"/>
      <c r="C1700" s="2"/>
      <c r="D1700" s="3"/>
      <c r="E1700" s="3"/>
      <c r="F1700" s="2"/>
      <c r="G1700" s="13">
        <f>IF($B1700="IN",$D1700,0)</f>
      </c>
      <c r="H1700" s="13">
        <f>IF($B1700="OUT",$D1700,0)</f>
      </c>
    </row>
    <row x14ac:dyDescent="0.25" r="1701" customHeight="1" ht="17.25">
      <c r="A1701" s="52"/>
      <c r="B1701" s="2"/>
      <c r="C1701" s="2"/>
      <c r="D1701" s="3"/>
      <c r="E1701" s="3"/>
      <c r="F1701" s="2"/>
      <c r="G1701" s="13">
        <f>IF($B1701="IN",$D1701,0)</f>
      </c>
      <c r="H1701" s="13">
        <f>IF($B1701="OUT",$D1701,0)</f>
      </c>
    </row>
    <row x14ac:dyDescent="0.25" r="1702" customHeight="1" ht="17.25">
      <c r="A1702" s="52"/>
      <c r="B1702" s="2"/>
      <c r="C1702" s="2"/>
      <c r="D1702" s="3"/>
      <c r="E1702" s="3"/>
      <c r="F1702" s="2"/>
      <c r="G1702" s="13">
        <f>IF($B1702="IN",$D1702,0)</f>
      </c>
      <c r="H1702" s="13">
        <f>IF($B1702="OUT",$D1702,0)</f>
      </c>
    </row>
    <row x14ac:dyDescent="0.25" r="1703" customHeight="1" ht="17.25">
      <c r="A1703" s="52"/>
      <c r="B1703" s="2"/>
      <c r="C1703" s="2"/>
      <c r="D1703" s="3"/>
      <c r="E1703" s="3"/>
      <c r="F1703" s="2"/>
      <c r="G1703" s="13">
        <f>IF($B1703="IN",$D1703,0)</f>
      </c>
      <c r="H1703" s="13">
        <f>IF($B1703="OUT",$D1703,0)</f>
      </c>
    </row>
    <row x14ac:dyDescent="0.25" r="1704" customHeight="1" ht="17.25">
      <c r="A1704" s="52"/>
      <c r="B1704" s="2"/>
      <c r="C1704" s="2"/>
      <c r="D1704" s="3"/>
      <c r="E1704" s="3"/>
      <c r="F1704" s="2"/>
      <c r="G1704" s="13">
        <f>IF($B1704="IN",$D1704,0)</f>
      </c>
      <c r="H1704" s="13">
        <f>IF($B1704="OUT",$D1704,0)</f>
      </c>
    </row>
    <row x14ac:dyDescent="0.25" r="1705" customHeight="1" ht="17.25">
      <c r="A1705" s="52"/>
      <c r="B1705" s="2"/>
      <c r="C1705" s="2"/>
      <c r="D1705" s="3"/>
      <c r="E1705" s="3"/>
      <c r="F1705" s="2"/>
      <c r="G1705" s="13">
        <f>IF($B1705="IN",$D1705,0)</f>
      </c>
      <c r="H1705" s="13">
        <f>IF($B1705="OUT",$D1705,0)</f>
      </c>
    </row>
    <row x14ac:dyDescent="0.25" r="1706" customHeight="1" ht="17.25">
      <c r="A1706" s="52"/>
      <c r="B1706" s="2"/>
      <c r="C1706" s="2"/>
      <c r="D1706" s="3"/>
      <c r="E1706" s="3"/>
      <c r="F1706" s="2"/>
      <c r="G1706" s="13">
        <f>IF($B1706="IN",$D1706,0)</f>
      </c>
      <c r="H1706" s="13">
        <f>IF($B1706="OUT",$D1706,0)</f>
      </c>
    </row>
    <row x14ac:dyDescent="0.25" r="1707" customHeight="1" ht="17.25">
      <c r="A1707" s="52"/>
      <c r="B1707" s="2"/>
      <c r="C1707" s="2"/>
      <c r="D1707" s="3"/>
      <c r="E1707" s="3"/>
      <c r="F1707" s="2"/>
      <c r="G1707" s="13">
        <f>IF($B1707="IN",$D1707,0)</f>
      </c>
      <c r="H1707" s="13">
        <f>IF($B1707="OUT",$D1707,0)</f>
      </c>
    </row>
    <row x14ac:dyDescent="0.25" r="1708" customHeight="1" ht="17.25">
      <c r="A1708" s="52"/>
      <c r="B1708" s="2"/>
      <c r="C1708" s="2"/>
      <c r="D1708" s="3"/>
      <c r="E1708" s="3"/>
      <c r="F1708" s="2"/>
      <c r="G1708" s="13">
        <f>IF($B1708="IN",$D1708,0)</f>
      </c>
      <c r="H1708" s="13">
        <f>IF($B1708="OUT",$D1708,0)</f>
      </c>
    </row>
    <row x14ac:dyDescent="0.25" r="1709" customHeight="1" ht="17.25">
      <c r="A1709" s="52"/>
      <c r="B1709" s="2"/>
      <c r="C1709" s="2"/>
      <c r="D1709" s="3"/>
      <c r="E1709" s="3"/>
      <c r="F1709" s="2"/>
      <c r="G1709" s="13">
        <f>IF($B1709="IN",$D1709,0)</f>
      </c>
      <c r="H1709" s="13">
        <f>IF($B1709="OUT",$D1709,0)</f>
      </c>
    </row>
    <row x14ac:dyDescent="0.25" r="1710" customHeight="1" ht="17.25">
      <c r="A1710" s="52"/>
      <c r="B1710" s="2"/>
      <c r="C1710" s="2"/>
      <c r="D1710" s="3"/>
      <c r="E1710" s="3"/>
      <c r="F1710" s="2"/>
      <c r="G1710" s="13">
        <f>IF($B1710="IN",$D1710,0)</f>
      </c>
      <c r="H1710" s="13">
        <f>IF($B1710="OUT",$D1710,0)</f>
      </c>
    </row>
    <row x14ac:dyDescent="0.25" r="1711" customHeight="1" ht="17.25">
      <c r="A1711" s="52"/>
      <c r="B1711" s="2"/>
      <c r="C1711" s="2"/>
      <c r="D1711" s="3"/>
      <c r="E1711" s="3"/>
      <c r="F1711" s="2"/>
      <c r="G1711" s="13">
        <f>IF($B1711="IN",$D1711,0)</f>
      </c>
      <c r="H1711" s="13">
        <f>IF($B1711="OUT",$D1711,0)</f>
      </c>
    </row>
    <row x14ac:dyDescent="0.25" r="1712" customHeight="1" ht="17.25">
      <c r="A1712" s="52"/>
      <c r="B1712" s="2"/>
      <c r="C1712" s="2"/>
      <c r="D1712" s="3"/>
      <c r="E1712" s="3"/>
      <c r="F1712" s="2"/>
      <c r="G1712" s="13">
        <f>IF($B1712="IN",$D1712,0)</f>
      </c>
      <c r="H1712" s="13">
        <f>IF($B1712="OUT",$D1712,0)</f>
      </c>
    </row>
    <row x14ac:dyDescent="0.25" r="1713" customHeight="1" ht="17.25">
      <c r="A1713" s="52"/>
      <c r="B1713" s="2"/>
      <c r="C1713" s="2"/>
      <c r="D1713" s="3"/>
      <c r="E1713" s="3"/>
      <c r="F1713" s="2"/>
      <c r="G1713" s="13">
        <f>IF($B1713="IN",$D1713,0)</f>
      </c>
      <c r="H1713" s="13">
        <f>IF($B1713="OUT",$D1713,0)</f>
      </c>
    </row>
    <row x14ac:dyDescent="0.25" r="1714" customHeight="1" ht="17.25">
      <c r="A1714" s="52"/>
      <c r="B1714" s="2"/>
      <c r="C1714" s="2"/>
      <c r="D1714" s="3"/>
      <c r="E1714" s="3"/>
      <c r="F1714" s="2"/>
      <c r="G1714" s="13">
        <f>IF($B1714="IN",$D1714,0)</f>
      </c>
      <c r="H1714" s="13">
        <f>IF($B1714="OUT",$D1714,0)</f>
      </c>
    </row>
    <row x14ac:dyDescent="0.25" r="1715" customHeight="1" ht="17.25">
      <c r="A1715" s="52"/>
      <c r="B1715" s="2"/>
      <c r="C1715" s="2"/>
      <c r="D1715" s="3"/>
      <c r="E1715" s="3"/>
      <c r="F1715" s="2"/>
      <c r="G1715" s="13">
        <f>IF($B1715="IN",$D1715,0)</f>
      </c>
      <c r="H1715" s="13">
        <f>IF($B1715="OUT",$D1715,0)</f>
      </c>
    </row>
    <row x14ac:dyDescent="0.25" r="1716" customHeight="1" ht="17.25">
      <c r="A1716" s="52"/>
      <c r="B1716" s="2"/>
      <c r="C1716" s="2"/>
      <c r="D1716" s="3"/>
      <c r="E1716" s="3"/>
      <c r="F1716" s="2"/>
      <c r="G1716" s="13">
        <f>IF($B1716="IN",$D1716,0)</f>
      </c>
      <c r="H1716" s="13">
        <f>IF($B1716="OUT",$D1716,0)</f>
      </c>
    </row>
    <row x14ac:dyDescent="0.25" r="1717" customHeight="1" ht="17.25">
      <c r="A1717" s="52"/>
      <c r="B1717" s="2"/>
      <c r="C1717" s="2"/>
      <c r="D1717" s="3"/>
      <c r="E1717" s="3"/>
      <c r="F1717" s="2"/>
      <c r="G1717" s="13">
        <f>IF($B1717="IN",$D1717,0)</f>
      </c>
      <c r="H1717" s="13">
        <f>IF($B1717="OUT",$D1717,0)</f>
      </c>
    </row>
    <row x14ac:dyDescent="0.25" r="1718" customHeight="1" ht="17.25">
      <c r="A1718" s="52"/>
      <c r="B1718" s="2"/>
      <c r="C1718" s="2"/>
      <c r="D1718" s="3"/>
      <c r="E1718" s="3"/>
      <c r="F1718" s="2"/>
      <c r="G1718" s="13">
        <f>IF($B1718="IN",$D1718,0)</f>
      </c>
      <c r="H1718" s="13">
        <f>IF($B1718="OUT",$D1718,0)</f>
      </c>
    </row>
    <row x14ac:dyDescent="0.25" r="1719" customHeight="1" ht="17.25">
      <c r="A1719" s="52"/>
      <c r="B1719" s="2"/>
      <c r="C1719" s="2"/>
      <c r="D1719" s="3"/>
      <c r="E1719" s="3"/>
      <c r="F1719" s="2"/>
      <c r="G1719" s="13">
        <f>IF($B1719="IN",$D1719,0)</f>
      </c>
      <c r="H1719" s="13">
        <f>IF($B1719="OUT",$D1719,0)</f>
      </c>
    </row>
    <row x14ac:dyDescent="0.25" r="1720" customHeight="1" ht="17.25">
      <c r="A1720" s="52"/>
      <c r="B1720" s="2"/>
      <c r="C1720" s="2"/>
      <c r="D1720" s="3"/>
      <c r="E1720" s="3"/>
      <c r="F1720" s="2"/>
      <c r="G1720" s="13">
        <f>IF($B1720="IN",$D1720,0)</f>
      </c>
      <c r="H1720" s="13">
        <f>IF($B1720="OUT",$D1720,0)</f>
      </c>
    </row>
    <row x14ac:dyDescent="0.25" r="1721" customHeight="1" ht="17.25">
      <c r="A1721" s="52"/>
      <c r="B1721" s="2"/>
      <c r="C1721" s="2"/>
      <c r="D1721" s="3"/>
      <c r="E1721" s="3"/>
      <c r="F1721" s="2"/>
      <c r="G1721" s="13">
        <f>IF($B1721="IN",$D1721,0)</f>
      </c>
      <c r="H1721" s="13">
        <f>IF($B1721="OUT",$D1721,0)</f>
      </c>
    </row>
    <row x14ac:dyDescent="0.25" r="1722" customHeight="1" ht="17.25">
      <c r="A1722" s="52"/>
      <c r="B1722" s="2"/>
      <c r="C1722" s="2"/>
      <c r="D1722" s="3"/>
      <c r="E1722" s="3"/>
      <c r="F1722" s="2"/>
      <c r="G1722" s="13">
        <f>IF($B1722="IN",$D1722,0)</f>
      </c>
      <c r="H1722" s="13">
        <f>IF($B1722="OUT",$D1722,0)</f>
      </c>
    </row>
    <row x14ac:dyDescent="0.25" r="1723" customHeight="1" ht="17.25">
      <c r="A1723" s="52"/>
      <c r="B1723" s="2"/>
      <c r="C1723" s="2"/>
      <c r="D1723" s="3"/>
      <c r="E1723" s="3"/>
      <c r="F1723" s="2"/>
      <c r="G1723" s="13">
        <f>IF($B1723="IN",$D1723,0)</f>
      </c>
      <c r="H1723" s="13">
        <f>IF($B1723="OUT",$D1723,0)</f>
      </c>
    </row>
    <row x14ac:dyDescent="0.25" r="1724" customHeight="1" ht="17.25">
      <c r="A1724" s="52"/>
      <c r="B1724" s="2"/>
      <c r="C1724" s="2"/>
      <c r="D1724" s="3"/>
      <c r="E1724" s="3"/>
      <c r="F1724" s="2"/>
      <c r="G1724" s="13">
        <f>IF($B1724="IN",$D1724,0)</f>
      </c>
      <c r="H1724" s="13">
        <f>IF($B1724="OUT",$D1724,0)</f>
      </c>
    </row>
    <row x14ac:dyDescent="0.25" r="1725" customHeight="1" ht="17.25">
      <c r="A1725" s="52"/>
      <c r="B1725" s="2"/>
      <c r="C1725" s="2"/>
      <c r="D1725" s="3"/>
      <c r="E1725" s="3"/>
      <c r="F1725" s="2"/>
      <c r="G1725" s="13">
        <f>IF($B1725="IN",$D1725,0)</f>
      </c>
      <c r="H1725" s="13">
        <f>IF($B1725="OUT",$D1725,0)</f>
      </c>
    </row>
    <row x14ac:dyDescent="0.25" r="1726" customHeight="1" ht="17.25">
      <c r="A1726" s="52"/>
      <c r="B1726" s="2"/>
      <c r="C1726" s="2"/>
      <c r="D1726" s="3"/>
      <c r="E1726" s="3"/>
      <c r="F1726" s="2"/>
      <c r="G1726" s="13">
        <f>IF($B1726="IN",$D1726,0)</f>
      </c>
      <c r="H1726" s="13">
        <f>IF($B1726="OUT",$D1726,0)</f>
      </c>
    </row>
    <row x14ac:dyDescent="0.25" r="1727" customHeight="1" ht="17.25">
      <c r="A1727" s="52"/>
      <c r="B1727" s="2"/>
      <c r="C1727" s="2"/>
      <c r="D1727" s="3"/>
      <c r="E1727" s="3"/>
      <c r="F1727" s="2"/>
      <c r="G1727" s="13">
        <f>IF($B1727="IN",$D1727,0)</f>
      </c>
      <c r="H1727" s="13">
        <f>IF($B1727="OUT",$D1727,0)</f>
      </c>
    </row>
    <row x14ac:dyDescent="0.25" r="1728" customHeight="1" ht="17.25">
      <c r="A1728" s="52"/>
      <c r="B1728" s="2"/>
      <c r="C1728" s="2"/>
      <c r="D1728" s="3"/>
      <c r="E1728" s="3"/>
      <c r="F1728" s="2"/>
      <c r="G1728" s="13">
        <f>IF($B1728="IN",$D1728,0)</f>
      </c>
      <c r="H1728" s="13">
        <f>IF($B1728="OUT",$D1728,0)</f>
      </c>
    </row>
    <row x14ac:dyDescent="0.25" r="1729" customHeight="1" ht="17.25">
      <c r="A1729" s="52"/>
      <c r="B1729" s="2"/>
      <c r="C1729" s="2"/>
      <c r="D1729" s="3"/>
      <c r="E1729" s="3"/>
      <c r="F1729" s="2"/>
      <c r="G1729" s="13">
        <f>IF($B1729="IN",$D1729,0)</f>
      </c>
      <c r="H1729" s="13">
        <f>IF($B1729="OUT",$D1729,0)</f>
      </c>
    </row>
    <row x14ac:dyDescent="0.25" r="1730" customHeight="1" ht="17.25">
      <c r="A1730" s="52"/>
      <c r="B1730" s="2"/>
      <c r="C1730" s="2"/>
      <c r="D1730" s="3"/>
      <c r="E1730" s="3"/>
      <c r="F1730" s="2"/>
      <c r="G1730" s="13">
        <f>IF($B1730="IN",$D1730,0)</f>
      </c>
      <c r="H1730" s="13">
        <f>IF($B1730="OUT",$D1730,0)</f>
      </c>
    </row>
    <row x14ac:dyDescent="0.25" r="1731" customHeight="1" ht="17.25">
      <c r="A1731" s="52"/>
      <c r="B1731" s="2"/>
      <c r="C1731" s="2"/>
      <c r="D1731" s="3"/>
      <c r="E1731" s="3"/>
      <c r="F1731" s="2"/>
      <c r="G1731" s="13">
        <f>IF($B1731="IN",$D1731,0)</f>
      </c>
      <c r="H1731" s="13">
        <f>IF($B1731="OUT",$D1731,0)</f>
      </c>
    </row>
    <row x14ac:dyDescent="0.25" r="1732" customHeight="1" ht="17.25">
      <c r="A1732" s="52"/>
      <c r="B1732" s="2"/>
      <c r="C1732" s="2"/>
      <c r="D1732" s="3"/>
      <c r="E1732" s="3"/>
      <c r="F1732" s="2"/>
      <c r="G1732" s="13">
        <f>IF($B1732="IN",$D1732,0)</f>
      </c>
      <c r="H1732" s="13">
        <f>IF($B1732="OUT",$D1732,0)</f>
      </c>
    </row>
    <row x14ac:dyDescent="0.25" r="1733" customHeight="1" ht="17.25">
      <c r="A1733" s="52"/>
      <c r="B1733" s="2"/>
      <c r="C1733" s="2"/>
      <c r="D1733" s="3"/>
      <c r="E1733" s="3"/>
      <c r="F1733" s="2"/>
      <c r="G1733" s="13">
        <f>IF($B1733="IN",$D1733,0)</f>
      </c>
      <c r="H1733" s="13">
        <f>IF($B1733="OUT",$D1733,0)</f>
      </c>
    </row>
    <row x14ac:dyDescent="0.25" r="1734" customHeight="1" ht="17.25">
      <c r="A1734" s="52"/>
      <c r="B1734" s="2"/>
      <c r="C1734" s="2"/>
      <c r="D1734" s="3"/>
      <c r="E1734" s="3"/>
      <c r="F1734" s="2"/>
      <c r="G1734" s="13">
        <f>IF($B1734="IN",$D1734,0)</f>
      </c>
      <c r="H1734" s="13">
        <f>IF($B1734="OUT",$D1734,0)</f>
      </c>
    </row>
    <row x14ac:dyDescent="0.25" r="1735" customHeight="1" ht="17.25">
      <c r="A1735" s="52"/>
      <c r="B1735" s="2"/>
      <c r="C1735" s="2"/>
      <c r="D1735" s="3"/>
      <c r="E1735" s="3"/>
      <c r="F1735" s="2"/>
      <c r="G1735" s="13">
        <f>IF($B1735="IN",$D1735,0)</f>
      </c>
      <c r="H1735" s="13">
        <f>IF($B1735="OUT",$D1735,0)</f>
      </c>
    </row>
    <row x14ac:dyDescent="0.25" r="1736" customHeight="1" ht="17.25">
      <c r="A1736" s="52"/>
      <c r="B1736" s="2"/>
      <c r="C1736" s="2"/>
      <c r="D1736" s="3"/>
      <c r="E1736" s="3"/>
      <c r="F1736" s="2"/>
      <c r="G1736" s="13">
        <f>IF($B1736="IN",$D1736,0)</f>
      </c>
      <c r="H1736" s="13">
        <f>IF($B1736="OUT",$D1736,0)</f>
      </c>
    </row>
    <row x14ac:dyDescent="0.25" r="1737" customHeight="1" ht="17.25">
      <c r="A1737" s="52"/>
      <c r="B1737" s="2"/>
      <c r="C1737" s="2"/>
      <c r="D1737" s="3"/>
      <c r="E1737" s="3"/>
      <c r="F1737" s="2"/>
      <c r="G1737" s="13">
        <f>IF($B1737="IN",$D1737,0)</f>
      </c>
      <c r="H1737" s="13">
        <f>IF($B1737="OUT",$D1737,0)</f>
      </c>
    </row>
    <row x14ac:dyDescent="0.25" r="1738" customHeight="1" ht="17.25">
      <c r="A1738" s="52"/>
      <c r="B1738" s="2"/>
      <c r="C1738" s="2"/>
      <c r="D1738" s="3"/>
      <c r="E1738" s="3"/>
      <c r="F1738" s="2"/>
      <c r="G1738" s="13">
        <f>IF($B1738="IN",$D1738,0)</f>
      </c>
      <c r="H1738" s="13">
        <f>IF($B1738="OUT",$D1738,0)</f>
      </c>
    </row>
    <row x14ac:dyDescent="0.25" r="1739" customHeight="1" ht="17.25">
      <c r="A1739" s="52"/>
      <c r="B1739" s="2"/>
      <c r="C1739" s="2"/>
      <c r="D1739" s="3"/>
      <c r="E1739" s="3"/>
      <c r="F1739" s="2"/>
      <c r="G1739" s="13">
        <f>IF($B1739="IN",$D1739,0)</f>
      </c>
      <c r="H1739" s="13">
        <f>IF($B1739="OUT",$D1739,0)</f>
      </c>
    </row>
    <row x14ac:dyDescent="0.25" r="1740" customHeight="1" ht="17.25">
      <c r="A1740" s="52"/>
      <c r="B1740" s="2"/>
      <c r="C1740" s="2"/>
      <c r="D1740" s="3"/>
      <c r="E1740" s="3"/>
      <c r="F1740" s="2"/>
      <c r="G1740" s="13">
        <f>IF($B1740="IN",$D1740,0)</f>
      </c>
      <c r="H1740" s="13">
        <f>IF($B1740="OUT",$D1740,0)</f>
      </c>
    </row>
    <row x14ac:dyDescent="0.25" r="1741" customHeight="1" ht="17.25">
      <c r="A1741" s="52"/>
      <c r="B1741" s="2"/>
      <c r="C1741" s="2"/>
      <c r="D1741" s="3"/>
      <c r="E1741" s="3"/>
      <c r="F1741" s="2"/>
      <c r="G1741" s="13">
        <f>IF($B1741="IN",$D1741,0)</f>
      </c>
      <c r="H1741" s="13">
        <f>IF($B1741="OUT",$D1741,0)</f>
      </c>
    </row>
    <row x14ac:dyDescent="0.25" r="1742" customHeight="1" ht="17.25">
      <c r="A1742" s="52"/>
      <c r="B1742" s="2"/>
      <c r="C1742" s="2"/>
      <c r="D1742" s="3"/>
      <c r="E1742" s="3"/>
      <c r="F1742" s="2"/>
      <c r="G1742" s="13">
        <f>IF($B1742="IN",$D1742,0)</f>
      </c>
      <c r="H1742" s="13">
        <f>IF($B1742="OUT",$D1742,0)</f>
      </c>
    </row>
    <row x14ac:dyDescent="0.25" r="1743" customHeight="1" ht="17.25">
      <c r="A1743" s="52"/>
      <c r="B1743" s="2"/>
      <c r="C1743" s="2"/>
      <c r="D1743" s="3"/>
      <c r="E1743" s="3"/>
      <c r="F1743" s="2"/>
      <c r="G1743" s="13">
        <f>IF($B1743="IN",$D1743,0)</f>
      </c>
      <c r="H1743" s="13">
        <f>IF($B1743="OUT",$D1743,0)</f>
      </c>
    </row>
    <row x14ac:dyDescent="0.25" r="1744" customHeight="1" ht="17.25">
      <c r="A1744" s="52"/>
      <c r="B1744" s="2"/>
      <c r="C1744" s="2"/>
      <c r="D1744" s="3"/>
      <c r="E1744" s="3"/>
      <c r="F1744" s="2"/>
      <c r="G1744" s="13">
        <f>IF($B1744="IN",$D1744,0)</f>
      </c>
      <c r="H1744" s="13">
        <f>IF($B1744="OUT",$D1744,0)</f>
      </c>
    </row>
    <row x14ac:dyDescent="0.25" r="1745" customHeight="1" ht="17.25">
      <c r="A1745" s="52"/>
      <c r="B1745" s="2"/>
      <c r="C1745" s="2"/>
      <c r="D1745" s="3"/>
      <c r="E1745" s="3"/>
      <c r="F1745" s="2"/>
      <c r="G1745" s="13">
        <f>IF($B1745="IN",$D1745,0)</f>
      </c>
      <c r="H1745" s="13">
        <f>IF($B1745="OUT",$D1745,0)</f>
      </c>
    </row>
    <row x14ac:dyDescent="0.25" r="1746" customHeight="1" ht="17.25">
      <c r="A1746" s="52"/>
      <c r="B1746" s="2"/>
      <c r="C1746" s="2"/>
      <c r="D1746" s="3"/>
      <c r="E1746" s="3"/>
      <c r="F1746" s="2"/>
      <c r="G1746" s="13">
        <f>IF($B1746="IN",$D1746,0)</f>
      </c>
      <c r="H1746" s="13">
        <f>IF($B1746="OUT",$D1746,0)</f>
      </c>
    </row>
    <row x14ac:dyDescent="0.25" r="1747" customHeight="1" ht="17.25">
      <c r="A1747" s="52"/>
      <c r="B1747" s="2"/>
      <c r="C1747" s="2"/>
      <c r="D1747" s="3"/>
      <c r="E1747" s="3"/>
      <c r="F1747" s="2"/>
      <c r="G1747" s="13">
        <f>IF($B1747="IN",$D1747,0)</f>
      </c>
      <c r="H1747" s="13">
        <f>IF($B1747="OUT",$D1747,0)</f>
      </c>
    </row>
    <row x14ac:dyDescent="0.25" r="1748" customHeight="1" ht="17.25">
      <c r="A1748" s="52"/>
      <c r="B1748" s="2"/>
      <c r="C1748" s="2"/>
      <c r="D1748" s="3"/>
      <c r="E1748" s="3"/>
      <c r="F1748" s="2"/>
      <c r="G1748" s="13">
        <f>IF($B1748="IN",$D1748,0)</f>
      </c>
      <c r="H1748" s="13">
        <f>IF($B1748="OUT",$D1748,0)</f>
      </c>
    </row>
    <row x14ac:dyDescent="0.25" r="1749" customHeight="1" ht="17.25">
      <c r="A1749" s="52"/>
      <c r="B1749" s="2"/>
      <c r="C1749" s="2"/>
      <c r="D1749" s="3"/>
      <c r="E1749" s="3"/>
      <c r="F1749" s="2"/>
      <c r="G1749" s="13">
        <f>IF($B1749="IN",$D1749,0)</f>
      </c>
      <c r="H1749" s="13">
        <f>IF($B1749="OUT",$D1749,0)</f>
      </c>
    </row>
    <row x14ac:dyDescent="0.25" r="1750" customHeight="1" ht="17.25">
      <c r="A1750" s="52"/>
      <c r="B1750" s="2"/>
      <c r="C1750" s="2"/>
      <c r="D1750" s="3"/>
      <c r="E1750" s="3"/>
      <c r="F1750" s="2"/>
      <c r="G1750" s="13">
        <f>IF($B1750="IN",$D1750,0)</f>
      </c>
      <c r="H1750" s="13">
        <f>IF($B1750="OUT",$D1750,0)</f>
      </c>
    </row>
    <row x14ac:dyDescent="0.25" r="1751" customHeight="1" ht="17.25">
      <c r="A1751" s="52"/>
      <c r="B1751" s="2"/>
      <c r="C1751" s="2"/>
      <c r="D1751" s="3"/>
      <c r="E1751" s="3"/>
      <c r="F1751" s="2"/>
      <c r="G1751" s="13">
        <f>IF($B1751="IN",$D1751,0)</f>
      </c>
      <c r="H1751" s="13">
        <f>IF($B1751="OUT",$D1751,0)</f>
      </c>
    </row>
    <row x14ac:dyDescent="0.25" r="1752" customHeight="1" ht="17.25">
      <c r="A1752" s="52"/>
      <c r="B1752" s="2"/>
      <c r="C1752" s="2"/>
      <c r="D1752" s="3"/>
      <c r="E1752" s="3"/>
      <c r="F1752" s="2"/>
      <c r="G1752" s="13">
        <f>IF($B1752="IN",$D1752,0)</f>
      </c>
      <c r="H1752" s="13">
        <f>IF($B1752="OUT",$D1752,0)</f>
      </c>
    </row>
    <row x14ac:dyDescent="0.25" r="1753" customHeight="1" ht="17.25">
      <c r="A1753" s="52"/>
      <c r="B1753" s="2"/>
      <c r="C1753" s="2"/>
      <c r="D1753" s="3"/>
      <c r="E1753" s="3"/>
      <c r="F1753" s="2"/>
      <c r="G1753" s="13">
        <f>IF($B1753="IN",$D1753,0)</f>
      </c>
      <c r="H1753" s="13">
        <f>IF($B1753="OUT",$D1753,0)</f>
      </c>
    </row>
    <row x14ac:dyDescent="0.25" r="1754" customHeight="1" ht="17.25">
      <c r="A1754" s="52"/>
      <c r="B1754" s="2"/>
      <c r="C1754" s="2"/>
      <c r="D1754" s="3"/>
      <c r="E1754" s="3"/>
      <c r="F1754" s="2"/>
      <c r="G1754" s="13">
        <f>IF($B1754="IN",$D1754,0)</f>
      </c>
      <c r="H1754" s="13">
        <f>IF($B1754="OUT",$D1754,0)</f>
      </c>
    </row>
    <row x14ac:dyDescent="0.25" r="1755" customHeight="1" ht="17.25">
      <c r="A1755" s="52"/>
      <c r="B1755" s="2"/>
      <c r="C1755" s="2"/>
      <c r="D1755" s="3"/>
      <c r="E1755" s="3"/>
      <c r="F1755" s="2"/>
      <c r="G1755" s="13">
        <f>IF($B1755="IN",$D1755,0)</f>
      </c>
      <c r="H1755" s="13">
        <f>IF($B1755="OUT",$D1755,0)</f>
      </c>
    </row>
    <row x14ac:dyDescent="0.25" r="1756" customHeight="1" ht="17.25">
      <c r="A1756" s="52"/>
      <c r="B1756" s="2"/>
      <c r="C1756" s="2"/>
      <c r="D1756" s="3"/>
      <c r="E1756" s="3"/>
      <c r="F1756" s="2"/>
      <c r="G1756" s="13">
        <f>IF($B1756="IN",$D1756,0)</f>
      </c>
      <c r="H1756" s="13">
        <f>IF($B1756="OUT",$D1756,0)</f>
      </c>
    </row>
    <row x14ac:dyDescent="0.25" r="1757" customHeight="1" ht="17.25">
      <c r="A1757" s="52"/>
      <c r="B1757" s="2"/>
      <c r="C1757" s="2"/>
      <c r="D1757" s="3"/>
      <c r="E1757" s="3"/>
      <c r="F1757" s="2"/>
      <c r="G1757" s="13">
        <f>IF($B1757="IN",$D1757,0)</f>
      </c>
      <c r="H1757" s="13">
        <f>IF($B1757="OUT",$D1757,0)</f>
      </c>
    </row>
    <row x14ac:dyDescent="0.25" r="1758" customHeight="1" ht="17.25">
      <c r="A1758" s="52"/>
      <c r="B1758" s="2"/>
      <c r="C1758" s="2"/>
      <c r="D1758" s="3"/>
      <c r="E1758" s="3"/>
      <c r="F1758" s="2"/>
      <c r="G1758" s="13">
        <f>IF($B1758="IN",$D1758,0)</f>
      </c>
      <c r="H1758" s="13">
        <f>IF($B1758="OUT",$D1758,0)</f>
      </c>
    </row>
    <row x14ac:dyDescent="0.25" r="1759" customHeight="1" ht="17.25">
      <c r="A1759" s="52"/>
      <c r="B1759" s="2"/>
      <c r="C1759" s="2"/>
      <c r="D1759" s="3"/>
      <c r="E1759" s="3"/>
      <c r="F1759" s="2"/>
      <c r="G1759" s="13">
        <f>IF($B1759="IN",$D1759,0)</f>
      </c>
      <c r="H1759" s="13">
        <f>IF($B1759="OUT",$D1759,0)</f>
      </c>
    </row>
    <row x14ac:dyDescent="0.25" r="1760" customHeight="1" ht="17.25">
      <c r="A1760" s="52"/>
      <c r="B1760" s="2"/>
      <c r="C1760" s="2"/>
      <c r="D1760" s="3"/>
      <c r="E1760" s="3"/>
      <c r="F1760" s="2"/>
      <c r="G1760" s="13">
        <f>IF($B1760="IN",$D1760,0)</f>
      </c>
      <c r="H1760" s="13">
        <f>IF($B1760="OUT",$D1760,0)</f>
      </c>
    </row>
    <row x14ac:dyDescent="0.25" r="1761" customHeight="1" ht="17.25">
      <c r="A1761" s="52"/>
      <c r="B1761" s="2"/>
      <c r="C1761" s="2"/>
      <c r="D1761" s="3"/>
      <c r="E1761" s="3"/>
      <c r="F1761" s="2"/>
      <c r="G1761" s="13">
        <f>IF($B1761="IN",$D1761,0)</f>
      </c>
      <c r="H1761" s="13">
        <f>IF($B1761="OUT",$D1761,0)</f>
      </c>
    </row>
    <row x14ac:dyDescent="0.25" r="1762" customHeight="1" ht="17.25">
      <c r="A1762" s="52"/>
      <c r="B1762" s="2"/>
      <c r="C1762" s="2"/>
      <c r="D1762" s="3"/>
      <c r="E1762" s="3"/>
      <c r="F1762" s="2"/>
      <c r="G1762" s="13">
        <f>IF($B1762="IN",$D1762,0)</f>
      </c>
      <c r="H1762" s="13">
        <f>IF($B1762="OUT",$D1762,0)</f>
      </c>
    </row>
    <row x14ac:dyDescent="0.25" r="1763" customHeight="1" ht="17.25">
      <c r="A1763" s="52"/>
      <c r="B1763" s="2"/>
      <c r="C1763" s="2"/>
      <c r="D1763" s="3"/>
      <c r="E1763" s="3"/>
      <c r="F1763" s="2"/>
      <c r="G1763" s="13">
        <f>IF($B1763="IN",$D1763,0)</f>
      </c>
      <c r="H1763" s="13">
        <f>IF($B1763="OUT",$D1763,0)</f>
      </c>
    </row>
    <row x14ac:dyDescent="0.25" r="1764" customHeight="1" ht="17.25">
      <c r="A1764" s="52"/>
      <c r="B1764" s="2"/>
      <c r="C1764" s="2"/>
      <c r="D1764" s="3"/>
      <c r="E1764" s="3"/>
      <c r="F1764" s="2"/>
      <c r="G1764" s="13">
        <f>IF($B1764="IN",$D1764,0)</f>
      </c>
      <c r="H1764" s="13">
        <f>IF($B1764="OUT",$D1764,0)</f>
      </c>
    </row>
    <row x14ac:dyDescent="0.25" r="1765" customHeight="1" ht="17.25">
      <c r="A1765" s="52"/>
      <c r="B1765" s="2"/>
      <c r="C1765" s="2"/>
      <c r="D1765" s="3"/>
      <c r="E1765" s="3"/>
      <c r="F1765" s="2"/>
      <c r="G1765" s="13">
        <f>IF($B1765="IN",$D1765,0)</f>
      </c>
      <c r="H1765" s="13">
        <f>IF($B1765="OUT",$D1765,0)</f>
      </c>
    </row>
    <row x14ac:dyDescent="0.25" r="1766" customHeight="1" ht="17.25">
      <c r="A1766" s="52"/>
      <c r="B1766" s="2"/>
      <c r="C1766" s="2"/>
      <c r="D1766" s="3"/>
      <c r="E1766" s="3"/>
      <c r="F1766" s="2"/>
      <c r="G1766" s="13">
        <f>IF($B1766="IN",$D1766,0)</f>
      </c>
      <c r="H1766" s="13">
        <f>IF($B1766="OUT",$D1766,0)</f>
      </c>
    </row>
    <row x14ac:dyDescent="0.25" r="1767" customHeight="1" ht="17.25">
      <c r="A1767" s="52"/>
      <c r="B1767" s="2"/>
      <c r="C1767" s="2"/>
      <c r="D1767" s="3"/>
      <c r="E1767" s="3"/>
      <c r="F1767" s="2"/>
      <c r="G1767" s="13">
        <f>IF($B1767="IN",$D1767,0)</f>
      </c>
      <c r="H1767" s="13">
        <f>IF($B1767="OUT",$D1767,0)</f>
      </c>
    </row>
    <row x14ac:dyDescent="0.25" r="1768" customHeight="1" ht="17.25">
      <c r="A1768" s="52"/>
      <c r="B1768" s="2"/>
      <c r="C1768" s="2"/>
      <c r="D1768" s="3"/>
      <c r="E1768" s="3"/>
      <c r="F1768" s="2"/>
      <c r="G1768" s="13">
        <f>IF($B1768="IN",$D1768,0)</f>
      </c>
      <c r="H1768" s="13">
        <f>IF($B1768="OUT",$D1768,0)</f>
      </c>
    </row>
    <row x14ac:dyDescent="0.25" r="1769" customHeight="1" ht="17.25">
      <c r="A1769" s="52"/>
      <c r="B1769" s="2"/>
      <c r="C1769" s="2"/>
      <c r="D1769" s="3"/>
      <c r="E1769" s="3"/>
      <c r="F1769" s="2"/>
      <c r="G1769" s="13">
        <f>IF($B1769="IN",$D1769,0)</f>
      </c>
      <c r="H1769" s="13">
        <f>IF($B1769="OUT",$D1769,0)</f>
      </c>
    </row>
    <row x14ac:dyDescent="0.25" r="1770" customHeight="1" ht="17.25">
      <c r="A1770" s="52"/>
      <c r="B1770" s="2"/>
      <c r="C1770" s="2"/>
      <c r="D1770" s="3"/>
      <c r="E1770" s="3"/>
      <c r="F1770" s="2"/>
      <c r="G1770" s="13">
        <f>IF($B1770="IN",$D1770,0)</f>
      </c>
      <c r="H1770" s="13">
        <f>IF($B1770="OUT",$D1770,0)</f>
      </c>
    </row>
    <row x14ac:dyDescent="0.25" r="1771" customHeight="1" ht="17.25">
      <c r="A1771" s="52"/>
      <c r="B1771" s="2"/>
      <c r="C1771" s="2"/>
      <c r="D1771" s="3"/>
      <c r="E1771" s="3"/>
      <c r="F1771" s="2"/>
      <c r="G1771" s="13">
        <f>IF($B1771="IN",$D1771,0)</f>
      </c>
      <c r="H1771" s="13">
        <f>IF($B1771="OUT",$D1771,0)</f>
      </c>
    </row>
    <row x14ac:dyDescent="0.25" r="1772" customHeight="1" ht="17.25">
      <c r="A1772" s="52"/>
      <c r="B1772" s="2"/>
      <c r="C1772" s="2"/>
      <c r="D1772" s="3"/>
      <c r="E1772" s="3"/>
      <c r="F1772" s="2"/>
      <c r="G1772" s="13">
        <f>IF($B1772="IN",$D1772,0)</f>
      </c>
      <c r="H1772" s="13">
        <f>IF($B1772="OUT",$D1772,0)</f>
      </c>
    </row>
    <row x14ac:dyDescent="0.25" r="1773" customHeight="1" ht="17.25">
      <c r="A1773" s="52"/>
      <c r="B1773" s="2"/>
      <c r="C1773" s="2"/>
      <c r="D1773" s="3"/>
      <c r="E1773" s="3"/>
      <c r="F1773" s="2"/>
      <c r="G1773" s="13">
        <f>IF($B1773="IN",$D1773,0)</f>
      </c>
      <c r="H1773" s="13">
        <f>IF($B1773="OUT",$D1773,0)</f>
      </c>
    </row>
    <row x14ac:dyDescent="0.25" r="1774" customHeight="1" ht="17.25">
      <c r="A1774" s="52"/>
      <c r="B1774" s="2"/>
      <c r="C1774" s="2"/>
      <c r="D1774" s="3"/>
      <c r="E1774" s="3"/>
      <c r="F1774" s="2"/>
      <c r="G1774" s="13">
        <f>IF($B1774="IN",$D1774,0)</f>
      </c>
      <c r="H1774" s="13">
        <f>IF($B1774="OUT",$D1774,0)</f>
      </c>
    </row>
    <row x14ac:dyDescent="0.25" r="1775" customHeight="1" ht="17.25">
      <c r="A1775" s="52"/>
      <c r="B1775" s="2"/>
      <c r="C1775" s="2"/>
      <c r="D1775" s="3"/>
      <c r="E1775" s="3"/>
      <c r="F1775" s="2"/>
      <c r="G1775" s="13">
        <f>IF($B1775="IN",$D1775,0)</f>
      </c>
      <c r="H1775" s="13">
        <f>IF($B1775="OUT",$D1775,0)</f>
      </c>
    </row>
    <row x14ac:dyDescent="0.25" r="1776" customHeight="1" ht="17.25">
      <c r="A1776" s="52"/>
      <c r="B1776" s="2"/>
      <c r="C1776" s="2"/>
      <c r="D1776" s="3"/>
      <c r="E1776" s="3"/>
      <c r="F1776" s="2"/>
      <c r="G1776" s="13">
        <f>IF($B1776="IN",$D1776,0)</f>
      </c>
      <c r="H1776" s="13">
        <f>IF($B1776="OUT",$D1776,0)</f>
      </c>
    </row>
    <row x14ac:dyDescent="0.25" r="1777" customHeight="1" ht="17.25">
      <c r="A1777" s="52"/>
      <c r="B1777" s="2"/>
      <c r="C1777" s="2"/>
      <c r="D1777" s="3"/>
      <c r="E1777" s="3"/>
      <c r="F1777" s="2"/>
      <c r="G1777" s="13">
        <f>IF($B1777="IN",$D1777,0)</f>
      </c>
      <c r="H1777" s="13">
        <f>IF($B1777="OUT",$D1777,0)</f>
      </c>
    </row>
    <row x14ac:dyDescent="0.25" r="1778" customHeight="1" ht="17.25">
      <c r="A1778" s="52"/>
      <c r="B1778" s="2"/>
      <c r="C1778" s="2"/>
      <c r="D1778" s="3"/>
      <c r="E1778" s="3"/>
      <c r="F1778" s="2"/>
      <c r="G1778" s="13">
        <f>IF($B1778="IN",$D1778,0)</f>
      </c>
      <c r="H1778" s="13">
        <f>IF($B1778="OUT",$D1778,0)</f>
      </c>
    </row>
    <row x14ac:dyDescent="0.25" r="1779" customHeight="1" ht="17.25">
      <c r="A1779" s="52"/>
      <c r="B1779" s="2"/>
      <c r="C1779" s="2"/>
      <c r="D1779" s="3"/>
      <c r="E1779" s="3"/>
      <c r="F1779" s="2"/>
      <c r="G1779" s="13">
        <f>IF($B1779="IN",$D1779,0)</f>
      </c>
      <c r="H1779" s="13">
        <f>IF($B1779="OUT",$D1779,0)</f>
      </c>
    </row>
    <row x14ac:dyDescent="0.25" r="1780" customHeight="1" ht="17.25">
      <c r="A1780" s="52"/>
      <c r="B1780" s="2"/>
      <c r="C1780" s="2"/>
      <c r="D1780" s="3"/>
      <c r="E1780" s="3"/>
      <c r="F1780" s="2"/>
      <c r="G1780" s="13">
        <f>IF($B1780="IN",$D1780,0)</f>
      </c>
      <c r="H1780" s="13">
        <f>IF($B1780="OUT",$D1780,0)</f>
      </c>
    </row>
    <row x14ac:dyDescent="0.25" r="1781" customHeight="1" ht="17.25">
      <c r="A1781" s="52"/>
      <c r="B1781" s="2"/>
      <c r="C1781" s="2"/>
      <c r="D1781" s="3"/>
      <c r="E1781" s="3"/>
      <c r="F1781" s="2"/>
      <c r="G1781" s="13">
        <f>IF($B1781="IN",$D1781,0)</f>
      </c>
      <c r="H1781" s="13">
        <f>IF($B1781="OUT",$D1781,0)</f>
      </c>
    </row>
    <row x14ac:dyDescent="0.25" r="1782" customHeight="1" ht="17.25">
      <c r="A1782" s="52"/>
      <c r="B1782" s="2"/>
      <c r="C1782" s="2"/>
      <c r="D1782" s="3"/>
      <c r="E1782" s="3"/>
      <c r="F1782" s="2"/>
      <c r="G1782" s="13">
        <f>IF($B1782="IN",$D1782,0)</f>
      </c>
      <c r="H1782" s="13">
        <f>IF($B1782="OUT",$D1782,0)</f>
      </c>
    </row>
    <row x14ac:dyDescent="0.25" r="1783" customHeight="1" ht="17.25">
      <c r="A1783" s="52"/>
      <c r="B1783" s="2"/>
      <c r="C1783" s="2"/>
      <c r="D1783" s="3"/>
      <c r="E1783" s="3"/>
      <c r="F1783" s="2"/>
      <c r="G1783" s="13">
        <f>IF($B1783="IN",$D1783,0)</f>
      </c>
      <c r="H1783" s="13">
        <f>IF($B1783="OUT",$D1783,0)</f>
      </c>
    </row>
    <row x14ac:dyDescent="0.25" r="1784" customHeight="1" ht="17.25">
      <c r="A1784" s="52"/>
      <c r="B1784" s="2"/>
      <c r="C1784" s="2"/>
      <c r="D1784" s="3"/>
      <c r="E1784" s="3"/>
      <c r="F1784" s="2"/>
      <c r="G1784" s="13">
        <f>IF($B1784="IN",$D1784,0)</f>
      </c>
      <c r="H1784" s="13">
        <f>IF($B1784="OUT",$D1784,0)</f>
      </c>
    </row>
    <row x14ac:dyDescent="0.25" r="1785" customHeight="1" ht="17.25">
      <c r="A1785" s="52"/>
      <c r="B1785" s="2"/>
      <c r="C1785" s="2"/>
      <c r="D1785" s="3"/>
      <c r="E1785" s="3"/>
      <c r="F1785" s="2"/>
      <c r="G1785" s="13">
        <f>IF($B1785="IN",$D1785,0)</f>
      </c>
      <c r="H1785" s="13">
        <f>IF($B1785="OUT",$D1785,0)</f>
      </c>
    </row>
    <row x14ac:dyDescent="0.25" r="1786" customHeight="1" ht="17.25">
      <c r="A1786" s="52"/>
      <c r="B1786" s="2"/>
      <c r="C1786" s="2"/>
      <c r="D1786" s="3"/>
      <c r="E1786" s="3"/>
      <c r="F1786" s="2"/>
      <c r="G1786" s="13">
        <f>IF($B1786="IN",$D1786,0)</f>
      </c>
      <c r="H1786" s="13">
        <f>IF($B1786="OUT",$D1786,0)</f>
      </c>
    </row>
    <row x14ac:dyDescent="0.25" r="1787" customHeight="1" ht="17.25">
      <c r="A1787" s="52"/>
      <c r="B1787" s="2"/>
      <c r="C1787" s="2"/>
      <c r="D1787" s="3"/>
      <c r="E1787" s="3"/>
      <c r="F1787" s="2"/>
      <c r="G1787" s="13">
        <f>IF($B1787="IN",$D1787,0)</f>
      </c>
      <c r="H1787" s="13">
        <f>IF($B1787="OUT",$D1787,0)</f>
      </c>
    </row>
    <row x14ac:dyDescent="0.25" r="1788" customHeight="1" ht="17.25">
      <c r="A1788" s="52"/>
      <c r="B1788" s="2"/>
      <c r="C1788" s="2"/>
      <c r="D1788" s="3"/>
      <c r="E1788" s="3"/>
      <c r="F1788" s="2"/>
      <c r="G1788" s="13">
        <f>IF($B1788="IN",$D1788,0)</f>
      </c>
      <c r="H1788" s="13">
        <f>IF($B1788="OUT",$D1788,0)</f>
      </c>
    </row>
    <row x14ac:dyDescent="0.25" r="1789" customHeight="1" ht="17.25">
      <c r="A1789" s="52"/>
      <c r="B1789" s="2"/>
      <c r="C1789" s="2"/>
      <c r="D1789" s="3"/>
      <c r="E1789" s="3"/>
      <c r="F1789" s="2"/>
      <c r="G1789" s="13">
        <f>IF($B1789="IN",$D1789,0)</f>
      </c>
      <c r="H1789" s="13">
        <f>IF($B1789="OUT",$D1789,0)</f>
      </c>
    </row>
    <row x14ac:dyDescent="0.25" r="1790" customHeight="1" ht="17.25">
      <c r="A1790" s="52"/>
      <c r="B1790" s="2"/>
      <c r="C1790" s="2"/>
      <c r="D1790" s="3"/>
      <c r="E1790" s="3"/>
      <c r="F1790" s="2"/>
      <c r="G1790" s="13">
        <f>IF($B1790="IN",$D1790,0)</f>
      </c>
      <c r="H1790" s="13">
        <f>IF($B1790="OUT",$D1790,0)</f>
      </c>
    </row>
    <row x14ac:dyDescent="0.25" r="1791" customHeight="1" ht="17.25">
      <c r="A1791" s="52"/>
      <c r="B1791" s="2"/>
      <c r="C1791" s="2"/>
      <c r="D1791" s="3"/>
      <c r="E1791" s="3"/>
      <c r="F1791" s="2"/>
      <c r="G1791" s="13">
        <f>IF($B1791="IN",$D1791,0)</f>
      </c>
      <c r="H1791" s="13">
        <f>IF($B1791="OUT",$D1791,0)</f>
      </c>
    </row>
    <row x14ac:dyDescent="0.25" r="1792" customHeight="1" ht="17.25">
      <c r="A1792" s="52"/>
      <c r="B1792" s="2"/>
      <c r="C1792" s="2"/>
      <c r="D1792" s="3"/>
      <c r="E1792" s="3"/>
      <c r="F1792" s="2"/>
      <c r="G1792" s="13">
        <f>IF($B1792="IN",$D1792,0)</f>
      </c>
      <c r="H1792" s="13">
        <f>IF($B1792="OUT",$D1792,0)</f>
      </c>
    </row>
    <row x14ac:dyDescent="0.25" r="1793" customHeight="1" ht="17.25">
      <c r="A1793" s="52"/>
      <c r="B1793" s="2"/>
      <c r="C1793" s="2"/>
      <c r="D1793" s="3"/>
      <c r="E1793" s="3"/>
      <c r="F1793" s="2"/>
      <c r="G1793" s="13">
        <f>IF($B1793="IN",$D1793,0)</f>
      </c>
      <c r="H1793" s="13">
        <f>IF($B1793="OUT",$D1793,0)</f>
      </c>
    </row>
    <row x14ac:dyDescent="0.25" r="1794" customHeight="1" ht="17.25">
      <c r="A1794" s="52"/>
      <c r="B1794" s="2"/>
      <c r="C1794" s="2"/>
      <c r="D1794" s="3"/>
      <c r="E1794" s="3"/>
      <c r="F1794" s="2"/>
      <c r="G1794" s="13">
        <f>IF($B1794="IN",$D1794,0)</f>
      </c>
      <c r="H1794" s="13">
        <f>IF($B1794="OUT",$D1794,0)</f>
      </c>
    </row>
    <row x14ac:dyDescent="0.25" r="1795" customHeight="1" ht="17.25">
      <c r="A1795" s="52"/>
      <c r="B1795" s="2"/>
      <c r="C1795" s="2"/>
      <c r="D1795" s="3"/>
      <c r="E1795" s="3"/>
      <c r="F1795" s="2"/>
      <c r="G1795" s="13">
        <f>IF($B1795="IN",$D1795,0)</f>
      </c>
      <c r="H1795" s="13">
        <f>IF($B1795="OUT",$D1795,0)</f>
      </c>
    </row>
    <row x14ac:dyDescent="0.25" r="1796" customHeight="1" ht="17.25">
      <c r="A1796" s="52"/>
      <c r="B1796" s="2"/>
      <c r="C1796" s="2"/>
      <c r="D1796" s="3"/>
      <c r="E1796" s="3"/>
      <c r="F1796" s="2"/>
      <c r="G1796" s="13">
        <f>IF($B1796="IN",$D1796,0)</f>
      </c>
      <c r="H1796" s="13">
        <f>IF($B1796="OUT",$D1796,0)</f>
      </c>
    </row>
    <row x14ac:dyDescent="0.25" r="1797" customHeight="1" ht="17.25">
      <c r="A1797" s="52"/>
      <c r="B1797" s="2"/>
      <c r="C1797" s="2"/>
      <c r="D1797" s="3"/>
      <c r="E1797" s="3"/>
      <c r="F1797" s="2"/>
      <c r="G1797" s="13">
        <f>IF($B1797="IN",$D1797,0)</f>
      </c>
      <c r="H1797" s="13">
        <f>IF($B1797="OUT",$D1797,0)</f>
      </c>
    </row>
    <row x14ac:dyDescent="0.25" r="1798" customHeight="1" ht="17.25">
      <c r="A1798" s="52"/>
      <c r="B1798" s="2"/>
      <c r="C1798" s="2"/>
      <c r="D1798" s="3"/>
      <c r="E1798" s="3"/>
      <c r="F1798" s="2"/>
      <c r="G1798" s="13">
        <f>IF($B1798="IN",$D1798,0)</f>
      </c>
      <c r="H1798" s="13">
        <f>IF($B1798="OUT",$D1798,0)</f>
      </c>
    </row>
    <row x14ac:dyDescent="0.25" r="1799" customHeight="1" ht="17.25">
      <c r="A1799" s="52"/>
      <c r="B1799" s="2"/>
      <c r="C1799" s="2"/>
      <c r="D1799" s="3"/>
      <c r="E1799" s="3"/>
      <c r="F1799" s="2"/>
      <c r="G1799" s="13">
        <f>IF($B1799="IN",$D1799,0)</f>
      </c>
      <c r="H1799" s="13">
        <f>IF($B1799="OUT",$D1799,0)</f>
      </c>
    </row>
    <row x14ac:dyDescent="0.25" r="1800" customHeight="1" ht="17.25">
      <c r="A1800" s="52"/>
      <c r="B1800" s="2"/>
      <c r="C1800" s="2"/>
      <c r="D1800" s="3"/>
      <c r="E1800" s="3"/>
      <c r="F1800" s="2"/>
      <c r="G1800" s="13">
        <f>IF($B1800="IN",$D1800,0)</f>
      </c>
      <c r="H1800" s="13">
        <f>IF($B1800="OUT",$D1800,0)</f>
      </c>
    </row>
    <row x14ac:dyDescent="0.25" r="1801" customHeight="1" ht="17.25">
      <c r="A1801" s="52"/>
      <c r="B1801" s="2"/>
      <c r="C1801" s="2"/>
      <c r="D1801" s="3"/>
      <c r="E1801" s="3"/>
      <c r="F1801" s="2"/>
      <c r="G1801" s="13">
        <f>IF($B1801="IN",$D1801,0)</f>
      </c>
      <c r="H1801" s="13">
        <f>IF($B1801="OUT",$D1801,0)</f>
      </c>
    </row>
    <row x14ac:dyDescent="0.25" r="1802" customHeight="1" ht="17.25">
      <c r="A1802" s="52"/>
      <c r="B1802" s="2"/>
      <c r="C1802" s="2"/>
      <c r="D1802" s="3"/>
      <c r="E1802" s="3"/>
      <c r="F1802" s="2"/>
      <c r="G1802" s="13">
        <f>IF($B1802="IN",$D1802,0)</f>
      </c>
      <c r="H1802" s="13">
        <f>IF($B1802="OUT",$D1802,0)</f>
      </c>
    </row>
    <row x14ac:dyDescent="0.25" r="1803" customHeight="1" ht="17.25">
      <c r="A1803" s="52"/>
      <c r="B1803" s="2"/>
      <c r="C1803" s="2"/>
      <c r="D1803" s="3"/>
      <c r="E1803" s="3"/>
      <c r="F1803" s="2"/>
      <c r="G1803" s="13">
        <f>IF($B1803="IN",$D1803,0)</f>
      </c>
      <c r="H1803" s="13">
        <f>IF($B1803="OUT",$D1803,0)</f>
      </c>
    </row>
    <row x14ac:dyDescent="0.25" r="1804" customHeight="1" ht="17.25">
      <c r="A1804" s="52"/>
      <c r="B1804" s="2"/>
      <c r="C1804" s="2"/>
      <c r="D1804" s="3"/>
      <c r="E1804" s="3"/>
      <c r="F1804" s="2"/>
      <c r="G1804" s="13">
        <f>IF($B1804="IN",$D1804,0)</f>
      </c>
      <c r="H1804" s="13">
        <f>IF($B1804="OUT",$D1804,0)</f>
      </c>
    </row>
    <row x14ac:dyDescent="0.25" r="1805" customHeight="1" ht="17.25">
      <c r="A1805" s="52"/>
      <c r="B1805" s="2"/>
      <c r="C1805" s="2"/>
      <c r="D1805" s="3"/>
      <c r="E1805" s="3"/>
      <c r="F1805" s="2"/>
      <c r="G1805" s="13">
        <f>IF($B1805="IN",$D1805,0)</f>
      </c>
      <c r="H1805" s="13">
        <f>IF($B1805="OUT",$D1805,0)</f>
      </c>
    </row>
    <row x14ac:dyDescent="0.25" r="1806" customHeight="1" ht="17.25">
      <c r="A1806" s="52"/>
      <c r="B1806" s="2"/>
      <c r="C1806" s="2"/>
      <c r="D1806" s="3"/>
      <c r="E1806" s="3"/>
      <c r="F1806" s="2"/>
      <c r="G1806" s="13">
        <f>IF($B1806="IN",$D1806,0)</f>
      </c>
      <c r="H1806" s="13">
        <f>IF($B1806="OUT",$D1806,0)</f>
      </c>
    </row>
    <row x14ac:dyDescent="0.25" r="1807" customHeight="1" ht="17.25">
      <c r="A1807" s="52"/>
      <c r="B1807" s="2"/>
      <c r="C1807" s="2"/>
      <c r="D1807" s="3"/>
      <c r="E1807" s="3"/>
      <c r="F1807" s="2"/>
      <c r="G1807" s="13">
        <f>IF($B1807="IN",$D1807,0)</f>
      </c>
      <c r="H1807" s="13">
        <f>IF($B1807="OUT",$D1807,0)</f>
      </c>
    </row>
    <row x14ac:dyDescent="0.25" r="1808" customHeight="1" ht="17.25">
      <c r="A1808" s="52"/>
      <c r="B1808" s="2"/>
      <c r="C1808" s="2"/>
      <c r="D1808" s="3"/>
      <c r="E1808" s="3"/>
      <c r="F1808" s="2"/>
      <c r="G1808" s="13">
        <f>IF($B1808="IN",$D1808,0)</f>
      </c>
      <c r="H1808" s="13">
        <f>IF($B1808="OUT",$D1808,0)</f>
      </c>
    </row>
    <row x14ac:dyDescent="0.25" r="1809" customHeight="1" ht="17.25">
      <c r="A1809" s="52"/>
      <c r="B1809" s="2"/>
      <c r="C1809" s="2"/>
      <c r="D1809" s="3"/>
      <c r="E1809" s="3"/>
      <c r="F1809" s="2"/>
      <c r="G1809" s="13">
        <f>IF($B1809="IN",$D1809,0)</f>
      </c>
      <c r="H1809" s="13">
        <f>IF($B1809="OUT",$D1809,0)</f>
      </c>
    </row>
    <row x14ac:dyDescent="0.25" r="1810" customHeight="1" ht="17.25">
      <c r="A1810" s="52"/>
      <c r="B1810" s="2"/>
      <c r="C1810" s="2"/>
      <c r="D1810" s="3"/>
      <c r="E1810" s="3"/>
      <c r="F1810" s="2"/>
      <c r="G1810" s="13">
        <f>IF($B1810="IN",$D1810,0)</f>
      </c>
      <c r="H1810" s="13">
        <f>IF($B1810="OUT",$D1810,0)</f>
      </c>
    </row>
    <row x14ac:dyDescent="0.25" r="1811" customHeight="1" ht="17.25">
      <c r="A1811" s="52"/>
      <c r="B1811" s="2"/>
      <c r="C1811" s="2"/>
      <c r="D1811" s="3"/>
      <c r="E1811" s="3"/>
      <c r="F1811" s="2"/>
      <c r="G1811" s="13">
        <f>IF($B1811="IN",$D1811,0)</f>
      </c>
      <c r="H1811" s="13">
        <f>IF($B1811="OUT",$D1811,0)</f>
      </c>
    </row>
    <row x14ac:dyDescent="0.25" r="1812" customHeight="1" ht="17.25">
      <c r="A1812" s="52"/>
      <c r="B1812" s="2"/>
      <c r="C1812" s="2"/>
      <c r="D1812" s="3"/>
      <c r="E1812" s="3"/>
      <c r="F1812" s="2"/>
      <c r="G1812" s="13">
        <f>IF($B1812="IN",$D1812,0)</f>
      </c>
      <c r="H1812" s="13">
        <f>IF($B1812="OUT",$D1812,0)</f>
      </c>
    </row>
    <row x14ac:dyDescent="0.25" r="1813" customHeight="1" ht="17.25">
      <c r="A1813" s="52"/>
      <c r="B1813" s="2"/>
      <c r="C1813" s="2"/>
      <c r="D1813" s="3"/>
      <c r="E1813" s="3"/>
      <c r="F1813" s="2"/>
      <c r="G1813" s="13">
        <f>IF($B1813="IN",$D1813,0)</f>
      </c>
      <c r="H1813" s="13">
        <f>IF($B1813="OUT",$D1813,0)</f>
      </c>
    </row>
    <row x14ac:dyDescent="0.25" r="1814" customHeight="1" ht="17.25">
      <c r="A1814" s="52"/>
      <c r="B1814" s="2"/>
      <c r="C1814" s="2"/>
      <c r="D1814" s="3"/>
      <c r="E1814" s="3"/>
      <c r="F1814" s="2"/>
      <c r="G1814" s="13">
        <f>IF($B1814="IN",$D1814,0)</f>
      </c>
      <c r="H1814" s="13">
        <f>IF($B1814="OUT",$D1814,0)</f>
      </c>
    </row>
    <row x14ac:dyDescent="0.25" r="1815" customHeight="1" ht="17.25">
      <c r="A1815" s="52"/>
      <c r="B1815" s="2"/>
      <c r="C1815" s="2"/>
      <c r="D1815" s="3"/>
      <c r="E1815" s="3"/>
      <c r="F1815" s="2"/>
      <c r="G1815" s="13">
        <f>IF($B1815="IN",$D1815,0)</f>
      </c>
      <c r="H1815" s="13">
        <f>IF($B1815="OUT",$D1815,0)</f>
      </c>
    </row>
    <row x14ac:dyDescent="0.25" r="1816" customHeight="1" ht="17.25">
      <c r="A1816" s="52"/>
      <c r="B1816" s="2"/>
      <c r="C1816" s="2"/>
      <c r="D1816" s="3"/>
      <c r="E1816" s="3"/>
      <c r="F1816" s="2"/>
      <c r="G1816" s="13">
        <f>IF($B1816="IN",$D1816,0)</f>
      </c>
      <c r="H1816" s="13">
        <f>IF($B1816="OUT",$D1816,0)</f>
      </c>
    </row>
    <row x14ac:dyDescent="0.25" r="1817" customHeight="1" ht="17.25">
      <c r="A1817" s="52"/>
      <c r="B1817" s="2"/>
      <c r="C1817" s="2"/>
      <c r="D1817" s="3"/>
      <c r="E1817" s="3"/>
      <c r="F1817" s="2"/>
      <c r="G1817" s="13">
        <f>IF($B1817="IN",$D1817,0)</f>
      </c>
      <c r="H1817" s="13">
        <f>IF($B1817="OUT",$D1817,0)</f>
      </c>
    </row>
    <row x14ac:dyDescent="0.25" r="1818" customHeight="1" ht="17.25">
      <c r="A1818" s="52"/>
      <c r="B1818" s="2"/>
      <c r="C1818" s="2"/>
      <c r="D1818" s="3"/>
      <c r="E1818" s="3"/>
      <c r="F1818" s="2"/>
      <c r="G1818" s="13">
        <f>IF($B1818="IN",$D1818,0)</f>
      </c>
      <c r="H1818" s="13">
        <f>IF($B1818="OUT",$D1818,0)</f>
      </c>
    </row>
    <row x14ac:dyDescent="0.25" r="1819" customHeight="1" ht="17.25">
      <c r="A1819" s="52"/>
      <c r="B1819" s="2"/>
      <c r="C1819" s="2"/>
      <c r="D1819" s="3"/>
      <c r="E1819" s="3"/>
      <c r="F1819" s="2"/>
      <c r="G1819" s="13">
        <f>IF($B1819="IN",$D1819,0)</f>
      </c>
      <c r="H1819" s="13">
        <f>IF($B1819="OUT",$D1819,0)</f>
      </c>
    </row>
    <row x14ac:dyDescent="0.25" r="1820" customHeight="1" ht="17.25">
      <c r="A1820" s="52"/>
      <c r="B1820" s="2"/>
      <c r="C1820" s="2"/>
      <c r="D1820" s="3"/>
      <c r="E1820" s="3"/>
      <c r="F1820" s="2"/>
      <c r="G1820" s="13">
        <f>IF($B1820="IN",$D1820,0)</f>
      </c>
      <c r="H1820" s="13">
        <f>IF($B1820="OUT",$D1820,0)</f>
      </c>
    </row>
    <row x14ac:dyDescent="0.25" r="1821" customHeight="1" ht="17.25">
      <c r="A1821" s="52"/>
      <c r="B1821" s="2"/>
      <c r="C1821" s="2"/>
      <c r="D1821" s="3"/>
      <c r="E1821" s="3"/>
      <c r="F1821" s="2"/>
      <c r="G1821" s="13">
        <f>IF($B1821="IN",$D1821,0)</f>
      </c>
      <c r="H1821" s="13">
        <f>IF($B1821="OUT",$D1821,0)</f>
      </c>
    </row>
    <row x14ac:dyDescent="0.25" r="1822" customHeight="1" ht="17.25">
      <c r="A1822" s="52"/>
      <c r="B1822" s="2"/>
      <c r="C1822" s="2"/>
      <c r="D1822" s="3"/>
      <c r="E1822" s="3"/>
      <c r="F1822" s="2"/>
      <c r="G1822" s="13">
        <f>IF($B1822="IN",$D1822,0)</f>
      </c>
      <c r="H1822" s="13">
        <f>IF($B1822="OUT",$D1822,0)</f>
      </c>
    </row>
    <row x14ac:dyDescent="0.25" r="1823" customHeight="1" ht="17.25">
      <c r="A1823" s="52"/>
      <c r="B1823" s="2"/>
      <c r="C1823" s="2"/>
      <c r="D1823" s="3"/>
      <c r="E1823" s="3"/>
      <c r="F1823" s="2"/>
      <c r="G1823" s="13">
        <f>IF($B1823="IN",$D1823,0)</f>
      </c>
      <c r="H1823" s="13">
        <f>IF($B1823="OUT",$D1823,0)</f>
      </c>
    </row>
    <row x14ac:dyDescent="0.25" r="1824" customHeight="1" ht="17.25">
      <c r="A1824" s="52"/>
      <c r="B1824" s="2"/>
      <c r="C1824" s="2"/>
      <c r="D1824" s="3"/>
      <c r="E1824" s="3"/>
      <c r="F1824" s="2"/>
      <c r="G1824" s="13">
        <f>IF($B1824="IN",$D1824,0)</f>
      </c>
      <c r="H1824" s="13">
        <f>IF($B1824="OUT",$D1824,0)</f>
      </c>
    </row>
    <row x14ac:dyDescent="0.25" r="1825" customHeight="1" ht="17.25">
      <c r="A1825" s="52"/>
      <c r="B1825" s="2"/>
      <c r="C1825" s="2"/>
      <c r="D1825" s="3"/>
      <c r="E1825" s="3"/>
      <c r="F1825" s="2"/>
      <c r="G1825" s="13">
        <f>IF($B1825="IN",$D1825,0)</f>
      </c>
      <c r="H1825" s="13">
        <f>IF($B1825="OUT",$D1825,0)</f>
      </c>
    </row>
    <row x14ac:dyDescent="0.25" r="1826" customHeight="1" ht="17.25">
      <c r="A1826" s="52"/>
      <c r="B1826" s="2"/>
      <c r="C1826" s="2"/>
      <c r="D1826" s="3"/>
      <c r="E1826" s="3"/>
      <c r="F1826" s="2"/>
      <c r="G1826" s="13">
        <f>IF($B1826="IN",$D1826,0)</f>
      </c>
      <c r="H1826" s="13">
        <f>IF($B1826="OUT",$D1826,0)</f>
      </c>
    </row>
    <row x14ac:dyDescent="0.25" r="1827" customHeight="1" ht="17.25">
      <c r="A1827" s="52"/>
      <c r="B1827" s="2"/>
      <c r="C1827" s="2"/>
      <c r="D1827" s="3"/>
      <c r="E1827" s="3"/>
      <c r="F1827" s="2"/>
      <c r="G1827" s="13">
        <f>IF($B1827="IN",$D1827,0)</f>
      </c>
      <c r="H1827" s="13">
        <f>IF($B1827="OUT",$D1827,0)</f>
      </c>
    </row>
    <row x14ac:dyDescent="0.25" r="1828" customHeight="1" ht="17.25">
      <c r="A1828" s="52"/>
      <c r="B1828" s="2"/>
      <c r="C1828" s="2"/>
      <c r="D1828" s="3"/>
      <c r="E1828" s="3"/>
      <c r="F1828" s="2"/>
      <c r="G1828" s="13">
        <f>IF($B1828="IN",$D1828,0)</f>
      </c>
      <c r="H1828" s="13">
        <f>IF($B1828="OUT",$D1828,0)</f>
      </c>
    </row>
    <row x14ac:dyDescent="0.25" r="1829" customHeight="1" ht="17.25">
      <c r="A1829" s="52"/>
      <c r="B1829" s="2"/>
      <c r="C1829" s="2"/>
      <c r="D1829" s="3"/>
      <c r="E1829" s="3"/>
      <c r="F1829" s="2"/>
      <c r="G1829" s="13">
        <f>IF($B1829="IN",$D1829,0)</f>
      </c>
      <c r="H1829" s="13">
        <f>IF($B1829="OUT",$D1829,0)</f>
      </c>
    </row>
    <row x14ac:dyDescent="0.25" r="1830" customHeight="1" ht="17.25">
      <c r="A1830" s="52"/>
      <c r="B1830" s="2"/>
      <c r="C1830" s="2"/>
      <c r="D1830" s="3"/>
      <c r="E1830" s="3"/>
      <c r="F1830" s="2"/>
      <c r="G1830" s="13">
        <f>IF($B1830="IN",$D1830,0)</f>
      </c>
      <c r="H1830" s="13">
        <f>IF($B1830="OUT",$D1830,0)</f>
      </c>
    </row>
    <row x14ac:dyDescent="0.25" r="1831" customHeight="1" ht="17.25">
      <c r="A1831" s="52"/>
      <c r="B1831" s="2"/>
      <c r="C1831" s="2"/>
      <c r="D1831" s="3"/>
      <c r="E1831" s="3"/>
      <c r="F1831" s="2"/>
      <c r="G1831" s="13">
        <f>IF($B1831="IN",$D1831,0)</f>
      </c>
      <c r="H1831" s="13">
        <f>IF($B1831="OUT",$D1831,0)</f>
      </c>
    </row>
    <row x14ac:dyDescent="0.25" r="1832" customHeight="1" ht="17.25">
      <c r="A1832" s="52"/>
      <c r="B1832" s="2"/>
      <c r="C1832" s="2"/>
      <c r="D1832" s="3"/>
      <c r="E1832" s="3"/>
      <c r="F1832" s="2"/>
      <c r="G1832" s="13">
        <f>IF($B1832="IN",$D1832,0)</f>
      </c>
      <c r="H1832" s="13">
        <f>IF($B1832="OUT",$D1832,0)</f>
      </c>
    </row>
    <row x14ac:dyDescent="0.25" r="1833" customHeight="1" ht="17.25">
      <c r="A1833" s="52"/>
      <c r="B1833" s="2"/>
      <c r="C1833" s="2"/>
      <c r="D1833" s="3"/>
      <c r="E1833" s="3"/>
      <c r="F1833" s="2"/>
      <c r="G1833" s="13">
        <f>IF($B1833="IN",$D1833,0)</f>
      </c>
      <c r="H1833" s="13">
        <f>IF($B1833="OUT",$D1833,0)</f>
      </c>
    </row>
    <row x14ac:dyDescent="0.25" r="1834" customHeight="1" ht="17.25">
      <c r="A1834" s="52"/>
      <c r="B1834" s="2"/>
      <c r="C1834" s="2"/>
      <c r="D1834" s="3"/>
      <c r="E1834" s="3"/>
      <c r="F1834" s="2"/>
      <c r="G1834" s="13">
        <f>IF($B1834="IN",$D1834,0)</f>
      </c>
      <c r="H1834" s="13">
        <f>IF($B1834="OUT",$D1834,0)</f>
      </c>
    </row>
    <row x14ac:dyDescent="0.25" r="1835" customHeight="1" ht="17.25">
      <c r="A1835" s="52"/>
      <c r="B1835" s="2"/>
      <c r="C1835" s="2"/>
      <c r="D1835" s="3"/>
      <c r="E1835" s="3"/>
      <c r="F1835" s="2"/>
      <c r="G1835" s="13">
        <f>IF($B1835="IN",$D1835,0)</f>
      </c>
      <c r="H1835" s="13">
        <f>IF($B1835="OUT",$D1835,0)</f>
      </c>
    </row>
    <row x14ac:dyDescent="0.25" r="1836" customHeight="1" ht="17.25">
      <c r="A1836" s="52"/>
      <c r="B1836" s="2"/>
      <c r="C1836" s="2"/>
      <c r="D1836" s="3"/>
      <c r="E1836" s="3"/>
      <c r="F1836" s="2"/>
      <c r="G1836" s="13">
        <f>IF($B1836="IN",$D1836,0)</f>
      </c>
      <c r="H1836" s="13">
        <f>IF($B1836="OUT",$D1836,0)</f>
      </c>
    </row>
    <row x14ac:dyDescent="0.25" r="1837" customHeight="1" ht="17.25">
      <c r="A1837" s="52"/>
      <c r="B1837" s="2"/>
      <c r="C1837" s="2"/>
      <c r="D1837" s="3"/>
      <c r="E1837" s="3"/>
      <c r="F1837" s="2"/>
      <c r="G1837" s="13">
        <f>IF($B1837="IN",$D1837,0)</f>
      </c>
      <c r="H1837" s="13">
        <f>IF($B1837="OUT",$D1837,0)</f>
      </c>
    </row>
    <row x14ac:dyDescent="0.25" r="1838" customHeight="1" ht="17.25">
      <c r="A1838" s="52"/>
      <c r="B1838" s="2"/>
      <c r="C1838" s="2"/>
      <c r="D1838" s="3"/>
      <c r="E1838" s="3"/>
      <c r="F1838" s="2"/>
      <c r="G1838" s="13">
        <f>IF($B1838="IN",$D1838,0)</f>
      </c>
      <c r="H1838" s="13">
        <f>IF($B1838="OUT",$D1838,0)</f>
      </c>
    </row>
    <row x14ac:dyDescent="0.25" r="1839" customHeight="1" ht="17.25">
      <c r="A1839" s="52"/>
      <c r="B1839" s="2"/>
      <c r="C1839" s="2"/>
      <c r="D1839" s="3"/>
      <c r="E1839" s="3"/>
      <c r="F1839" s="2"/>
      <c r="G1839" s="13">
        <f>IF($B1839="IN",$D1839,0)</f>
      </c>
      <c r="H1839" s="13">
        <f>IF($B1839="OUT",$D1839,0)</f>
      </c>
    </row>
    <row x14ac:dyDescent="0.25" r="1840" customHeight="1" ht="17.25">
      <c r="A1840" s="52"/>
      <c r="B1840" s="2"/>
      <c r="C1840" s="2"/>
      <c r="D1840" s="3"/>
      <c r="E1840" s="3"/>
      <c r="F1840" s="2"/>
      <c r="G1840" s="13">
        <f>IF($B1840="IN",$D1840,0)</f>
      </c>
      <c r="H1840" s="13">
        <f>IF($B1840="OUT",$D1840,0)</f>
      </c>
    </row>
    <row x14ac:dyDescent="0.25" r="1841" customHeight="1" ht="17.25">
      <c r="A1841" s="52"/>
      <c r="B1841" s="2"/>
      <c r="C1841" s="2"/>
      <c r="D1841" s="3"/>
      <c r="E1841" s="3"/>
      <c r="F1841" s="2"/>
      <c r="G1841" s="13">
        <f>IF($B1841="IN",$D1841,0)</f>
      </c>
      <c r="H1841" s="13">
        <f>IF($B1841="OUT",$D1841,0)</f>
      </c>
    </row>
    <row x14ac:dyDescent="0.25" r="1842" customHeight="1" ht="17.25">
      <c r="A1842" s="52"/>
      <c r="B1842" s="2"/>
      <c r="C1842" s="2"/>
      <c r="D1842" s="3"/>
      <c r="E1842" s="3"/>
      <c r="F1842" s="2"/>
      <c r="G1842" s="13">
        <f>IF($B1842="IN",$D1842,0)</f>
      </c>
      <c r="H1842" s="13">
        <f>IF($B1842="OUT",$D1842,0)</f>
      </c>
    </row>
    <row x14ac:dyDescent="0.25" r="1843" customHeight="1" ht="17.25">
      <c r="A1843" s="52"/>
      <c r="B1843" s="2"/>
      <c r="C1843" s="2"/>
      <c r="D1843" s="3"/>
      <c r="E1843" s="3"/>
      <c r="F1843" s="2"/>
      <c r="G1843" s="13">
        <f>IF($B1843="IN",$D1843,0)</f>
      </c>
      <c r="H1843" s="13">
        <f>IF($B1843="OUT",$D1843,0)</f>
      </c>
    </row>
    <row x14ac:dyDescent="0.25" r="1844" customHeight="1" ht="17.25">
      <c r="A1844" s="52"/>
      <c r="B1844" s="2"/>
      <c r="C1844" s="2"/>
      <c r="D1844" s="3"/>
      <c r="E1844" s="3"/>
      <c r="F1844" s="2"/>
      <c r="G1844" s="13">
        <f>IF($B1844="IN",$D1844,0)</f>
      </c>
      <c r="H1844" s="13">
        <f>IF($B1844="OUT",$D1844,0)</f>
      </c>
    </row>
    <row x14ac:dyDescent="0.25" r="1845" customHeight="1" ht="17.25">
      <c r="A1845" s="52"/>
      <c r="B1845" s="2"/>
      <c r="C1845" s="2"/>
      <c r="D1845" s="3"/>
      <c r="E1845" s="3"/>
      <c r="F1845" s="2"/>
      <c r="G1845" s="13">
        <f>IF($B1845="IN",$D1845,0)</f>
      </c>
      <c r="H1845" s="13">
        <f>IF($B1845="OUT",$D1845,0)</f>
      </c>
    </row>
    <row x14ac:dyDescent="0.25" r="1846" customHeight="1" ht="17.25">
      <c r="A1846" s="52"/>
      <c r="B1846" s="2"/>
      <c r="C1846" s="2"/>
      <c r="D1846" s="3"/>
      <c r="E1846" s="3"/>
      <c r="F1846" s="2"/>
      <c r="G1846" s="13">
        <f>IF($B1846="IN",$D1846,0)</f>
      </c>
      <c r="H1846" s="13">
        <f>IF($B1846="OUT",$D1846,0)</f>
      </c>
    </row>
    <row x14ac:dyDescent="0.25" r="1847" customHeight="1" ht="17.25">
      <c r="A1847" s="52"/>
      <c r="B1847" s="2"/>
      <c r="C1847" s="2"/>
      <c r="D1847" s="3"/>
      <c r="E1847" s="3"/>
      <c r="F1847" s="2"/>
      <c r="G1847" s="13">
        <f>IF($B1847="IN",$D1847,0)</f>
      </c>
      <c r="H1847" s="13">
        <f>IF($B1847="OUT",$D1847,0)</f>
      </c>
    </row>
    <row x14ac:dyDescent="0.25" r="1848" customHeight="1" ht="17.25">
      <c r="A1848" s="52"/>
      <c r="B1848" s="2"/>
      <c r="C1848" s="2"/>
      <c r="D1848" s="3"/>
      <c r="E1848" s="3"/>
      <c r="F1848" s="2"/>
      <c r="G1848" s="13">
        <f>IF($B1848="IN",$D1848,0)</f>
      </c>
      <c r="H1848" s="13">
        <f>IF($B1848="OUT",$D1848,0)</f>
      </c>
    </row>
    <row x14ac:dyDescent="0.25" r="1849" customHeight="1" ht="17.25">
      <c r="A1849" s="52"/>
      <c r="B1849" s="2"/>
      <c r="C1849" s="2"/>
      <c r="D1849" s="3"/>
      <c r="E1849" s="3"/>
      <c r="F1849" s="2"/>
      <c r="G1849" s="13">
        <f>IF($B1849="IN",$D1849,0)</f>
      </c>
      <c r="H1849" s="13">
        <f>IF($B1849="OUT",$D1849,0)</f>
      </c>
    </row>
    <row x14ac:dyDescent="0.25" r="1850" customHeight="1" ht="17.25">
      <c r="A1850" s="52"/>
      <c r="B1850" s="2"/>
      <c r="C1850" s="2"/>
      <c r="D1850" s="3"/>
      <c r="E1850" s="3"/>
      <c r="F1850" s="2"/>
      <c r="G1850" s="13">
        <f>IF($B1850="IN",$D1850,0)</f>
      </c>
      <c r="H1850" s="13">
        <f>IF($B1850="OUT",$D1850,0)</f>
      </c>
    </row>
    <row x14ac:dyDescent="0.25" r="1851" customHeight="1" ht="17.25">
      <c r="A1851" s="52"/>
      <c r="B1851" s="2"/>
      <c r="C1851" s="2"/>
      <c r="D1851" s="3"/>
      <c r="E1851" s="3"/>
      <c r="F1851" s="2"/>
      <c r="G1851" s="13">
        <f>IF($B1851="IN",$D1851,0)</f>
      </c>
      <c r="H1851" s="13">
        <f>IF($B1851="OUT",$D1851,0)</f>
      </c>
    </row>
    <row x14ac:dyDescent="0.25" r="1852" customHeight="1" ht="17.25">
      <c r="A1852" s="52"/>
      <c r="B1852" s="2"/>
      <c r="C1852" s="2"/>
      <c r="D1852" s="3"/>
      <c r="E1852" s="3"/>
      <c r="F1852" s="2"/>
      <c r="G1852" s="13">
        <f>IF($B1852="IN",$D1852,0)</f>
      </c>
      <c r="H1852" s="13">
        <f>IF($B1852="OUT",$D1852,0)</f>
      </c>
    </row>
    <row x14ac:dyDescent="0.25" r="1853" customHeight="1" ht="17.25">
      <c r="A1853" s="52"/>
      <c r="B1853" s="2"/>
      <c r="C1853" s="2"/>
      <c r="D1853" s="3"/>
      <c r="E1853" s="3"/>
      <c r="F1853" s="2"/>
      <c r="G1853" s="13">
        <f>IF($B1853="IN",$D1853,0)</f>
      </c>
      <c r="H1853" s="13">
        <f>IF($B1853="OUT",$D1853,0)</f>
      </c>
    </row>
    <row x14ac:dyDescent="0.25" r="1854" customHeight="1" ht="17.25">
      <c r="A1854" s="52"/>
      <c r="B1854" s="2"/>
      <c r="C1854" s="2"/>
      <c r="D1854" s="3"/>
      <c r="E1854" s="3"/>
      <c r="F1854" s="2"/>
      <c r="G1854" s="13">
        <f>IF($B1854="IN",$D1854,0)</f>
      </c>
      <c r="H1854" s="13">
        <f>IF($B1854="OUT",$D1854,0)</f>
      </c>
    </row>
    <row x14ac:dyDescent="0.25" r="1855" customHeight="1" ht="17.25">
      <c r="A1855" s="52"/>
      <c r="B1855" s="2"/>
      <c r="C1855" s="2"/>
      <c r="D1855" s="3"/>
      <c r="E1855" s="3"/>
      <c r="F1855" s="2"/>
      <c r="G1855" s="13">
        <f>IF($B1855="IN",$D1855,0)</f>
      </c>
      <c r="H1855" s="13">
        <f>IF($B1855="OUT",$D1855,0)</f>
      </c>
    </row>
    <row x14ac:dyDescent="0.25" r="1856" customHeight="1" ht="17.25">
      <c r="A1856" s="52"/>
      <c r="B1856" s="2"/>
      <c r="C1856" s="2"/>
      <c r="D1856" s="3"/>
      <c r="E1856" s="3"/>
      <c r="F1856" s="2"/>
      <c r="G1856" s="13">
        <f>IF($B1856="IN",$D1856,0)</f>
      </c>
      <c r="H1856" s="13">
        <f>IF($B1856="OUT",$D1856,0)</f>
      </c>
    </row>
    <row x14ac:dyDescent="0.25" r="1857" customHeight="1" ht="17.25">
      <c r="A1857" s="52"/>
      <c r="B1857" s="2"/>
      <c r="C1857" s="2"/>
      <c r="D1857" s="3"/>
      <c r="E1857" s="3"/>
      <c r="F1857" s="2"/>
      <c r="G1857" s="13">
        <f>IF($B1857="IN",$D1857,0)</f>
      </c>
      <c r="H1857" s="13">
        <f>IF($B1857="OUT",$D1857,0)</f>
      </c>
    </row>
    <row x14ac:dyDescent="0.25" r="1858" customHeight="1" ht="17.25">
      <c r="A1858" s="52"/>
      <c r="B1858" s="2"/>
      <c r="C1858" s="2"/>
      <c r="D1858" s="3"/>
      <c r="E1858" s="3"/>
      <c r="F1858" s="2"/>
      <c r="G1858" s="13">
        <f>IF($B1858="IN",$D1858,0)</f>
      </c>
      <c r="H1858" s="13">
        <f>IF($B1858="OUT",$D1858,0)</f>
      </c>
    </row>
    <row x14ac:dyDescent="0.25" r="1859" customHeight="1" ht="17.25">
      <c r="A1859" s="52"/>
      <c r="B1859" s="2"/>
      <c r="C1859" s="2"/>
      <c r="D1859" s="3"/>
      <c r="E1859" s="3"/>
      <c r="F1859" s="2"/>
      <c r="G1859" s="13">
        <f>IF($B1859="IN",$D1859,0)</f>
      </c>
      <c r="H1859" s="13">
        <f>IF($B1859="OUT",$D1859,0)</f>
      </c>
    </row>
    <row x14ac:dyDescent="0.25" r="1860" customHeight="1" ht="17.25">
      <c r="A1860" s="52"/>
      <c r="B1860" s="2"/>
      <c r="C1860" s="2"/>
      <c r="D1860" s="3"/>
      <c r="E1860" s="3"/>
      <c r="F1860" s="2"/>
      <c r="G1860" s="13">
        <f>IF($B1860="IN",$D1860,0)</f>
      </c>
      <c r="H1860" s="13">
        <f>IF($B1860="OUT",$D1860,0)</f>
      </c>
    </row>
    <row x14ac:dyDescent="0.25" r="1861" customHeight="1" ht="17.25">
      <c r="A1861" s="52"/>
      <c r="B1861" s="2"/>
      <c r="C1861" s="2"/>
      <c r="D1861" s="3"/>
      <c r="E1861" s="3"/>
      <c r="F1861" s="2"/>
      <c r="G1861" s="13">
        <f>IF($B1861="IN",$D1861,0)</f>
      </c>
      <c r="H1861" s="13">
        <f>IF($B1861="OUT",$D1861,0)</f>
      </c>
    </row>
    <row x14ac:dyDescent="0.25" r="1862" customHeight="1" ht="17.25">
      <c r="A1862" s="52"/>
      <c r="B1862" s="2"/>
      <c r="C1862" s="2"/>
      <c r="D1862" s="3"/>
      <c r="E1862" s="3"/>
      <c r="F1862" s="2"/>
      <c r="G1862" s="13">
        <f>IF($B1862="IN",$D1862,0)</f>
      </c>
      <c r="H1862" s="13">
        <f>IF($B1862="OUT",$D1862,0)</f>
      </c>
    </row>
    <row x14ac:dyDescent="0.25" r="1863" customHeight="1" ht="17.25">
      <c r="A1863" s="52"/>
      <c r="B1863" s="2"/>
      <c r="C1863" s="2"/>
      <c r="D1863" s="3"/>
      <c r="E1863" s="3"/>
      <c r="F1863" s="2"/>
      <c r="G1863" s="13">
        <f>IF($B1863="IN",$D1863,0)</f>
      </c>
      <c r="H1863" s="13">
        <f>IF($B1863="OUT",$D1863,0)</f>
      </c>
    </row>
    <row x14ac:dyDescent="0.25" r="1864" customHeight="1" ht="17.25">
      <c r="A1864" s="52"/>
      <c r="B1864" s="2"/>
      <c r="C1864" s="2"/>
      <c r="D1864" s="3"/>
      <c r="E1864" s="3"/>
      <c r="F1864" s="2"/>
      <c r="G1864" s="13">
        <f>IF($B1864="IN",$D1864,0)</f>
      </c>
      <c r="H1864" s="13">
        <f>IF($B1864="OUT",$D1864,0)</f>
      </c>
    </row>
    <row x14ac:dyDescent="0.25" r="1865" customHeight="1" ht="17.25">
      <c r="A1865" s="52"/>
      <c r="B1865" s="2"/>
      <c r="C1865" s="2"/>
      <c r="D1865" s="3"/>
      <c r="E1865" s="3"/>
      <c r="F1865" s="2"/>
      <c r="G1865" s="13">
        <f>IF($B1865="IN",$D1865,0)</f>
      </c>
      <c r="H1865" s="13">
        <f>IF($B1865="OUT",$D1865,0)</f>
      </c>
    </row>
    <row x14ac:dyDescent="0.25" r="1866" customHeight="1" ht="17.25">
      <c r="A1866" s="52"/>
      <c r="B1866" s="2"/>
      <c r="C1866" s="2"/>
      <c r="D1866" s="3"/>
      <c r="E1866" s="3"/>
      <c r="F1866" s="2"/>
      <c r="G1866" s="13">
        <f>IF($B1866="IN",$D1866,0)</f>
      </c>
      <c r="H1866" s="13">
        <f>IF($B1866="OUT",$D1866,0)</f>
      </c>
    </row>
    <row x14ac:dyDescent="0.25" r="1867" customHeight="1" ht="17.25">
      <c r="A1867" s="52"/>
      <c r="B1867" s="2"/>
      <c r="C1867" s="2"/>
      <c r="D1867" s="3"/>
      <c r="E1867" s="3"/>
      <c r="F1867" s="2"/>
      <c r="G1867" s="13">
        <f>IF($B1867="IN",$D1867,0)</f>
      </c>
      <c r="H1867" s="13">
        <f>IF($B1867="OUT",$D1867,0)</f>
      </c>
    </row>
    <row x14ac:dyDescent="0.25" r="1868" customHeight="1" ht="17.25">
      <c r="A1868" s="52"/>
      <c r="B1868" s="2"/>
      <c r="C1868" s="2"/>
      <c r="D1868" s="3"/>
      <c r="E1868" s="3"/>
      <c r="F1868" s="2"/>
      <c r="G1868" s="13">
        <f>IF($B1868="IN",$D1868,0)</f>
      </c>
      <c r="H1868" s="13">
        <f>IF($B1868="OUT",$D1868,0)</f>
      </c>
    </row>
    <row x14ac:dyDescent="0.25" r="1869" customHeight="1" ht="17.25">
      <c r="A1869" s="52"/>
      <c r="B1869" s="2"/>
      <c r="C1869" s="2"/>
      <c r="D1869" s="3"/>
      <c r="E1869" s="3"/>
      <c r="F1869" s="2"/>
      <c r="G1869" s="13">
        <f>IF($B1869="IN",$D1869,0)</f>
      </c>
      <c r="H1869" s="13">
        <f>IF($B1869="OUT",$D1869,0)</f>
      </c>
    </row>
    <row x14ac:dyDescent="0.25" r="1870" customHeight="1" ht="17.25">
      <c r="A1870" s="52"/>
      <c r="B1870" s="2"/>
      <c r="C1870" s="2"/>
      <c r="D1870" s="3"/>
      <c r="E1870" s="3"/>
      <c r="F1870" s="2"/>
      <c r="G1870" s="13">
        <f>IF($B1870="IN",$D1870,0)</f>
      </c>
      <c r="H1870" s="13">
        <f>IF($B1870="OUT",$D1870,0)</f>
      </c>
    </row>
    <row x14ac:dyDescent="0.25" r="1871" customHeight="1" ht="17.25">
      <c r="A1871" s="52"/>
      <c r="B1871" s="2"/>
      <c r="C1871" s="2"/>
      <c r="D1871" s="3"/>
      <c r="E1871" s="3"/>
      <c r="F1871" s="2"/>
      <c r="G1871" s="13">
        <f>IF($B1871="IN",$D1871,0)</f>
      </c>
      <c r="H1871" s="13">
        <f>IF($B1871="OUT",$D1871,0)</f>
      </c>
    </row>
    <row x14ac:dyDescent="0.25" r="1872" customHeight="1" ht="17.25">
      <c r="A1872" s="52"/>
      <c r="B1872" s="2"/>
      <c r="C1872" s="2"/>
      <c r="D1872" s="3"/>
      <c r="E1872" s="3"/>
      <c r="F1872" s="2"/>
      <c r="G1872" s="13">
        <f>IF($B1872="IN",$D1872,0)</f>
      </c>
      <c r="H1872" s="13">
        <f>IF($B1872="OUT",$D1872,0)</f>
      </c>
    </row>
    <row x14ac:dyDescent="0.25" r="1873" customHeight="1" ht="17.25">
      <c r="A1873" s="52"/>
      <c r="B1873" s="2"/>
      <c r="C1873" s="2"/>
      <c r="D1873" s="3"/>
      <c r="E1873" s="3"/>
      <c r="F1873" s="2"/>
      <c r="G1873" s="13">
        <f>IF($B1873="IN",$D1873,0)</f>
      </c>
      <c r="H1873" s="13">
        <f>IF($B1873="OUT",$D1873,0)</f>
      </c>
    </row>
    <row x14ac:dyDescent="0.25" r="1874" customHeight="1" ht="17.25">
      <c r="A1874" s="52"/>
      <c r="B1874" s="2"/>
      <c r="C1874" s="2"/>
      <c r="D1874" s="3"/>
      <c r="E1874" s="3"/>
      <c r="F1874" s="2"/>
      <c r="G1874" s="13">
        <f>IF($B1874="IN",$D1874,0)</f>
      </c>
      <c r="H1874" s="13">
        <f>IF($B1874="OUT",$D1874,0)</f>
      </c>
    </row>
    <row x14ac:dyDescent="0.25" r="1875" customHeight="1" ht="17.25">
      <c r="A1875" s="52"/>
      <c r="B1875" s="2"/>
      <c r="C1875" s="2"/>
      <c r="D1875" s="3"/>
      <c r="E1875" s="3"/>
      <c r="F1875" s="2"/>
      <c r="G1875" s="13">
        <f>IF($B1875="IN",$D1875,0)</f>
      </c>
      <c r="H1875" s="13">
        <f>IF($B1875="OUT",$D1875,0)</f>
      </c>
    </row>
    <row x14ac:dyDescent="0.25" r="1876" customHeight="1" ht="17.25">
      <c r="A1876" s="52"/>
      <c r="B1876" s="2"/>
      <c r="C1876" s="2"/>
      <c r="D1876" s="3"/>
      <c r="E1876" s="3"/>
      <c r="F1876" s="2"/>
      <c r="G1876" s="13">
        <f>IF($B1876="IN",$D1876,0)</f>
      </c>
      <c r="H1876" s="13">
        <f>IF($B1876="OUT",$D1876,0)</f>
      </c>
    </row>
    <row x14ac:dyDescent="0.25" r="1877" customHeight="1" ht="17.25">
      <c r="A1877" s="52"/>
      <c r="B1877" s="2"/>
      <c r="C1877" s="2"/>
      <c r="D1877" s="3"/>
      <c r="E1877" s="3"/>
      <c r="F1877" s="2"/>
      <c r="G1877" s="13">
        <f>IF($B1877="IN",$D1877,0)</f>
      </c>
      <c r="H1877" s="13">
        <f>IF($B1877="OUT",$D1877,0)</f>
      </c>
    </row>
    <row x14ac:dyDescent="0.25" r="1878" customHeight="1" ht="17.25">
      <c r="A1878" s="52"/>
      <c r="B1878" s="2"/>
      <c r="C1878" s="2"/>
      <c r="D1878" s="3"/>
      <c r="E1878" s="3"/>
      <c r="F1878" s="2"/>
      <c r="G1878" s="13">
        <f>IF($B1878="IN",$D1878,0)</f>
      </c>
      <c r="H1878" s="13">
        <f>IF($B1878="OUT",$D1878,0)</f>
      </c>
    </row>
    <row x14ac:dyDescent="0.25" r="1879" customHeight="1" ht="17.25">
      <c r="A1879" s="52"/>
      <c r="B1879" s="2"/>
      <c r="C1879" s="2"/>
      <c r="D1879" s="3"/>
      <c r="E1879" s="3"/>
      <c r="F1879" s="2"/>
      <c r="G1879" s="13">
        <f>IF($B1879="IN",$D1879,0)</f>
      </c>
      <c r="H1879" s="13">
        <f>IF($B1879="OUT",$D1879,0)</f>
      </c>
    </row>
    <row x14ac:dyDescent="0.25" r="1880" customHeight="1" ht="17.25">
      <c r="A1880" s="52"/>
      <c r="B1880" s="2"/>
      <c r="C1880" s="2"/>
      <c r="D1880" s="3"/>
      <c r="E1880" s="3"/>
      <c r="F1880" s="2"/>
      <c r="G1880" s="13">
        <f>IF($B1880="IN",$D1880,0)</f>
      </c>
      <c r="H1880" s="13">
        <f>IF($B1880="OUT",$D1880,0)</f>
      </c>
    </row>
    <row x14ac:dyDescent="0.25" r="1881" customHeight="1" ht="17.25">
      <c r="A1881" s="52"/>
      <c r="B1881" s="2"/>
      <c r="C1881" s="2"/>
      <c r="D1881" s="3"/>
      <c r="E1881" s="3"/>
      <c r="F1881" s="2"/>
      <c r="G1881" s="13">
        <f>IF($B1881="IN",$D1881,0)</f>
      </c>
      <c r="H1881" s="13">
        <f>IF($B1881="OUT",$D1881,0)</f>
      </c>
    </row>
    <row x14ac:dyDescent="0.25" r="1882" customHeight="1" ht="17.25">
      <c r="A1882" s="52"/>
      <c r="B1882" s="2"/>
      <c r="C1882" s="2"/>
      <c r="D1882" s="3"/>
      <c r="E1882" s="3"/>
      <c r="F1882" s="2"/>
      <c r="G1882" s="13">
        <f>IF($B1882="IN",$D1882,0)</f>
      </c>
      <c r="H1882" s="13">
        <f>IF($B1882="OUT",$D1882,0)</f>
      </c>
    </row>
    <row x14ac:dyDescent="0.25" r="1883" customHeight="1" ht="17.25">
      <c r="A1883" s="52"/>
      <c r="B1883" s="2"/>
      <c r="C1883" s="2"/>
      <c r="D1883" s="3"/>
      <c r="E1883" s="3"/>
      <c r="F1883" s="2"/>
      <c r="G1883" s="13">
        <f>IF($B1883="IN",$D1883,0)</f>
      </c>
      <c r="H1883" s="13">
        <f>IF($B1883="OUT",$D1883,0)</f>
      </c>
    </row>
    <row x14ac:dyDescent="0.25" r="1884" customHeight="1" ht="17.25">
      <c r="A1884" s="52"/>
      <c r="B1884" s="2"/>
      <c r="C1884" s="2"/>
      <c r="D1884" s="3"/>
      <c r="E1884" s="3"/>
      <c r="F1884" s="2"/>
      <c r="G1884" s="13">
        <f>IF($B1884="IN",$D1884,0)</f>
      </c>
      <c r="H1884" s="13">
        <f>IF($B1884="OUT",$D1884,0)</f>
      </c>
    </row>
    <row x14ac:dyDescent="0.25" r="1885" customHeight="1" ht="17.25">
      <c r="A1885" s="52"/>
      <c r="B1885" s="2"/>
      <c r="C1885" s="2"/>
      <c r="D1885" s="3"/>
      <c r="E1885" s="3"/>
      <c r="F1885" s="2"/>
      <c r="G1885" s="13">
        <f>IF($B1885="IN",$D1885,0)</f>
      </c>
      <c r="H1885" s="13">
        <f>IF($B1885="OUT",$D1885,0)</f>
      </c>
    </row>
    <row x14ac:dyDescent="0.25" r="1886" customHeight="1" ht="17.25">
      <c r="A1886" s="52"/>
      <c r="B1886" s="2"/>
      <c r="C1886" s="2"/>
      <c r="D1886" s="3"/>
      <c r="E1886" s="3"/>
      <c r="F1886" s="2"/>
      <c r="G1886" s="13">
        <f>IF($B1886="IN",$D1886,0)</f>
      </c>
      <c r="H1886" s="13">
        <f>IF($B1886="OUT",$D1886,0)</f>
      </c>
    </row>
    <row x14ac:dyDescent="0.25" r="1887" customHeight="1" ht="17.25">
      <c r="A1887" s="52"/>
      <c r="B1887" s="2"/>
      <c r="C1887" s="2"/>
      <c r="D1887" s="3"/>
      <c r="E1887" s="3"/>
      <c r="F1887" s="2"/>
      <c r="G1887" s="13">
        <f>IF($B1887="IN",$D1887,0)</f>
      </c>
      <c r="H1887" s="13">
        <f>IF($B1887="OUT",$D1887,0)</f>
      </c>
    </row>
    <row x14ac:dyDescent="0.25" r="1888" customHeight="1" ht="17.25">
      <c r="A1888" s="52"/>
      <c r="B1888" s="2"/>
      <c r="C1888" s="2"/>
      <c r="D1888" s="3"/>
      <c r="E1888" s="3"/>
      <c r="F1888" s="2"/>
      <c r="G1888" s="13">
        <f>IF($B1888="IN",$D1888,0)</f>
      </c>
      <c r="H1888" s="13">
        <f>IF($B1888="OUT",$D1888,0)</f>
      </c>
    </row>
    <row x14ac:dyDescent="0.25" r="1889" customHeight="1" ht="17.25">
      <c r="A1889" s="52"/>
      <c r="B1889" s="2"/>
      <c r="C1889" s="2"/>
      <c r="D1889" s="3"/>
      <c r="E1889" s="3"/>
      <c r="F1889" s="2"/>
      <c r="G1889" s="13">
        <f>IF($B1889="IN",$D1889,0)</f>
      </c>
      <c r="H1889" s="13">
        <f>IF($B1889="OUT",$D1889,0)</f>
      </c>
    </row>
    <row x14ac:dyDescent="0.25" r="1890" customHeight="1" ht="17.25">
      <c r="A1890" s="52"/>
      <c r="B1890" s="2"/>
      <c r="C1890" s="2"/>
      <c r="D1890" s="3"/>
      <c r="E1890" s="3"/>
      <c r="F1890" s="2"/>
      <c r="G1890" s="13">
        <f>IF($B1890="IN",$D1890,0)</f>
      </c>
      <c r="H1890" s="13">
        <f>IF($B1890="OUT",$D1890,0)</f>
      </c>
    </row>
    <row x14ac:dyDescent="0.25" r="1891" customHeight="1" ht="17.25">
      <c r="A1891" s="52"/>
      <c r="B1891" s="2"/>
      <c r="C1891" s="2"/>
      <c r="D1891" s="3"/>
      <c r="E1891" s="3"/>
      <c r="F1891" s="2"/>
      <c r="G1891" s="13">
        <f>IF($B1891="IN",$D1891,0)</f>
      </c>
      <c r="H1891" s="13">
        <f>IF($B1891="OUT",$D1891,0)</f>
      </c>
    </row>
    <row x14ac:dyDescent="0.25" r="1892" customHeight="1" ht="17.25">
      <c r="A1892" s="52"/>
      <c r="B1892" s="2"/>
      <c r="C1892" s="2"/>
      <c r="D1892" s="3"/>
      <c r="E1892" s="3"/>
      <c r="F1892" s="2"/>
      <c r="G1892" s="13">
        <f>IF($B1892="IN",$D1892,0)</f>
      </c>
      <c r="H1892" s="13">
        <f>IF($B1892="OUT",$D1892,0)</f>
      </c>
    </row>
    <row x14ac:dyDescent="0.25" r="1893" customHeight="1" ht="17.25">
      <c r="A1893" s="52"/>
      <c r="B1893" s="2"/>
      <c r="C1893" s="2"/>
      <c r="D1893" s="3"/>
      <c r="E1893" s="3"/>
      <c r="F1893" s="2"/>
      <c r="G1893" s="13">
        <f>IF($B1893="IN",$D1893,0)</f>
      </c>
      <c r="H1893" s="13">
        <f>IF($B1893="OUT",$D1893,0)</f>
      </c>
    </row>
    <row x14ac:dyDescent="0.25" r="1894" customHeight="1" ht="17.25">
      <c r="A1894" s="52"/>
      <c r="B1894" s="2"/>
      <c r="C1894" s="2"/>
      <c r="D1894" s="3"/>
      <c r="E1894" s="3"/>
      <c r="F1894" s="2"/>
      <c r="G1894" s="13">
        <f>IF($B1894="IN",$D1894,0)</f>
      </c>
      <c r="H1894" s="13">
        <f>IF($B1894="OUT",$D1894,0)</f>
      </c>
    </row>
    <row x14ac:dyDescent="0.25" r="1895" customHeight="1" ht="17.25">
      <c r="A1895" s="52"/>
      <c r="B1895" s="2"/>
      <c r="C1895" s="2"/>
      <c r="D1895" s="3"/>
      <c r="E1895" s="3"/>
      <c r="F1895" s="2"/>
      <c r="G1895" s="13">
        <f>IF($B1895="IN",$D1895,0)</f>
      </c>
      <c r="H1895" s="13">
        <f>IF($B1895="OUT",$D1895,0)</f>
      </c>
    </row>
    <row x14ac:dyDescent="0.25" r="1896" customHeight="1" ht="17.25">
      <c r="A1896" s="52"/>
      <c r="B1896" s="2"/>
      <c r="C1896" s="2"/>
      <c r="D1896" s="3"/>
      <c r="E1896" s="3"/>
      <c r="F1896" s="2"/>
      <c r="G1896" s="13">
        <f>IF($B1896="IN",$D1896,0)</f>
      </c>
      <c r="H1896" s="13">
        <f>IF($B1896="OUT",$D1896,0)</f>
      </c>
    </row>
    <row x14ac:dyDescent="0.25" r="1897" customHeight="1" ht="17.25">
      <c r="A1897" s="52"/>
      <c r="B1897" s="2"/>
      <c r="C1897" s="2"/>
      <c r="D1897" s="3"/>
      <c r="E1897" s="3"/>
      <c r="F1897" s="2"/>
      <c r="G1897" s="13">
        <f>IF($B1897="IN",$D1897,0)</f>
      </c>
      <c r="H1897" s="13">
        <f>IF($B1897="OUT",$D1897,0)</f>
      </c>
    </row>
    <row x14ac:dyDescent="0.25" r="1898" customHeight="1" ht="17.25">
      <c r="A1898" s="52"/>
      <c r="B1898" s="2"/>
      <c r="C1898" s="2"/>
      <c r="D1898" s="3"/>
      <c r="E1898" s="3"/>
      <c r="F1898" s="2"/>
      <c r="G1898" s="13">
        <f>IF($B1898="IN",$D1898,0)</f>
      </c>
      <c r="H1898" s="13">
        <f>IF($B1898="OUT",$D1898,0)</f>
      </c>
    </row>
    <row x14ac:dyDescent="0.25" r="1899" customHeight="1" ht="17.25">
      <c r="A1899" s="52"/>
      <c r="B1899" s="2"/>
      <c r="C1899" s="2"/>
      <c r="D1899" s="3"/>
      <c r="E1899" s="3"/>
      <c r="F1899" s="2"/>
      <c r="G1899" s="13">
        <f>IF($B1899="IN",$D1899,0)</f>
      </c>
      <c r="H1899" s="13">
        <f>IF($B1899="OUT",$D1899,0)</f>
      </c>
    </row>
    <row x14ac:dyDescent="0.25" r="1900" customHeight="1" ht="17.25">
      <c r="A1900" s="52"/>
      <c r="B1900" s="2"/>
      <c r="C1900" s="2"/>
      <c r="D1900" s="3"/>
      <c r="E1900" s="3"/>
      <c r="F1900" s="2"/>
      <c r="G1900" s="13">
        <f>IF($B1900="IN",$D1900,0)</f>
      </c>
      <c r="H1900" s="13">
        <f>IF($B1900="OUT",$D1900,0)</f>
      </c>
    </row>
    <row x14ac:dyDescent="0.25" r="1901" customHeight="1" ht="17.25">
      <c r="A1901" s="52"/>
      <c r="B1901" s="2"/>
      <c r="C1901" s="2"/>
      <c r="D1901" s="3"/>
      <c r="E1901" s="3"/>
      <c r="F1901" s="2"/>
      <c r="G1901" s="13">
        <f>IF($B1901="IN",$D1901,0)</f>
      </c>
      <c r="H1901" s="13">
        <f>IF($B1901="OUT",$D1901,0)</f>
      </c>
    </row>
    <row x14ac:dyDescent="0.25" r="1902" customHeight="1" ht="17.25">
      <c r="A1902" s="52"/>
      <c r="B1902" s="2"/>
      <c r="C1902" s="2"/>
      <c r="D1902" s="3"/>
      <c r="E1902" s="3"/>
      <c r="F1902" s="2"/>
      <c r="G1902" s="13">
        <f>IF($B1902="IN",$D1902,0)</f>
      </c>
      <c r="H1902" s="13">
        <f>IF($B1902="OUT",$D1902,0)</f>
      </c>
    </row>
    <row x14ac:dyDescent="0.25" r="1903" customHeight="1" ht="17.25">
      <c r="A1903" s="52"/>
      <c r="B1903" s="2"/>
      <c r="C1903" s="2"/>
      <c r="D1903" s="3"/>
      <c r="E1903" s="3"/>
      <c r="F1903" s="2"/>
      <c r="G1903" s="13">
        <f>IF($B1903="IN",$D1903,0)</f>
      </c>
      <c r="H1903" s="13">
        <f>IF($B1903="OUT",$D1903,0)</f>
      </c>
    </row>
    <row x14ac:dyDescent="0.25" r="1904" customHeight="1" ht="17.25">
      <c r="A1904" s="52"/>
      <c r="B1904" s="2"/>
      <c r="C1904" s="2"/>
      <c r="D1904" s="3"/>
      <c r="E1904" s="3"/>
      <c r="F1904" s="2"/>
      <c r="G1904" s="13">
        <f>IF($B1904="IN",$D1904,0)</f>
      </c>
      <c r="H1904" s="13">
        <f>IF($B1904="OUT",$D1904,0)</f>
      </c>
    </row>
    <row x14ac:dyDescent="0.25" r="1905" customHeight="1" ht="17.25">
      <c r="A1905" s="52"/>
      <c r="B1905" s="2"/>
      <c r="C1905" s="2"/>
      <c r="D1905" s="3"/>
      <c r="E1905" s="3"/>
      <c r="F1905" s="2"/>
      <c r="G1905" s="13">
        <f>IF($B1905="IN",$D1905,0)</f>
      </c>
      <c r="H1905" s="13">
        <f>IF($B1905="OUT",$D1905,0)</f>
      </c>
    </row>
    <row x14ac:dyDescent="0.25" r="1906" customHeight="1" ht="17.25">
      <c r="A1906" s="52"/>
      <c r="B1906" s="2"/>
      <c r="C1906" s="2"/>
      <c r="D1906" s="3"/>
      <c r="E1906" s="3"/>
      <c r="F1906" s="2"/>
      <c r="G1906" s="13">
        <f>IF($B1906="IN",$D1906,0)</f>
      </c>
      <c r="H1906" s="13">
        <f>IF($B1906="OUT",$D1906,0)</f>
      </c>
    </row>
    <row x14ac:dyDescent="0.25" r="1907" customHeight="1" ht="17.25">
      <c r="A1907" s="52"/>
      <c r="B1907" s="2"/>
      <c r="C1907" s="2"/>
      <c r="D1907" s="3"/>
      <c r="E1907" s="3"/>
      <c r="F1907" s="2"/>
      <c r="G1907" s="13">
        <f>IF($B1907="IN",$D1907,0)</f>
      </c>
      <c r="H1907" s="13">
        <f>IF($B1907="OUT",$D1907,0)</f>
      </c>
    </row>
    <row x14ac:dyDescent="0.25" r="1908" customHeight="1" ht="17.25">
      <c r="A1908" s="52"/>
      <c r="B1908" s="2"/>
      <c r="C1908" s="2"/>
      <c r="D1908" s="3"/>
      <c r="E1908" s="3"/>
      <c r="F1908" s="2"/>
      <c r="G1908" s="13">
        <f>IF($B1908="IN",$D1908,0)</f>
      </c>
      <c r="H1908" s="13">
        <f>IF($B1908="OUT",$D1908,0)</f>
      </c>
    </row>
    <row x14ac:dyDescent="0.25" r="1909" customHeight="1" ht="17.25">
      <c r="A1909" s="52"/>
      <c r="B1909" s="2"/>
      <c r="C1909" s="2"/>
      <c r="D1909" s="3"/>
      <c r="E1909" s="3"/>
      <c r="F1909" s="2"/>
      <c r="G1909" s="13">
        <f>IF($B1909="IN",$D1909,0)</f>
      </c>
      <c r="H1909" s="13">
        <f>IF($B1909="OUT",$D1909,0)</f>
      </c>
    </row>
    <row x14ac:dyDescent="0.25" r="1910" customHeight="1" ht="17.25">
      <c r="A1910" s="52"/>
      <c r="B1910" s="2"/>
      <c r="C1910" s="2"/>
      <c r="D1910" s="3"/>
      <c r="E1910" s="3"/>
      <c r="F1910" s="2"/>
      <c r="G1910" s="13">
        <f>IF($B1910="IN",$D1910,0)</f>
      </c>
      <c r="H1910" s="13">
        <f>IF($B1910="OUT",$D1910,0)</f>
      </c>
    </row>
    <row x14ac:dyDescent="0.25" r="1911" customHeight="1" ht="17.25">
      <c r="A1911" s="52"/>
      <c r="B1911" s="2"/>
      <c r="C1911" s="2"/>
      <c r="D1911" s="3"/>
      <c r="E1911" s="3"/>
      <c r="F1911" s="2"/>
      <c r="G1911" s="13">
        <f>IF($B1911="IN",$D1911,0)</f>
      </c>
      <c r="H1911" s="13">
        <f>IF($B1911="OUT",$D1911,0)</f>
      </c>
    </row>
    <row x14ac:dyDescent="0.25" r="1912" customHeight="1" ht="17.25">
      <c r="A1912" s="52"/>
      <c r="B1912" s="2"/>
      <c r="C1912" s="2"/>
      <c r="D1912" s="3"/>
      <c r="E1912" s="3"/>
      <c r="F1912" s="2"/>
      <c r="G1912" s="13">
        <f>IF($B1912="IN",$D1912,0)</f>
      </c>
      <c r="H1912" s="13">
        <f>IF($B1912="OUT",$D1912,0)</f>
      </c>
    </row>
    <row x14ac:dyDescent="0.25" r="1913" customHeight="1" ht="17.25">
      <c r="A1913" s="52"/>
      <c r="B1913" s="2"/>
      <c r="C1913" s="2"/>
      <c r="D1913" s="3"/>
      <c r="E1913" s="3"/>
      <c r="F1913" s="2"/>
      <c r="G1913" s="13">
        <f>IF($B1913="IN",$D1913,0)</f>
      </c>
      <c r="H1913" s="13">
        <f>IF($B1913="OUT",$D1913,0)</f>
      </c>
    </row>
    <row x14ac:dyDescent="0.25" r="1914" customHeight="1" ht="17.25">
      <c r="A1914" s="52"/>
      <c r="B1914" s="2"/>
      <c r="C1914" s="2"/>
      <c r="D1914" s="3"/>
      <c r="E1914" s="3"/>
      <c r="F1914" s="2"/>
      <c r="G1914" s="13">
        <f>IF($B1914="IN",$D1914,0)</f>
      </c>
      <c r="H1914" s="13">
        <f>IF($B1914="OUT",$D1914,0)</f>
      </c>
    </row>
    <row x14ac:dyDescent="0.25" r="1915" customHeight="1" ht="17.25">
      <c r="A1915" s="52"/>
      <c r="B1915" s="2"/>
      <c r="C1915" s="2"/>
      <c r="D1915" s="3"/>
      <c r="E1915" s="3"/>
      <c r="F1915" s="2"/>
      <c r="G1915" s="13">
        <f>IF($B1915="IN",$D1915,0)</f>
      </c>
      <c r="H1915" s="13">
        <f>IF($B1915="OUT",$D1915,0)</f>
      </c>
    </row>
    <row x14ac:dyDescent="0.25" r="1916" customHeight="1" ht="17.25">
      <c r="A1916" s="52"/>
      <c r="B1916" s="2"/>
      <c r="C1916" s="2"/>
      <c r="D1916" s="3"/>
      <c r="E1916" s="3"/>
      <c r="F1916" s="2"/>
      <c r="G1916" s="13">
        <f>IF($B1916="IN",$D1916,0)</f>
      </c>
      <c r="H1916" s="13">
        <f>IF($B1916="OUT",$D1916,0)</f>
      </c>
    </row>
    <row x14ac:dyDescent="0.25" r="1917" customHeight="1" ht="17.25">
      <c r="A1917" s="52"/>
      <c r="B1917" s="2"/>
      <c r="C1917" s="2"/>
      <c r="D1917" s="3"/>
      <c r="E1917" s="3"/>
      <c r="F1917" s="2"/>
      <c r="G1917" s="13">
        <f>IF($B1917="IN",$D1917,0)</f>
      </c>
      <c r="H1917" s="13">
        <f>IF($B1917="OUT",$D1917,0)</f>
      </c>
    </row>
    <row x14ac:dyDescent="0.25" r="1918" customHeight="1" ht="17.25">
      <c r="A1918" s="52"/>
      <c r="B1918" s="2"/>
      <c r="C1918" s="2"/>
      <c r="D1918" s="3"/>
      <c r="E1918" s="3"/>
      <c r="F1918" s="2"/>
      <c r="G1918" s="13">
        <f>IF($B1918="IN",$D1918,0)</f>
      </c>
      <c r="H1918" s="13">
        <f>IF($B1918="OUT",$D1918,0)</f>
      </c>
    </row>
    <row x14ac:dyDescent="0.25" r="1919" customHeight="1" ht="17.25">
      <c r="A1919" s="52"/>
      <c r="B1919" s="2"/>
      <c r="C1919" s="2"/>
      <c r="D1919" s="3"/>
      <c r="E1919" s="3"/>
      <c r="F1919" s="2"/>
      <c r="G1919" s="13">
        <f>IF($B1919="IN",$D1919,0)</f>
      </c>
      <c r="H1919" s="13">
        <f>IF($B1919="OUT",$D1919,0)</f>
      </c>
    </row>
    <row x14ac:dyDescent="0.25" r="1920" customHeight="1" ht="17.25">
      <c r="A1920" s="52"/>
      <c r="B1920" s="2"/>
      <c r="C1920" s="2"/>
      <c r="D1920" s="3"/>
      <c r="E1920" s="3"/>
      <c r="F1920" s="2"/>
      <c r="G1920" s="13">
        <f>IF($B1920="IN",$D1920,0)</f>
      </c>
      <c r="H1920" s="13">
        <f>IF($B1920="OUT",$D1920,0)</f>
      </c>
    </row>
    <row x14ac:dyDescent="0.25" r="1921" customHeight="1" ht="17.25">
      <c r="A1921" s="52"/>
      <c r="B1921" s="2"/>
      <c r="C1921" s="2"/>
      <c r="D1921" s="3"/>
      <c r="E1921" s="3"/>
      <c r="F1921" s="2"/>
      <c r="G1921" s="13">
        <f>IF($B1921="IN",$D1921,0)</f>
      </c>
      <c r="H1921" s="13">
        <f>IF($B1921="OUT",$D1921,0)</f>
      </c>
    </row>
    <row x14ac:dyDescent="0.25" r="1922" customHeight="1" ht="17.25">
      <c r="A1922" s="52"/>
      <c r="B1922" s="2"/>
      <c r="C1922" s="2"/>
      <c r="D1922" s="3"/>
      <c r="E1922" s="3"/>
      <c r="F1922" s="2"/>
      <c r="G1922" s="13">
        <f>IF($B1922="IN",$D1922,0)</f>
      </c>
      <c r="H1922" s="13">
        <f>IF($B1922="OUT",$D1922,0)</f>
      </c>
    </row>
    <row x14ac:dyDescent="0.25" r="1923" customHeight="1" ht="17.25">
      <c r="A1923" s="52"/>
      <c r="B1923" s="2"/>
      <c r="C1923" s="2"/>
      <c r="D1923" s="3"/>
      <c r="E1923" s="3"/>
      <c r="F1923" s="2"/>
      <c r="G1923" s="13">
        <f>IF($B1923="IN",$D1923,0)</f>
      </c>
      <c r="H1923" s="13">
        <f>IF($B1923="OUT",$D1923,0)</f>
      </c>
    </row>
    <row x14ac:dyDescent="0.25" r="1924" customHeight="1" ht="17.25">
      <c r="A1924" s="52"/>
      <c r="B1924" s="2"/>
      <c r="C1924" s="2"/>
      <c r="D1924" s="3"/>
      <c r="E1924" s="3"/>
      <c r="F1924" s="2"/>
      <c r="G1924" s="13">
        <f>IF($B1924="IN",$D1924,0)</f>
      </c>
      <c r="H1924" s="13">
        <f>IF($B1924="OUT",$D1924,0)</f>
      </c>
    </row>
    <row x14ac:dyDescent="0.25" r="1925" customHeight="1" ht="17.25">
      <c r="A1925" s="52"/>
      <c r="B1925" s="2"/>
      <c r="C1925" s="2"/>
      <c r="D1925" s="3"/>
      <c r="E1925" s="3"/>
      <c r="F1925" s="2"/>
      <c r="G1925" s="13">
        <f>IF($B1925="IN",$D1925,0)</f>
      </c>
      <c r="H1925" s="13">
        <f>IF($B1925="OUT",$D1925,0)</f>
      </c>
    </row>
    <row x14ac:dyDescent="0.25" r="1926" customHeight="1" ht="17.25">
      <c r="A1926" s="52"/>
      <c r="B1926" s="2"/>
      <c r="C1926" s="2"/>
      <c r="D1926" s="3"/>
      <c r="E1926" s="3"/>
      <c r="F1926" s="2"/>
      <c r="G1926" s="13">
        <f>IF($B1926="IN",$D1926,0)</f>
      </c>
      <c r="H1926" s="13">
        <f>IF($B1926="OUT",$D1926,0)</f>
      </c>
    </row>
    <row x14ac:dyDescent="0.25" r="1927" customHeight="1" ht="17.25">
      <c r="A1927" s="52"/>
      <c r="B1927" s="2"/>
      <c r="C1927" s="2"/>
      <c r="D1927" s="3"/>
      <c r="E1927" s="3"/>
      <c r="F1927" s="2"/>
      <c r="G1927" s="13">
        <f>IF($B1927="IN",$D1927,0)</f>
      </c>
      <c r="H1927" s="13">
        <f>IF($B1927="OUT",$D1927,0)</f>
      </c>
    </row>
    <row x14ac:dyDescent="0.25" r="1928" customHeight="1" ht="17.25">
      <c r="A1928" s="52"/>
      <c r="B1928" s="2"/>
      <c r="C1928" s="2"/>
      <c r="D1928" s="3"/>
      <c r="E1928" s="3"/>
      <c r="F1928" s="2"/>
      <c r="G1928" s="13">
        <f>IF($B1928="IN",$D1928,0)</f>
      </c>
      <c r="H1928" s="13">
        <f>IF($B1928="OUT",$D1928,0)</f>
      </c>
    </row>
    <row x14ac:dyDescent="0.25" r="1929" customHeight="1" ht="17.25">
      <c r="A1929" s="52"/>
      <c r="B1929" s="2"/>
      <c r="C1929" s="2"/>
      <c r="D1929" s="3"/>
      <c r="E1929" s="3"/>
      <c r="F1929" s="2"/>
      <c r="G1929" s="13">
        <f>IF($B1929="IN",$D1929,0)</f>
      </c>
      <c r="H1929" s="13">
        <f>IF($B1929="OUT",$D1929,0)</f>
      </c>
    </row>
    <row x14ac:dyDescent="0.25" r="1930" customHeight="1" ht="17.25">
      <c r="A1930" s="52"/>
      <c r="B1930" s="2"/>
      <c r="C1930" s="2"/>
      <c r="D1930" s="3"/>
      <c r="E1930" s="3"/>
      <c r="F1930" s="2"/>
      <c r="G1930" s="13">
        <f>IF($B1930="IN",$D1930,0)</f>
      </c>
      <c r="H1930" s="13">
        <f>IF($B1930="OUT",$D1930,0)</f>
      </c>
    </row>
    <row x14ac:dyDescent="0.25" r="1931" customHeight="1" ht="17.25">
      <c r="A1931" s="52"/>
      <c r="B1931" s="2"/>
      <c r="C1931" s="2"/>
      <c r="D1931" s="3"/>
      <c r="E1931" s="3"/>
      <c r="F1931" s="2"/>
      <c r="G1931" s="13">
        <f>IF($B1931="IN",$D1931,0)</f>
      </c>
      <c r="H1931" s="13">
        <f>IF($B1931="OUT",$D1931,0)</f>
      </c>
    </row>
    <row x14ac:dyDescent="0.25" r="1932" customHeight="1" ht="17.25">
      <c r="A1932" s="52"/>
      <c r="B1932" s="2"/>
      <c r="C1932" s="2"/>
      <c r="D1932" s="3"/>
      <c r="E1932" s="3"/>
      <c r="F1932" s="2"/>
      <c r="G1932" s="13">
        <f>IF($B1932="IN",$D1932,0)</f>
      </c>
      <c r="H1932" s="13">
        <f>IF($B1932="OUT",$D1932,0)</f>
      </c>
    </row>
    <row x14ac:dyDescent="0.25" r="1933" customHeight="1" ht="17.25">
      <c r="A1933" s="52"/>
      <c r="B1933" s="2"/>
      <c r="C1933" s="2"/>
      <c r="D1933" s="3"/>
      <c r="E1933" s="3"/>
      <c r="F1933" s="2"/>
      <c r="G1933" s="13">
        <f>IF($B1933="IN",$D1933,0)</f>
      </c>
      <c r="H1933" s="13">
        <f>IF($B1933="OUT",$D1933,0)</f>
      </c>
    </row>
    <row x14ac:dyDescent="0.25" r="1934" customHeight="1" ht="17.25">
      <c r="A1934" s="52"/>
      <c r="B1934" s="2"/>
      <c r="C1934" s="2"/>
      <c r="D1934" s="3"/>
      <c r="E1934" s="3"/>
      <c r="F1934" s="2"/>
      <c r="G1934" s="13">
        <f>IF($B1934="IN",$D1934,0)</f>
      </c>
      <c r="H1934" s="13">
        <f>IF($B1934="OUT",$D1934,0)</f>
      </c>
    </row>
    <row x14ac:dyDescent="0.25" r="1935" customHeight="1" ht="17.25">
      <c r="A1935" s="52"/>
      <c r="B1935" s="2"/>
      <c r="C1935" s="2"/>
      <c r="D1935" s="3"/>
      <c r="E1935" s="3"/>
      <c r="F1935" s="2"/>
      <c r="G1935" s="13">
        <f>IF($B1935="IN",$D1935,0)</f>
      </c>
      <c r="H1935" s="13">
        <f>IF($B1935="OUT",$D1935,0)</f>
      </c>
    </row>
    <row x14ac:dyDescent="0.25" r="1936" customHeight="1" ht="17.25">
      <c r="A1936" s="52"/>
      <c r="B1936" s="2"/>
      <c r="C1936" s="2"/>
      <c r="D1936" s="3"/>
      <c r="E1936" s="3"/>
      <c r="F1936" s="2"/>
      <c r="G1936" s="13">
        <f>IF($B1936="IN",$D1936,0)</f>
      </c>
      <c r="H1936" s="13">
        <f>IF($B1936="OUT",$D1936,0)</f>
      </c>
    </row>
    <row x14ac:dyDescent="0.25" r="1937" customHeight="1" ht="17.25">
      <c r="A1937" s="52"/>
      <c r="B1937" s="2"/>
      <c r="C1937" s="2"/>
      <c r="D1937" s="3"/>
      <c r="E1937" s="3"/>
      <c r="F1937" s="2"/>
      <c r="G1937" s="13">
        <f>IF($B1937="IN",$D1937,0)</f>
      </c>
      <c r="H1937" s="13">
        <f>IF($B1937="OUT",$D1937,0)</f>
      </c>
    </row>
    <row x14ac:dyDescent="0.25" r="1938" customHeight="1" ht="17.25">
      <c r="A1938" s="52"/>
      <c r="B1938" s="2"/>
      <c r="C1938" s="2"/>
      <c r="D1938" s="3"/>
      <c r="E1938" s="3"/>
      <c r="F1938" s="2"/>
      <c r="G1938" s="13">
        <f>IF($B1938="IN",$D1938,0)</f>
      </c>
      <c r="H1938" s="13">
        <f>IF($B1938="OUT",$D1938,0)</f>
      </c>
    </row>
    <row x14ac:dyDescent="0.25" r="1939" customHeight="1" ht="17.25">
      <c r="A1939" s="52"/>
      <c r="B1939" s="2"/>
      <c r="C1939" s="2"/>
      <c r="D1939" s="3"/>
      <c r="E1939" s="3"/>
      <c r="F1939" s="2"/>
      <c r="G1939" s="13">
        <f>IF($B1939="IN",$D1939,0)</f>
      </c>
      <c r="H1939" s="13">
        <f>IF($B1939="OUT",$D1939,0)</f>
      </c>
    </row>
    <row x14ac:dyDescent="0.25" r="1940" customHeight="1" ht="17.25">
      <c r="A1940" s="52"/>
      <c r="B1940" s="2"/>
      <c r="C1940" s="2"/>
      <c r="D1940" s="3"/>
      <c r="E1940" s="3"/>
      <c r="F1940" s="2"/>
      <c r="G1940" s="13">
        <f>IF($B1940="IN",$D1940,0)</f>
      </c>
      <c r="H1940" s="13">
        <f>IF($B1940="OUT",$D1940,0)</f>
      </c>
    </row>
    <row x14ac:dyDescent="0.25" r="1941" customHeight="1" ht="17.25">
      <c r="A1941" s="52"/>
      <c r="B1941" s="2"/>
      <c r="C1941" s="2"/>
      <c r="D1941" s="3"/>
      <c r="E1941" s="3"/>
      <c r="F1941" s="2"/>
      <c r="G1941" s="13">
        <f>IF($B1941="IN",$D1941,0)</f>
      </c>
      <c r="H1941" s="13">
        <f>IF($B1941="OUT",$D1941,0)</f>
      </c>
    </row>
    <row x14ac:dyDescent="0.25" r="1942" customHeight="1" ht="17.25">
      <c r="A1942" s="52"/>
      <c r="B1942" s="2"/>
      <c r="C1942" s="2"/>
      <c r="D1942" s="3"/>
      <c r="E1942" s="3"/>
      <c r="F1942" s="2"/>
      <c r="G1942" s="13">
        <f>IF($B1942="IN",$D1942,0)</f>
      </c>
      <c r="H1942" s="13">
        <f>IF($B1942="OUT",$D1942,0)</f>
      </c>
    </row>
    <row x14ac:dyDescent="0.25" r="1943" customHeight="1" ht="17.25">
      <c r="A1943" s="52"/>
      <c r="B1943" s="2"/>
      <c r="C1943" s="2"/>
      <c r="D1943" s="3"/>
      <c r="E1943" s="3"/>
      <c r="F1943" s="2"/>
      <c r="G1943" s="13">
        <f>IF($B1943="IN",$D1943,0)</f>
      </c>
      <c r="H1943" s="13">
        <f>IF($B1943="OUT",$D1943,0)</f>
      </c>
    </row>
    <row x14ac:dyDescent="0.25" r="1944" customHeight="1" ht="17.25">
      <c r="A1944" s="52"/>
      <c r="B1944" s="2"/>
      <c r="C1944" s="2"/>
      <c r="D1944" s="3"/>
      <c r="E1944" s="3"/>
      <c r="F1944" s="2"/>
      <c r="G1944" s="13">
        <f>IF($B1944="IN",$D1944,0)</f>
      </c>
      <c r="H1944" s="13">
        <f>IF($B1944="OUT",$D1944,0)</f>
      </c>
    </row>
    <row x14ac:dyDescent="0.25" r="1945" customHeight="1" ht="17.25">
      <c r="A1945" s="52"/>
      <c r="B1945" s="2"/>
      <c r="C1945" s="2"/>
      <c r="D1945" s="3"/>
      <c r="E1945" s="3"/>
      <c r="F1945" s="2"/>
      <c r="G1945" s="13">
        <f>IF($B1945="IN",$D1945,0)</f>
      </c>
      <c r="H1945" s="13">
        <f>IF($B1945="OUT",$D1945,0)</f>
      </c>
    </row>
    <row x14ac:dyDescent="0.25" r="1946" customHeight="1" ht="17.25">
      <c r="A1946" s="52"/>
      <c r="B1946" s="2"/>
      <c r="C1946" s="2"/>
      <c r="D1946" s="3"/>
      <c r="E1946" s="3"/>
      <c r="F1946" s="2"/>
      <c r="G1946" s="13">
        <f>IF($B1946="IN",$D1946,0)</f>
      </c>
      <c r="H1946" s="13">
        <f>IF($B1946="OUT",$D1946,0)</f>
      </c>
    </row>
    <row x14ac:dyDescent="0.25" r="1947" customHeight="1" ht="17.25">
      <c r="A1947" s="52"/>
      <c r="B1947" s="2"/>
      <c r="C1947" s="2"/>
      <c r="D1947" s="3"/>
      <c r="E1947" s="3"/>
      <c r="F1947" s="2"/>
      <c r="G1947" s="13">
        <f>IF($B1947="IN",$D1947,0)</f>
      </c>
      <c r="H1947" s="13">
        <f>IF($B1947="OUT",$D1947,0)</f>
      </c>
    </row>
    <row x14ac:dyDescent="0.25" r="1948" customHeight="1" ht="17.25">
      <c r="A1948" s="52"/>
      <c r="B1948" s="2"/>
      <c r="C1948" s="2"/>
      <c r="D1948" s="3"/>
      <c r="E1948" s="3"/>
      <c r="F1948" s="2"/>
      <c r="G1948" s="13">
        <f>IF($B1948="IN",$D1948,0)</f>
      </c>
      <c r="H1948" s="13">
        <f>IF($B1948="OUT",$D1948,0)</f>
      </c>
    </row>
    <row x14ac:dyDescent="0.25" r="1949" customHeight="1" ht="17.25">
      <c r="A1949" s="52"/>
      <c r="B1949" s="2"/>
      <c r="C1949" s="2"/>
      <c r="D1949" s="3"/>
      <c r="E1949" s="3"/>
      <c r="F1949" s="2"/>
      <c r="G1949" s="13">
        <f>IF($B1949="IN",$D1949,0)</f>
      </c>
      <c r="H1949" s="13">
        <f>IF($B1949="OUT",$D1949,0)</f>
      </c>
    </row>
    <row x14ac:dyDescent="0.25" r="1950" customHeight="1" ht="17.25">
      <c r="A1950" s="52"/>
      <c r="B1950" s="2"/>
      <c r="C1950" s="2"/>
      <c r="D1950" s="3"/>
      <c r="E1950" s="3"/>
      <c r="F1950" s="2"/>
      <c r="G1950" s="13">
        <f>IF($B1950="IN",$D1950,0)</f>
      </c>
      <c r="H1950" s="13">
        <f>IF($B1950="OUT",$D1950,0)</f>
      </c>
    </row>
    <row x14ac:dyDescent="0.25" r="1951" customHeight="1" ht="17.25">
      <c r="A1951" s="52"/>
      <c r="B1951" s="2"/>
      <c r="C1951" s="2"/>
      <c r="D1951" s="3"/>
      <c r="E1951" s="3"/>
      <c r="F1951" s="2"/>
      <c r="G1951" s="13">
        <f>IF($B1951="IN",$D1951,0)</f>
      </c>
      <c r="H1951" s="13">
        <f>IF($B1951="OUT",$D1951,0)</f>
      </c>
    </row>
    <row x14ac:dyDescent="0.25" r="1952" customHeight="1" ht="17.25">
      <c r="A1952" s="52"/>
      <c r="B1952" s="2"/>
      <c r="C1952" s="2"/>
      <c r="D1952" s="3"/>
      <c r="E1952" s="3"/>
      <c r="F1952" s="2"/>
      <c r="G1952" s="13">
        <f>IF($B1952="IN",$D1952,0)</f>
      </c>
      <c r="H1952" s="13">
        <f>IF($B1952="OUT",$D1952,0)</f>
      </c>
    </row>
    <row x14ac:dyDescent="0.25" r="1953" customHeight="1" ht="17.25">
      <c r="A1953" s="52"/>
      <c r="B1953" s="2"/>
      <c r="C1953" s="2"/>
      <c r="D1953" s="3"/>
      <c r="E1953" s="3"/>
      <c r="F1953" s="2"/>
      <c r="G1953" s="13">
        <f>IF($B1953="IN",$D1953,0)</f>
      </c>
      <c r="H1953" s="13">
        <f>IF($B1953="OUT",$D1953,0)</f>
      </c>
    </row>
    <row x14ac:dyDescent="0.25" r="1954" customHeight="1" ht="17.25">
      <c r="A1954" s="52"/>
      <c r="B1954" s="2"/>
      <c r="C1954" s="2"/>
      <c r="D1954" s="3"/>
      <c r="E1954" s="3"/>
      <c r="F1954" s="2"/>
      <c r="G1954" s="13">
        <f>IF($B1954="IN",$D1954,0)</f>
      </c>
      <c r="H1954" s="13">
        <f>IF($B1954="OUT",$D1954,0)</f>
      </c>
    </row>
    <row x14ac:dyDescent="0.25" r="1955" customHeight="1" ht="17.25">
      <c r="A1955" s="52"/>
      <c r="B1955" s="2"/>
      <c r="C1955" s="2"/>
      <c r="D1955" s="3"/>
      <c r="E1955" s="3"/>
      <c r="F1955" s="2"/>
      <c r="G1955" s="13">
        <f>IF($B1955="IN",$D1955,0)</f>
      </c>
      <c r="H1955" s="13">
        <f>IF($B1955="OUT",$D1955,0)</f>
      </c>
    </row>
    <row x14ac:dyDescent="0.25" r="1956" customHeight="1" ht="17.25">
      <c r="A1956" s="52"/>
      <c r="B1956" s="2"/>
      <c r="C1956" s="2"/>
      <c r="D1956" s="3"/>
      <c r="E1956" s="3"/>
      <c r="F1956" s="2"/>
      <c r="G1956" s="13">
        <f>IF($B1956="IN",$D1956,0)</f>
      </c>
      <c r="H1956" s="13">
        <f>IF($B1956="OUT",$D1956,0)</f>
      </c>
    </row>
    <row x14ac:dyDescent="0.25" r="1957" customHeight="1" ht="17.25">
      <c r="A1957" s="52"/>
      <c r="B1957" s="2"/>
      <c r="C1957" s="2"/>
      <c r="D1957" s="3"/>
      <c r="E1957" s="3"/>
      <c r="F1957" s="2"/>
      <c r="G1957" s="13">
        <f>IF($B1957="IN",$D1957,0)</f>
      </c>
      <c r="H1957" s="13">
        <f>IF($B1957="OUT",$D1957,0)</f>
      </c>
    </row>
    <row x14ac:dyDescent="0.25" r="1958" customHeight="1" ht="17.25">
      <c r="A1958" s="52"/>
      <c r="B1958" s="2"/>
      <c r="C1958" s="2"/>
      <c r="D1958" s="3"/>
      <c r="E1958" s="3"/>
      <c r="F1958" s="2"/>
      <c r="G1958" s="13">
        <f>IF($B1958="IN",$D1958,0)</f>
      </c>
      <c r="H1958" s="13">
        <f>IF($B1958="OUT",$D1958,0)</f>
      </c>
    </row>
    <row x14ac:dyDescent="0.25" r="1959" customHeight="1" ht="17.25">
      <c r="A1959" s="52"/>
      <c r="B1959" s="2"/>
      <c r="C1959" s="2"/>
      <c r="D1959" s="3"/>
      <c r="E1959" s="3"/>
      <c r="F1959" s="2"/>
      <c r="G1959" s="13">
        <f>IF($B1959="IN",$D1959,0)</f>
      </c>
      <c r="H1959" s="13">
        <f>IF($B1959="OUT",$D1959,0)</f>
      </c>
    </row>
    <row x14ac:dyDescent="0.25" r="1960" customHeight="1" ht="17.25">
      <c r="A1960" s="52"/>
      <c r="B1960" s="2"/>
      <c r="C1960" s="2"/>
      <c r="D1960" s="3"/>
      <c r="E1960" s="3"/>
      <c r="F1960" s="2"/>
      <c r="G1960" s="13">
        <f>IF($B1960="IN",$D1960,0)</f>
      </c>
      <c r="H1960" s="13">
        <f>IF($B1960="OUT",$D1960,0)</f>
      </c>
    </row>
    <row x14ac:dyDescent="0.25" r="1961" customHeight="1" ht="17.25">
      <c r="A1961" s="52"/>
      <c r="B1961" s="2"/>
      <c r="C1961" s="2"/>
      <c r="D1961" s="3"/>
      <c r="E1961" s="3"/>
      <c r="F1961" s="2"/>
      <c r="G1961" s="13">
        <f>IF($B1961="IN",$D1961,0)</f>
      </c>
      <c r="H1961" s="13">
        <f>IF($B1961="OUT",$D1961,0)</f>
      </c>
    </row>
    <row x14ac:dyDescent="0.25" r="1962" customHeight="1" ht="17.25">
      <c r="A1962" s="52"/>
      <c r="B1962" s="2"/>
      <c r="C1962" s="2"/>
      <c r="D1962" s="3"/>
      <c r="E1962" s="3"/>
      <c r="F1962" s="2"/>
      <c r="G1962" s="13">
        <f>IF($B1962="IN",$D1962,0)</f>
      </c>
      <c r="H1962" s="13">
        <f>IF($B1962="OUT",$D1962,0)</f>
      </c>
    </row>
    <row x14ac:dyDescent="0.25" r="1963" customHeight="1" ht="17.25">
      <c r="A1963" s="52"/>
      <c r="B1963" s="2"/>
      <c r="C1963" s="2"/>
      <c r="D1963" s="3"/>
      <c r="E1963" s="3"/>
      <c r="F1963" s="2"/>
      <c r="G1963" s="13">
        <f>IF($B1963="IN",$D1963,0)</f>
      </c>
      <c r="H1963" s="13">
        <f>IF($B1963="OUT",$D1963,0)</f>
      </c>
    </row>
    <row x14ac:dyDescent="0.25" r="1964" customHeight="1" ht="17.25">
      <c r="A1964" s="52"/>
      <c r="B1964" s="2"/>
      <c r="C1964" s="2"/>
      <c r="D1964" s="3"/>
      <c r="E1964" s="3"/>
      <c r="F1964" s="2"/>
      <c r="G1964" s="13">
        <f>IF($B1964="IN",$D1964,0)</f>
      </c>
      <c r="H1964" s="13">
        <f>IF($B1964="OUT",$D1964,0)</f>
      </c>
    </row>
    <row x14ac:dyDescent="0.25" r="1965" customHeight="1" ht="17.25">
      <c r="A1965" s="52"/>
      <c r="B1965" s="2"/>
      <c r="C1965" s="2"/>
      <c r="D1965" s="3"/>
      <c r="E1965" s="3"/>
      <c r="F1965" s="2"/>
      <c r="G1965" s="13">
        <f>IF($B1965="IN",$D1965,0)</f>
      </c>
      <c r="H1965" s="13">
        <f>IF($B1965="OUT",$D1965,0)</f>
      </c>
    </row>
    <row x14ac:dyDescent="0.25" r="1966" customHeight="1" ht="17.25">
      <c r="A1966" s="52"/>
      <c r="B1966" s="2"/>
      <c r="C1966" s="2"/>
      <c r="D1966" s="3"/>
      <c r="E1966" s="3"/>
      <c r="F1966" s="2"/>
      <c r="G1966" s="13">
        <f>IF($B1966="IN",$D1966,0)</f>
      </c>
      <c r="H1966" s="13">
        <f>IF($B1966="OUT",$D1966,0)</f>
      </c>
    </row>
    <row x14ac:dyDescent="0.25" r="1967" customHeight="1" ht="17.25">
      <c r="A1967" s="52"/>
      <c r="B1967" s="2"/>
      <c r="C1967" s="2"/>
      <c r="D1967" s="3"/>
      <c r="E1967" s="3"/>
      <c r="F1967" s="2"/>
      <c r="G1967" s="13">
        <f>IF($B1967="IN",$D1967,0)</f>
      </c>
      <c r="H1967" s="13">
        <f>IF($B1967="OUT",$D1967,0)</f>
      </c>
    </row>
    <row x14ac:dyDescent="0.25" r="1968" customHeight="1" ht="17.25">
      <c r="A1968" s="52"/>
      <c r="B1968" s="2"/>
      <c r="C1968" s="2"/>
      <c r="D1968" s="3"/>
      <c r="E1968" s="3"/>
      <c r="F1968" s="2"/>
      <c r="G1968" s="13">
        <f>IF($B1968="IN",$D1968,0)</f>
      </c>
      <c r="H1968" s="13">
        <f>IF($B1968="OUT",$D1968,0)</f>
      </c>
    </row>
    <row x14ac:dyDescent="0.25" r="1969" customHeight="1" ht="17.25">
      <c r="A1969" s="52"/>
      <c r="B1969" s="2"/>
      <c r="C1969" s="2"/>
      <c r="D1969" s="3"/>
      <c r="E1969" s="3"/>
      <c r="F1969" s="2"/>
      <c r="G1969" s="13">
        <f>IF($B1969="IN",$D1969,0)</f>
      </c>
      <c r="H1969" s="13">
        <f>IF($B1969="OUT",$D1969,0)</f>
      </c>
    </row>
    <row x14ac:dyDescent="0.25" r="1970" customHeight="1" ht="17.25">
      <c r="A1970" s="52"/>
      <c r="B1970" s="2"/>
      <c r="C1970" s="2"/>
      <c r="D1970" s="3"/>
      <c r="E1970" s="3"/>
      <c r="F1970" s="2"/>
      <c r="G1970" s="13">
        <f>IF($B1970="IN",$D1970,0)</f>
      </c>
      <c r="H1970" s="13">
        <f>IF($B1970="OUT",$D1970,0)</f>
      </c>
    </row>
    <row x14ac:dyDescent="0.25" r="1971" customHeight="1" ht="17.25">
      <c r="A1971" s="52"/>
      <c r="B1971" s="2"/>
      <c r="C1971" s="2"/>
      <c r="D1971" s="3"/>
      <c r="E1971" s="3"/>
      <c r="F1971" s="2"/>
      <c r="G1971" s="13">
        <f>IF($B1971="IN",$D1971,0)</f>
      </c>
      <c r="H1971" s="13">
        <f>IF($B1971="OUT",$D1971,0)</f>
      </c>
    </row>
    <row x14ac:dyDescent="0.25" r="1972" customHeight="1" ht="17.25">
      <c r="A1972" s="52"/>
      <c r="B1972" s="2"/>
      <c r="C1972" s="2"/>
      <c r="D1972" s="3"/>
      <c r="E1972" s="3"/>
      <c r="F1972" s="2"/>
      <c r="G1972" s="13">
        <f>IF($B1972="IN",$D1972,0)</f>
      </c>
      <c r="H1972" s="13">
        <f>IF($B1972="OUT",$D1972,0)</f>
      </c>
    </row>
    <row x14ac:dyDescent="0.25" r="1973" customHeight="1" ht="17.25">
      <c r="A1973" s="52"/>
      <c r="B1973" s="2"/>
      <c r="C1973" s="2"/>
      <c r="D1973" s="3"/>
      <c r="E1973" s="3"/>
      <c r="F1973" s="2"/>
      <c r="G1973" s="13">
        <f>IF($B1973="IN",$D1973,0)</f>
      </c>
      <c r="H1973" s="13">
        <f>IF($B1973="OUT",$D1973,0)</f>
      </c>
    </row>
    <row x14ac:dyDescent="0.25" r="1974" customHeight="1" ht="17.25">
      <c r="A1974" s="52"/>
      <c r="B1974" s="2"/>
      <c r="C1974" s="2"/>
      <c r="D1974" s="3"/>
      <c r="E1974" s="3"/>
      <c r="F1974" s="2"/>
      <c r="G1974" s="13">
        <f>IF($B1974="IN",$D1974,0)</f>
      </c>
      <c r="H1974" s="13">
        <f>IF($B1974="OUT",$D1974,0)</f>
      </c>
    </row>
    <row x14ac:dyDescent="0.25" r="1975" customHeight="1" ht="17.25">
      <c r="A1975" s="52"/>
      <c r="B1975" s="2"/>
      <c r="C1975" s="2"/>
      <c r="D1975" s="3"/>
      <c r="E1975" s="3"/>
      <c r="F1975" s="2"/>
      <c r="G1975" s="13">
        <f>IF($B1975="IN",$D1975,0)</f>
      </c>
      <c r="H1975" s="13">
        <f>IF($B1975="OUT",$D1975,0)</f>
      </c>
    </row>
    <row x14ac:dyDescent="0.25" r="1976" customHeight="1" ht="17.25">
      <c r="A1976" s="52"/>
      <c r="B1976" s="2"/>
      <c r="C1976" s="2"/>
      <c r="D1976" s="3"/>
      <c r="E1976" s="3"/>
      <c r="F1976" s="2"/>
      <c r="G1976" s="13">
        <f>IF($B1976="IN",$D1976,0)</f>
      </c>
      <c r="H1976" s="13">
        <f>IF($B1976="OUT",$D1976,0)</f>
      </c>
    </row>
    <row x14ac:dyDescent="0.25" r="1977" customHeight="1" ht="17.25">
      <c r="A1977" s="52"/>
      <c r="B1977" s="2"/>
      <c r="C1977" s="2"/>
      <c r="D1977" s="3"/>
      <c r="E1977" s="3"/>
      <c r="F1977" s="2"/>
      <c r="G1977" s="13">
        <f>IF($B1977="IN",$D1977,0)</f>
      </c>
      <c r="H1977" s="13">
        <f>IF($B1977="OUT",$D1977,0)</f>
      </c>
    </row>
    <row x14ac:dyDescent="0.25" r="1978" customHeight="1" ht="17.25">
      <c r="A1978" s="52"/>
      <c r="B1978" s="2"/>
      <c r="C1978" s="2"/>
      <c r="D1978" s="3"/>
      <c r="E1978" s="3"/>
      <c r="F1978" s="2"/>
      <c r="G1978" s="13">
        <f>IF($B1978="IN",$D1978,0)</f>
      </c>
      <c r="H1978" s="13">
        <f>IF($B1978="OUT",$D1978,0)</f>
      </c>
    </row>
    <row x14ac:dyDescent="0.25" r="1979" customHeight="1" ht="17.25">
      <c r="A1979" s="52"/>
      <c r="B1979" s="2"/>
      <c r="C1979" s="2"/>
      <c r="D1979" s="3"/>
      <c r="E1979" s="3"/>
      <c r="F1979" s="2"/>
      <c r="G1979" s="13">
        <f>IF($B1979="IN",$D1979,0)</f>
      </c>
      <c r="H1979" s="13">
        <f>IF($B1979="OUT",$D1979,0)</f>
      </c>
    </row>
    <row x14ac:dyDescent="0.25" r="1980" customHeight="1" ht="17.25">
      <c r="A1980" s="52"/>
      <c r="B1980" s="2"/>
      <c r="C1980" s="2"/>
      <c r="D1980" s="3"/>
      <c r="E1980" s="3"/>
      <c r="F1980" s="2"/>
      <c r="G1980" s="13">
        <f>IF($B1980="IN",$D1980,0)</f>
      </c>
      <c r="H1980" s="13">
        <f>IF($B1980="OUT",$D1980,0)</f>
      </c>
    </row>
    <row x14ac:dyDescent="0.25" r="1981" customHeight="1" ht="17.25">
      <c r="A1981" s="52"/>
      <c r="B1981" s="2"/>
      <c r="C1981" s="2"/>
      <c r="D1981" s="3"/>
      <c r="E1981" s="3"/>
      <c r="F1981" s="2"/>
      <c r="G1981" s="13">
        <f>IF($B1981="IN",$D1981,0)</f>
      </c>
      <c r="H1981" s="13">
        <f>IF($B1981="OUT",$D1981,0)</f>
      </c>
    </row>
    <row x14ac:dyDescent="0.25" r="1982" customHeight="1" ht="17.25">
      <c r="A1982" s="52"/>
      <c r="B1982" s="2"/>
      <c r="C1982" s="2"/>
      <c r="D1982" s="3"/>
      <c r="E1982" s="3"/>
      <c r="F1982" s="2"/>
      <c r="G1982" s="13">
        <f>IF($B1982="IN",$D1982,0)</f>
      </c>
      <c r="H1982" s="13">
        <f>IF($B1982="OUT",$D1982,0)</f>
      </c>
    </row>
    <row x14ac:dyDescent="0.25" r="1983" customHeight="1" ht="17.25">
      <c r="A1983" s="52"/>
      <c r="B1983" s="2"/>
      <c r="C1983" s="2"/>
      <c r="D1983" s="3"/>
      <c r="E1983" s="3"/>
      <c r="F1983" s="2"/>
      <c r="G1983" s="13">
        <f>IF($B1983="IN",$D1983,0)</f>
      </c>
      <c r="H1983" s="13">
        <f>IF($B1983="OUT",$D1983,0)</f>
      </c>
    </row>
    <row x14ac:dyDescent="0.25" r="1984" customHeight="1" ht="17.25">
      <c r="A1984" s="52"/>
      <c r="B1984" s="2"/>
      <c r="C1984" s="2"/>
      <c r="D1984" s="3"/>
      <c r="E1984" s="3"/>
      <c r="F1984" s="2"/>
      <c r="G1984" s="13">
        <f>IF($B1984="IN",$D1984,0)</f>
      </c>
      <c r="H1984" s="13">
        <f>IF($B1984="OUT",$D1984,0)</f>
      </c>
    </row>
    <row x14ac:dyDescent="0.25" r="1985" customHeight="1" ht="17.25">
      <c r="A1985" s="52"/>
      <c r="B1985" s="2"/>
      <c r="C1985" s="2"/>
      <c r="D1985" s="3"/>
      <c r="E1985" s="3"/>
      <c r="F1985" s="2"/>
      <c r="G1985" s="13">
        <f>IF($B1985="IN",$D1985,0)</f>
      </c>
      <c r="H1985" s="13">
        <f>IF($B1985="OUT",$D1985,0)</f>
      </c>
    </row>
    <row x14ac:dyDescent="0.25" r="1986" customHeight="1" ht="17.25">
      <c r="A1986" s="52"/>
      <c r="B1986" s="2"/>
      <c r="C1986" s="2"/>
      <c r="D1986" s="3"/>
      <c r="E1986" s="3"/>
      <c r="F1986" s="2"/>
      <c r="G1986" s="13">
        <f>IF($B1986="IN",$D1986,0)</f>
      </c>
      <c r="H1986" s="13">
        <f>IF($B1986="OUT",$D1986,0)</f>
      </c>
    </row>
    <row x14ac:dyDescent="0.25" r="1987" customHeight="1" ht="17.25">
      <c r="A1987" s="52"/>
      <c r="B1987" s="2"/>
      <c r="C1987" s="2"/>
      <c r="D1987" s="3"/>
      <c r="E1987" s="3"/>
      <c r="F1987" s="2"/>
      <c r="G1987" s="13">
        <f>IF($B1987="IN",$D1987,0)</f>
      </c>
      <c r="H1987" s="13">
        <f>IF($B1987="OUT",$D1987,0)</f>
      </c>
    </row>
    <row x14ac:dyDescent="0.25" r="1988" customHeight="1" ht="17.25">
      <c r="A1988" s="52"/>
      <c r="B1988" s="2"/>
      <c r="C1988" s="2"/>
      <c r="D1988" s="3"/>
      <c r="E1988" s="3"/>
      <c r="F1988" s="2"/>
      <c r="G1988" s="13">
        <f>IF($B1988="IN",$D1988,0)</f>
      </c>
      <c r="H1988" s="13">
        <f>IF($B1988="OUT",$D1988,0)</f>
      </c>
    </row>
    <row x14ac:dyDescent="0.25" r="1989" customHeight="1" ht="17.25">
      <c r="A1989" s="52"/>
      <c r="B1989" s="2"/>
      <c r="C1989" s="2"/>
      <c r="D1989" s="3"/>
      <c r="E1989" s="3"/>
      <c r="F1989" s="2"/>
      <c r="G1989" s="13">
        <f>IF($B1989="IN",$D1989,0)</f>
      </c>
      <c r="H1989" s="13">
        <f>IF($B1989="OUT",$D1989,0)</f>
      </c>
    </row>
    <row x14ac:dyDescent="0.25" r="1990" customHeight="1" ht="17.25">
      <c r="A1990" s="52"/>
      <c r="B1990" s="2"/>
      <c r="C1990" s="2"/>
      <c r="D1990" s="3"/>
      <c r="E1990" s="3"/>
      <c r="F1990" s="2"/>
      <c r="G1990" s="13">
        <f>IF($B1990="IN",$D1990,0)</f>
      </c>
      <c r="H1990" s="13">
        <f>IF($B1990="OUT",$D1990,0)</f>
      </c>
    </row>
    <row x14ac:dyDescent="0.25" r="1991" customHeight="1" ht="17.25">
      <c r="A1991" s="52"/>
      <c r="B1991" s="2"/>
      <c r="C1991" s="2"/>
      <c r="D1991" s="3"/>
      <c r="E1991" s="3"/>
      <c r="F1991" s="2"/>
      <c r="G1991" s="13">
        <f>IF($B1991="IN",$D1991,0)</f>
      </c>
      <c r="H1991" s="13">
        <f>IF($B1991="OUT",$D1991,0)</f>
      </c>
    </row>
    <row x14ac:dyDescent="0.25" r="1992" customHeight="1" ht="17.25">
      <c r="A1992" s="52"/>
      <c r="B1992" s="2"/>
      <c r="C1992" s="2"/>
      <c r="D1992" s="3"/>
      <c r="E1992" s="3"/>
      <c r="F1992" s="2"/>
      <c r="G1992" s="13">
        <f>IF($B1992="IN",$D1992,0)</f>
      </c>
      <c r="H1992" s="13">
        <f>IF($B1992="OUT",$D1992,0)</f>
      </c>
    </row>
    <row x14ac:dyDescent="0.25" r="1993" customHeight="1" ht="17.25">
      <c r="A1993" s="52"/>
      <c r="B1993" s="2"/>
      <c r="C1993" s="2"/>
      <c r="D1993" s="3"/>
      <c r="E1993" s="3"/>
      <c r="F1993" s="2"/>
      <c r="G1993" s="13">
        <f>IF($B1993="IN",$D1993,0)</f>
      </c>
      <c r="H1993" s="13">
        <f>IF($B1993="OUT",$D1993,0)</f>
      </c>
    </row>
    <row x14ac:dyDescent="0.25" r="1994" customHeight="1" ht="17.25">
      <c r="A1994" s="52"/>
      <c r="B1994" s="2"/>
      <c r="C1994" s="2"/>
      <c r="D1994" s="3"/>
      <c r="E1994" s="3"/>
      <c r="F1994" s="2"/>
      <c r="G1994" s="13">
        <f>IF($B1994="IN",$D1994,0)</f>
      </c>
      <c r="H1994" s="13">
        <f>IF($B1994="OUT",$D1994,0)</f>
      </c>
    </row>
    <row x14ac:dyDescent="0.25" r="1995" customHeight="1" ht="17.25">
      <c r="A1995" s="52"/>
      <c r="B1995" s="2"/>
      <c r="C1995" s="2"/>
      <c r="D1995" s="3"/>
      <c r="E1995" s="3"/>
      <c r="F1995" s="2"/>
      <c r="G1995" s="13">
        <f>IF($B1995="IN",$D1995,0)</f>
      </c>
      <c r="H1995" s="13">
        <f>IF($B1995="OUT",$D1995,0)</f>
      </c>
    </row>
    <row x14ac:dyDescent="0.25" r="1996" customHeight="1" ht="17.25">
      <c r="A1996" s="52"/>
      <c r="B1996" s="2"/>
      <c r="C1996" s="2"/>
      <c r="D1996" s="3"/>
      <c r="E1996" s="3"/>
      <c r="F1996" s="2"/>
      <c r="G1996" s="13">
        <f>IF($B1996="IN",$D1996,0)</f>
      </c>
      <c r="H1996" s="13">
        <f>IF($B1996="OUT",$D1996,0)</f>
      </c>
    </row>
    <row x14ac:dyDescent="0.25" r="1997" customHeight="1" ht="17.25">
      <c r="A1997" s="52"/>
      <c r="B1997" s="2"/>
      <c r="C1997" s="2"/>
      <c r="D1997" s="3"/>
      <c r="E1997" s="3"/>
      <c r="F1997" s="2"/>
      <c r="G1997" s="13">
        <f>IF($B1997="IN",$D1997,0)</f>
      </c>
      <c r="H1997" s="13">
        <f>IF($B1997="OUT",$D1997,0)</f>
      </c>
    </row>
    <row x14ac:dyDescent="0.25" r="1998" customHeight="1" ht="17.25">
      <c r="A1998" s="52"/>
      <c r="B1998" s="2"/>
      <c r="C1998" s="2"/>
      <c r="D1998" s="3"/>
      <c r="E1998" s="3"/>
      <c r="F1998" s="2"/>
      <c r="G1998" s="13">
        <f>IF($B1998="IN",$D1998,0)</f>
      </c>
      <c r="H1998" s="13">
        <f>IF($B1998="OUT",$D1998,0)</f>
      </c>
    </row>
    <row x14ac:dyDescent="0.25" r="1999" customHeight="1" ht="17.25">
      <c r="A1999" s="52"/>
      <c r="B1999" s="2"/>
      <c r="C1999" s="2"/>
      <c r="D1999" s="3"/>
      <c r="E1999" s="3"/>
      <c r="F1999" s="2"/>
      <c r="G1999" s="13">
        <f>IF($B1999="IN",$D1999,0)</f>
      </c>
      <c r="H1999" s="13">
        <f>IF($B1999="OUT",$D1999,0)</f>
      </c>
    </row>
    <row x14ac:dyDescent="0.25" r="2000" customHeight="1" ht="17.25">
      <c r="A2000" s="52"/>
      <c r="B2000" s="2"/>
      <c r="C2000" s="2"/>
      <c r="D2000" s="3"/>
      <c r="E2000" s="3"/>
      <c r="F2000" s="2"/>
      <c r="G2000" s="13">
        <f>IF($B2000="IN",$D2000,0)</f>
      </c>
      <c r="H2000" s="13">
        <f>IF($B2000="OUT",$D2000,0)</f>
      </c>
    </row>
    <row x14ac:dyDescent="0.25" r="2001" customHeight="1" ht="17.25">
      <c r="A2001" s="52"/>
      <c r="B2001" s="2"/>
      <c r="C2001" s="2"/>
      <c r="D2001" s="3"/>
      <c r="E2001" s="3"/>
      <c r="F2001" s="2"/>
      <c r="G2001" s="13">
        <f>IF($B2001="IN",$D2001,0)</f>
      </c>
      <c r="H2001" s="13">
        <f>IF($B2001="OUT",$D2001,0)</f>
      </c>
    </row>
    <row x14ac:dyDescent="0.25" r="2002" customHeight="1" ht="17.25">
      <c r="A2002" s="52"/>
      <c r="B2002" s="2"/>
      <c r="C2002" s="2"/>
      <c r="D2002" s="3"/>
      <c r="E2002" s="3"/>
      <c r="F2002" s="2"/>
      <c r="G2002" s="13">
        <f>IF($B2002="IN",$D2002,0)</f>
      </c>
      <c r="H2002" s="13">
        <f>IF($B2002="OUT",$D2002,0)</f>
      </c>
    </row>
    <row x14ac:dyDescent="0.25" r="2003" customHeight="1" ht="17.25">
      <c r="A2003" s="52"/>
      <c r="B2003" s="2"/>
      <c r="C2003" s="2"/>
      <c r="D2003" s="3"/>
      <c r="E2003" s="3"/>
      <c r="F2003" s="2"/>
      <c r="G2003" s="13">
        <f>IF($B2003="IN",$D2003,0)</f>
      </c>
      <c r="H2003" s="13">
        <f>IF($B2003="OUT",$D2003,0)</f>
      </c>
    </row>
    <row x14ac:dyDescent="0.25" r="2004" customHeight="1" ht="17.25">
      <c r="A2004" s="52"/>
      <c r="B2004" s="2"/>
      <c r="C2004" s="2"/>
      <c r="D2004" s="3"/>
      <c r="E2004" s="3"/>
      <c r="F2004" s="2"/>
      <c r="G2004" s="13">
        <f>IF($B2004="IN",$D2004,0)</f>
      </c>
      <c r="H2004" s="13">
        <f>IF($B2004="OUT",$D2004,0)</f>
      </c>
    </row>
    <row x14ac:dyDescent="0.25" r="2005" customHeight="1" ht="17.25">
      <c r="A2005" s="52"/>
      <c r="B2005" s="2"/>
      <c r="C2005" s="2"/>
      <c r="D2005" s="3"/>
      <c r="E2005" s="3"/>
      <c r="F2005" s="2"/>
      <c r="G2005" s="13">
        <f>IF($B2005="IN",$D2005,0)</f>
      </c>
      <c r="H2005" s="13">
        <f>IF($B2005="OUT",$D2005,0)</f>
      </c>
    </row>
    <row x14ac:dyDescent="0.25" r="2006" customHeight="1" ht="17.25">
      <c r="A2006" s="52"/>
      <c r="B2006" s="2"/>
      <c r="C2006" s="2"/>
      <c r="D2006" s="3"/>
      <c r="E2006" s="3"/>
      <c r="F2006" s="2"/>
      <c r="G2006" s="13">
        <f>IF($B2006="IN",$D2006,0)</f>
      </c>
      <c r="H2006" s="13">
        <f>IF($B2006="OUT",$D2006,0)</f>
      </c>
    </row>
    <row x14ac:dyDescent="0.25" r="2007" customHeight="1" ht="17.25">
      <c r="A2007" s="52"/>
      <c r="B2007" s="2"/>
      <c r="C2007" s="2"/>
      <c r="D2007" s="3"/>
      <c r="E2007" s="3"/>
      <c r="F2007" s="2"/>
      <c r="G2007" s="13">
        <f>IF($B2007="IN",$D2007,0)</f>
      </c>
      <c r="H2007" s="13">
        <f>IF($B2007="OUT",$D2007,0)</f>
      </c>
    </row>
    <row x14ac:dyDescent="0.25" r="2008" customHeight="1" ht="17.25">
      <c r="A2008" s="52"/>
      <c r="B2008" s="2"/>
      <c r="C2008" s="2"/>
      <c r="D2008" s="3"/>
      <c r="E2008" s="3"/>
      <c r="F2008" s="2"/>
      <c r="G2008" s="13">
        <f>IF($B2008="IN",$D2008,0)</f>
      </c>
      <c r="H2008" s="13">
        <f>IF($B2008="OUT",$D2008,0)</f>
      </c>
    </row>
    <row x14ac:dyDescent="0.25" r="2009" customHeight="1" ht="17.25">
      <c r="A2009" s="52"/>
      <c r="B2009" s="2"/>
      <c r="C2009" s="2"/>
      <c r="D2009" s="3"/>
      <c r="E2009" s="3"/>
      <c r="F2009" s="2"/>
      <c r="G2009" s="13">
        <f>IF($B2009="IN",$D2009,0)</f>
      </c>
      <c r="H2009" s="13">
        <f>IF($B2009="OUT",$D2009,0)</f>
      </c>
    </row>
    <row x14ac:dyDescent="0.25" r="2010" customHeight="1" ht="17.25">
      <c r="A2010" s="52"/>
      <c r="B2010" s="2"/>
      <c r="C2010" s="2"/>
      <c r="D2010" s="3"/>
      <c r="E2010" s="3"/>
      <c r="F2010" s="2"/>
      <c r="G2010" s="13">
        <f>IF($B2010="IN",$D2010,0)</f>
      </c>
      <c r="H2010" s="13">
        <f>IF($B2010="OUT",$D2010,0)</f>
      </c>
    </row>
    <row x14ac:dyDescent="0.25" r="2011" customHeight="1" ht="17.25">
      <c r="A2011" s="52"/>
      <c r="B2011" s="2"/>
      <c r="C2011" s="2"/>
      <c r="D2011" s="3"/>
      <c r="E2011" s="3"/>
      <c r="F2011" s="2"/>
      <c r="G2011" s="13">
        <f>IF($B2011="IN",$D2011,0)</f>
      </c>
      <c r="H2011" s="13">
        <f>IF($B2011="OUT",$D2011,0)</f>
      </c>
    </row>
    <row x14ac:dyDescent="0.25" r="2012" customHeight="1" ht="17.25">
      <c r="A2012" s="52"/>
      <c r="B2012" s="2"/>
      <c r="C2012" s="2"/>
      <c r="D2012" s="3"/>
      <c r="E2012" s="3"/>
      <c r="F2012" s="2"/>
      <c r="G2012" s="13">
        <f>IF($B2012="IN",$D2012,0)</f>
      </c>
      <c r="H2012" s="13">
        <f>IF($B2012="OUT",$D2012,0)</f>
      </c>
    </row>
    <row x14ac:dyDescent="0.25" r="2013" customHeight="1" ht="17.25">
      <c r="A2013" s="52"/>
      <c r="B2013" s="2"/>
      <c r="C2013" s="2"/>
      <c r="D2013" s="3"/>
      <c r="E2013" s="3"/>
      <c r="F2013" s="2"/>
      <c r="G2013" s="13">
        <f>IF($B2013="IN",$D2013,0)</f>
      </c>
      <c r="H2013" s="13">
        <f>IF($B2013="OUT",$D2013,0)</f>
      </c>
    </row>
    <row x14ac:dyDescent="0.25" r="2014" customHeight="1" ht="17.25">
      <c r="A2014" s="52"/>
      <c r="B2014" s="2"/>
      <c r="C2014" s="2"/>
      <c r="D2014" s="3"/>
      <c r="E2014" s="3"/>
      <c r="F2014" s="2"/>
      <c r="G2014" s="13">
        <f>IF($B2014="IN",$D2014,0)</f>
      </c>
      <c r="H2014" s="13">
        <f>IF($B2014="OUT",$D2014,0)</f>
      </c>
    </row>
    <row x14ac:dyDescent="0.25" r="2015" customHeight="1" ht="17.25">
      <c r="A2015" s="52"/>
      <c r="B2015" s="2"/>
      <c r="C2015" s="2"/>
      <c r="D2015" s="3"/>
      <c r="E2015" s="3"/>
      <c r="F2015" s="2"/>
      <c r="G2015" s="13">
        <f>IF($B2015="IN",$D2015,0)</f>
      </c>
      <c r="H2015" s="13">
        <f>IF($B2015="OUT",$D2015,0)</f>
      </c>
    </row>
    <row x14ac:dyDescent="0.25" r="2016" customHeight="1" ht="17.25">
      <c r="A2016" s="52"/>
      <c r="B2016" s="2"/>
      <c r="C2016" s="2"/>
      <c r="D2016" s="3"/>
      <c r="E2016" s="3"/>
      <c r="F2016" s="2"/>
      <c r="G2016" s="13">
        <f>IF($B2016="IN",$D2016,0)</f>
      </c>
      <c r="H2016" s="13">
        <f>IF($B2016="OUT",$D2016,0)</f>
      </c>
    </row>
    <row x14ac:dyDescent="0.25" r="2017" customHeight="1" ht="17.25">
      <c r="A2017" s="52"/>
      <c r="B2017" s="2"/>
      <c r="C2017" s="2"/>
      <c r="D2017" s="3"/>
      <c r="E2017" s="3"/>
      <c r="F2017" s="2"/>
      <c r="G2017" s="13">
        <f>IF($B2017="IN",$D2017,0)</f>
      </c>
      <c r="H2017" s="13">
        <f>IF($B2017="OUT",$D2017,0)</f>
      </c>
    </row>
    <row x14ac:dyDescent="0.25" r="2018" customHeight="1" ht="17.25">
      <c r="A2018" s="52"/>
      <c r="B2018" s="2"/>
      <c r="C2018" s="2"/>
      <c r="D2018" s="3"/>
      <c r="E2018" s="3"/>
      <c r="F2018" s="2"/>
      <c r="G2018" s="13">
        <f>IF($B2018="IN",$D2018,0)</f>
      </c>
      <c r="H2018" s="13">
        <f>IF($B2018="OUT",$D2018,0)</f>
      </c>
    </row>
    <row x14ac:dyDescent="0.25" r="2019" customHeight="1" ht="17.25">
      <c r="A2019" s="52"/>
      <c r="B2019" s="2"/>
      <c r="C2019" s="2"/>
      <c r="D2019" s="3"/>
      <c r="E2019" s="3"/>
      <c r="F2019" s="2"/>
      <c r="G2019" s="13">
        <f>IF($B2019="IN",$D2019,0)</f>
      </c>
      <c r="H2019" s="13">
        <f>IF($B2019="OUT",$D2019,0)</f>
      </c>
    </row>
    <row x14ac:dyDescent="0.25" r="2020" customHeight="1" ht="17.25">
      <c r="A2020" s="52"/>
      <c r="B2020" s="2"/>
      <c r="C2020" s="2"/>
      <c r="D2020" s="3"/>
      <c r="E2020" s="3"/>
      <c r="F2020" s="2"/>
      <c r="G2020" s="13">
        <f>IF($B2020="IN",$D2020,0)</f>
      </c>
      <c r="H2020" s="13">
        <f>IF($B2020="OUT",$D2020,0)</f>
      </c>
    </row>
    <row x14ac:dyDescent="0.25" r="2021" customHeight="1" ht="17.25">
      <c r="A2021" s="52"/>
      <c r="B2021" s="2"/>
      <c r="C2021" s="2"/>
      <c r="D2021" s="3"/>
      <c r="E2021" s="3"/>
      <c r="F2021" s="2"/>
      <c r="G2021" s="13">
        <f>IF($B2021="IN",$D2021,0)</f>
      </c>
      <c r="H2021" s="13">
        <f>IF($B2021="OUT",$D2021,0)</f>
      </c>
    </row>
    <row x14ac:dyDescent="0.25" r="2022" customHeight="1" ht="17.25">
      <c r="A2022" s="52"/>
      <c r="B2022" s="2"/>
      <c r="C2022" s="2"/>
      <c r="D2022" s="3"/>
      <c r="E2022" s="3"/>
      <c r="F2022" s="2"/>
      <c r="G2022" s="13">
        <f>IF($B2022="IN",$D2022,0)</f>
      </c>
      <c r="H2022" s="13">
        <f>IF($B2022="OUT",$D2022,0)</f>
      </c>
    </row>
    <row x14ac:dyDescent="0.25" r="2023" customHeight="1" ht="17.25">
      <c r="A2023" s="52"/>
      <c r="B2023" s="2"/>
      <c r="C2023" s="2"/>
      <c r="D2023" s="3"/>
      <c r="E2023" s="3"/>
      <c r="F2023" s="2"/>
      <c r="G2023" s="13">
        <f>IF($B2023="IN",$D2023,0)</f>
      </c>
      <c r="H2023" s="13">
        <f>IF($B2023="OUT",$D2023,0)</f>
      </c>
    </row>
    <row x14ac:dyDescent="0.25" r="2024" customHeight="1" ht="17.25">
      <c r="A2024" s="52"/>
      <c r="B2024" s="2"/>
      <c r="C2024" s="2"/>
      <c r="D2024" s="3"/>
      <c r="E2024" s="3"/>
      <c r="F2024" s="2"/>
      <c r="G2024" s="13">
        <f>IF($B2024="IN",$D2024,0)</f>
      </c>
      <c r="H2024" s="13">
        <f>IF($B2024="OUT",$D2024,0)</f>
      </c>
    </row>
    <row x14ac:dyDescent="0.25" r="2025" customHeight="1" ht="17.25">
      <c r="A2025" s="52"/>
      <c r="B2025" s="2"/>
      <c r="C2025" s="2"/>
      <c r="D2025" s="3"/>
      <c r="E2025" s="3"/>
      <c r="F2025" s="2"/>
      <c r="G2025" s="13">
        <f>IF($B2025="IN",$D2025,0)</f>
      </c>
      <c r="H2025" s="13">
        <f>IF($B2025="OUT",$D2025,0)</f>
      </c>
    </row>
    <row x14ac:dyDescent="0.25" r="2026" customHeight="1" ht="17.25">
      <c r="A2026" s="52"/>
      <c r="B2026" s="2"/>
      <c r="C2026" s="2"/>
      <c r="D2026" s="3"/>
      <c r="E2026" s="3"/>
      <c r="F2026" s="2"/>
      <c r="G2026" s="13">
        <f>IF($B2026="IN",$D2026,0)</f>
      </c>
      <c r="H2026" s="13">
        <f>IF($B2026="OUT",$D2026,0)</f>
      </c>
    </row>
    <row x14ac:dyDescent="0.25" r="2027" customHeight="1" ht="17.25">
      <c r="A2027" s="52"/>
      <c r="B2027" s="2"/>
      <c r="C2027" s="2"/>
      <c r="D2027" s="3"/>
      <c r="E2027" s="3"/>
      <c r="F2027" s="2"/>
      <c r="G2027" s="13">
        <f>IF($B2027="IN",$D2027,0)</f>
      </c>
      <c r="H2027" s="13">
        <f>IF($B2027="OUT",$D2027,0)</f>
      </c>
    </row>
    <row x14ac:dyDescent="0.25" r="2028" customHeight="1" ht="17.25">
      <c r="A2028" s="52"/>
      <c r="B2028" s="2"/>
      <c r="C2028" s="2"/>
      <c r="D2028" s="3"/>
      <c r="E2028" s="3"/>
      <c r="F2028" s="2"/>
      <c r="G2028" s="13">
        <f>IF($B2028="IN",$D2028,0)</f>
      </c>
      <c r="H2028" s="13">
        <f>IF($B2028="OUT",$D2028,0)</f>
      </c>
    </row>
    <row x14ac:dyDescent="0.25" r="2029" customHeight="1" ht="17.25">
      <c r="A2029" s="52"/>
      <c r="B2029" s="2"/>
      <c r="C2029" s="2"/>
      <c r="D2029" s="3"/>
      <c r="E2029" s="3"/>
      <c r="F2029" s="2"/>
      <c r="G2029" s="13">
        <f>IF($B2029="IN",$D2029,0)</f>
      </c>
      <c r="H2029" s="13">
        <f>IF($B2029="OUT",$D2029,0)</f>
      </c>
    </row>
    <row x14ac:dyDescent="0.25" r="2030" customHeight="1" ht="17.25">
      <c r="A2030" s="52"/>
      <c r="B2030" s="2"/>
      <c r="C2030" s="2"/>
      <c r="D2030" s="3"/>
      <c r="E2030" s="3"/>
      <c r="F2030" s="2"/>
      <c r="G2030" s="13">
        <f>IF($B2030="IN",$D2030,0)</f>
      </c>
      <c r="H2030" s="13">
        <f>IF($B2030="OUT",$D2030,0)</f>
      </c>
    </row>
    <row x14ac:dyDescent="0.25" r="2031" customHeight="1" ht="17.25">
      <c r="A2031" s="52"/>
      <c r="B2031" s="2"/>
      <c r="C2031" s="2"/>
      <c r="D2031" s="3"/>
      <c r="E2031" s="3"/>
      <c r="F2031" s="2"/>
      <c r="G2031" s="13">
        <f>IF($B2031="IN",$D2031,0)</f>
      </c>
      <c r="H2031" s="13">
        <f>IF($B2031="OUT",$D2031,0)</f>
      </c>
    </row>
    <row x14ac:dyDescent="0.25" r="2032" customHeight="1" ht="17.25">
      <c r="A2032" s="52"/>
      <c r="B2032" s="2"/>
      <c r="C2032" s="2"/>
      <c r="D2032" s="3"/>
      <c r="E2032" s="3"/>
      <c r="F2032" s="2"/>
      <c r="G2032" s="13">
        <f>IF($B2032="IN",$D2032,0)</f>
      </c>
      <c r="H2032" s="13">
        <f>IF($B2032="OUT",$D2032,0)</f>
      </c>
    </row>
    <row x14ac:dyDescent="0.25" r="2033" customHeight="1" ht="17.25">
      <c r="A2033" s="52"/>
      <c r="B2033" s="2"/>
      <c r="C2033" s="2"/>
      <c r="D2033" s="3"/>
      <c r="E2033" s="3"/>
      <c r="F2033" s="2"/>
      <c r="G2033" s="13">
        <f>IF($B2033="IN",$D2033,0)</f>
      </c>
      <c r="H2033" s="13">
        <f>IF($B2033="OUT",$D2033,0)</f>
      </c>
    </row>
    <row x14ac:dyDescent="0.25" r="2034" customHeight="1" ht="17.25">
      <c r="A2034" s="52"/>
      <c r="B2034" s="2"/>
      <c r="C2034" s="2"/>
      <c r="D2034" s="3"/>
      <c r="E2034" s="3"/>
      <c r="F2034" s="2"/>
      <c r="G2034" s="13">
        <f>IF($B2034="IN",$D2034,0)</f>
      </c>
      <c r="H2034" s="13">
        <f>IF($B2034="OUT",$D2034,0)</f>
      </c>
    </row>
    <row x14ac:dyDescent="0.25" r="2035" customHeight="1" ht="17.25">
      <c r="A2035" s="52"/>
      <c r="B2035" s="2"/>
      <c r="C2035" s="2"/>
      <c r="D2035" s="3"/>
      <c r="E2035" s="3"/>
      <c r="F2035" s="2"/>
      <c r="G2035" s="13">
        <f>IF($B2035="IN",$D2035,0)</f>
      </c>
      <c r="H2035" s="13">
        <f>IF($B2035="OUT",$D2035,0)</f>
      </c>
    </row>
    <row x14ac:dyDescent="0.25" r="2036" customHeight="1" ht="17.25">
      <c r="A2036" s="52"/>
      <c r="B2036" s="2"/>
      <c r="C2036" s="2"/>
      <c r="D2036" s="3"/>
      <c r="E2036" s="3"/>
      <c r="F2036" s="2"/>
      <c r="G2036" s="13">
        <f>IF($B2036="IN",$D2036,0)</f>
      </c>
      <c r="H2036" s="13">
        <f>IF($B2036="OUT",$D2036,0)</f>
      </c>
    </row>
    <row x14ac:dyDescent="0.25" r="2037" customHeight="1" ht="17.25">
      <c r="A2037" s="52"/>
      <c r="B2037" s="2"/>
      <c r="C2037" s="2"/>
      <c r="D2037" s="3"/>
      <c r="E2037" s="3"/>
      <c r="F2037" s="2"/>
      <c r="G2037" s="13">
        <f>IF($B2037="IN",$D2037,0)</f>
      </c>
      <c r="H2037" s="13">
        <f>IF($B2037="OUT",$D2037,0)</f>
      </c>
    </row>
    <row x14ac:dyDescent="0.25" r="2038" customHeight="1" ht="17.25">
      <c r="A2038" s="52"/>
      <c r="B2038" s="2"/>
      <c r="C2038" s="2"/>
      <c r="D2038" s="3"/>
      <c r="E2038" s="3"/>
      <c r="F2038" s="2"/>
      <c r="G2038" s="13">
        <f>IF($B2038="IN",$D2038,0)</f>
      </c>
      <c r="H2038" s="13">
        <f>IF($B2038="OUT",$D2038,0)</f>
      </c>
    </row>
    <row x14ac:dyDescent="0.25" r="2039" customHeight="1" ht="17.25">
      <c r="A2039" s="52"/>
      <c r="B2039" s="2"/>
      <c r="C2039" s="2"/>
      <c r="D2039" s="3"/>
      <c r="E2039" s="3"/>
      <c r="F2039" s="2"/>
      <c r="G2039" s="13">
        <f>IF($B2039="IN",$D2039,0)</f>
      </c>
      <c r="H2039" s="13">
        <f>IF($B2039="OUT",$D2039,0)</f>
      </c>
    </row>
    <row x14ac:dyDescent="0.25" r="2040" customHeight="1" ht="17.25">
      <c r="A2040" s="52"/>
      <c r="B2040" s="2"/>
      <c r="C2040" s="2"/>
      <c r="D2040" s="3"/>
      <c r="E2040" s="3"/>
      <c r="F2040" s="2"/>
      <c r="G2040" s="13">
        <f>IF($B2040="IN",$D2040,0)</f>
      </c>
      <c r="H2040" s="13">
        <f>IF($B2040="OUT",$D2040,0)</f>
      </c>
    </row>
    <row x14ac:dyDescent="0.25" r="2041" customHeight="1" ht="17.25">
      <c r="A2041" s="52"/>
      <c r="B2041" s="2"/>
      <c r="C2041" s="2"/>
      <c r="D2041" s="3"/>
      <c r="E2041" s="3"/>
      <c r="F2041" s="2"/>
      <c r="G2041" s="13">
        <f>IF($B2041="IN",$D2041,0)</f>
      </c>
      <c r="H2041" s="13">
        <f>IF($B2041="OUT",$D2041,0)</f>
      </c>
    </row>
    <row x14ac:dyDescent="0.25" r="2042" customHeight="1" ht="17.25">
      <c r="A2042" s="52"/>
      <c r="B2042" s="2"/>
      <c r="C2042" s="2"/>
      <c r="D2042" s="3"/>
      <c r="E2042" s="3"/>
      <c r="F2042" s="2"/>
      <c r="G2042" s="13">
        <f>IF($B2042="IN",$D2042,0)</f>
      </c>
      <c r="H2042" s="13">
        <f>IF($B2042="OUT",$D2042,0)</f>
      </c>
    </row>
    <row x14ac:dyDescent="0.25" r="2043" customHeight="1" ht="17.25">
      <c r="A2043" s="52"/>
      <c r="B2043" s="2"/>
      <c r="C2043" s="2"/>
      <c r="D2043" s="3"/>
      <c r="E2043" s="3"/>
      <c r="F2043" s="2"/>
      <c r="G2043" s="13">
        <f>IF($B2043="IN",$D2043,0)</f>
      </c>
      <c r="H2043" s="13">
        <f>IF($B2043="OUT",$D2043,0)</f>
      </c>
    </row>
    <row x14ac:dyDescent="0.25" r="2044" customHeight="1" ht="17.25">
      <c r="A2044" s="52"/>
      <c r="B2044" s="2"/>
      <c r="C2044" s="2"/>
      <c r="D2044" s="3"/>
      <c r="E2044" s="3"/>
      <c r="F2044" s="2"/>
      <c r="G2044" s="13">
        <f>IF($B2044="IN",$D2044,0)</f>
      </c>
      <c r="H2044" s="13">
        <f>IF($B2044="OUT",$D2044,0)</f>
      </c>
    </row>
    <row x14ac:dyDescent="0.25" r="2045" customHeight="1" ht="17.25">
      <c r="A2045" s="52"/>
      <c r="B2045" s="2"/>
      <c r="C2045" s="2"/>
      <c r="D2045" s="3"/>
      <c r="E2045" s="3"/>
      <c r="F2045" s="2"/>
      <c r="G2045" s="13">
        <f>IF($B2045="IN",$D2045,0)</f>
      </c>
      <c r="H2045" s="13">
        <f>IF($B2045="OUT",$D2045,0)</f>
      </c>
    </row>
    <row x14ac:dyDescent="0.25" r="2046" customHeight="1" ht="17.25">
      <c r="A2046" s="52"/>
      <c r="B2046" s="2"/>
      <c r="C2046" s="2"/>
      <c r="D2046" s="3"/>
      <c r="E2046" s="3"/>
      <c r="F2046" s="2"/>
      <c r="G2046" s="13">
        <f>IF($B2046="IN",$D2046,0)</f>
      </c>
      <c r="H2046" s="13">
        <f>IF($B2046="OUT",$D2046,0)</f>
      </c>
    </row>
    <row x14ac:dyDescent="0.25" r="2047" customHeight="1" ht="17.25">
      <c r="A2047" s="52"/>
      <c r="B2047" s="2"/>
      <c r="C2047" s="2"/>
      <c r="D2047" s="3"/>
      <c r="E2047" s="3"/>
      <c r="F2047" s="2"/>
      <c r="G2047" s="13">
        <f>IF($B2047="IN",$D2047,0)</f>
      </c>
      <c r="H2047" s="13">
        <f>IF($B2047="OUT",$D2047,0)</f>
      </c>
    </row>
    <row x14ac:dyDescent="0.25" r="2048" customHeight="1" ht="17.25">
      <c r="A2048" s="52"/>
      <c r="B2048" s="2"/>
      <c r="C2048" s="2"/>
      <c r="D2048" s="3"/>
      <c r="E2048" s="3"/>
      <c r="F2048" s="2"/>
      <c r="G2048" s="13">
        <f>IF($B2048="IN",$D2048,0)</f>
      </c>
      <c r="H2048" s="13">
        <f>IF($B2048="OUT",$D2048,0)</f>
      </c>
    </row>
    <row x14ac:dyDescent="0.25" r="2049" customHeight="1" ht="17.25">
      <c r="A2049" s="52"/>
      <c r="B2049" s="2"/>
      <c r="C2049" s="2"/>
      <c r="D2049" s="3"/>
      <c r="E2049" s="3"/>
      <c r="F2049" s="2"/>
      <c r="G2049" s="13">
        <f>IF($B2049="IN",$D2049,0)</f>
      </c>
      <c r="H2049" s="13">
        <f>IF($B2049="OUT",$D2049,0)</f>
      </c>
    </row>
    <row x14ac:dyDescent="0.25" r="2050" customHeight="1" ht="17.25">
      <c r="A2050" s="52"/>
      <c r="B2050" s="2"/>
      <c r="C2050" s="2"/>
      <c r="D2050" s="3"/>
      <c r="E2050" s="3"/>
      <c r="F2050" s="2"/>
      <c r="G2050" s="13">
        <f>IF($B2050="IN",$D2050,0)</f>
      </c>
      <c r="H2050" s="13">
        <f>IF($B2050="OUT",$D2050,0)</f>
      </c>
    </row>
    <row x14ac:dyDescent="0.25" r="2051" customHeight="1" ht="17.25">
      <c r="A2051" s="52"/>
      <c r="B2051" s="2"/>
      <c r="C2051" s="2"/>
      <c r="D2051" s="3"/>
      <c r="E2051" s="3"/>
      <c r="F2051" s="2"/>
      <c r="G2051" s="13">
        <f>IF($B2051="IN",$D2051,0)</f>
      </c>
      <c r="H2051" s="13">
        <f>IF($B2051="OUT",$D2051,0)</f>
      </c>
    </row>
    <row x14ac:dyDescent="0.25" r="2052" customHeight="1" ht="17.25">
      <c r="A2052" s="52"/>
      <c r="B2052" s="2"/>
      <c r="C2052" s="2"/>
      <c r="D2052" s="3"/>
      <c r="E2052" s="3"/>
      <c r="F2052" s="2"/>
      <c r="G2052" s="13">
        <f>IF($B2052="IN",$D2052,0)</f>
      </c>
      <c r="H2052" s="13">
        <f>IF($B2052="OUT",$D2052,0)</f>
      </c>
    </row>
    <row x14ac:dyDescent="0.25" r="2053" customHeight="1" ht="17.25">
      <c r="A2053" s="52"/>
      <c r="B2053" s="2"/>
      <c r="C2053" s="2"/>
      <c r="D2053" s="3"/>
      <c r="E2053" s="3"/>
      <c r="F2053" s="2"/>
      <c r="G2053" s="13">
        <f>IF($B2053="IN",$D2053,0)</f>
      </c>
      <c r="H2053" s="13">
        <f>IF($B2053="OUT",$D2053,0)</f>
      </c>
    </row>
    <row x14ac:dyDescent="0.25" r="2054" customHeight="1" ht="17.25">
      <c r="A2054" s="52"/>
      <c r="B2054" s="2"/>
      <c r="C2054" s="2"/>
      <c r="D2054" s="3"/>
      <c r="E2054" s="3"/>
      <c r="F2054" s="2"/>
      <c r="G2054" s="13">
        <f>IF($B2054="IN",$D2054,0)</f>
      </c>
      <c r="H2054" s="13">
        <f>IF($B2054="OUT",$D2054,0)</f>
      </c>
    </row>
    <row x14ac:dyDescent="0.25" r="2055" customHeight="1" ht="17.25">
      <c r="A2055" s="52"/>
      <c r="B2055" s="2"/>
      <c r="C2055" s="2"/>
      <c r="D2055" s="3"/>
      <c r="E2055" s="3"/>
      <c r="F2055" s="2"/>
      <c r="G2055" s="13">
        <f>IF($B2055="IN",$D2055,0)</f>
      </c>
      <c r="H2055" s="13">
        <f>IF($B2055="OUT",$D2055,0)</f>
      </c>
    </row>
    <row x14ac:dyDescent="0.25" r="2056" customHeight="1" ht="17.25">
      <c r="A2056" s="52"/>
      <c r="B2056" s="2"/>
      <c r="C2056" s="2"/>
      <c r="D2056" s="3"/>
      <c r="E2056" s="3"/>
      <c r="F2056" s="2"/>
      <c r="G2056" s="13">
        <f>IF($B2056="IN",$D2056,0)</f>
      </c>
      <c r="H2056" s="13">
        <f>IF($B2056="OUT",$D2056,0)</f>
      </c>
    </row>
    <row x14ac:dyDescent="0.25" r="2057" customHeight="1" ht="17.25">
      <c r="A2057" s="52"/>
      <c r="B2057" s="2"/>
      <c r="C2057" s="2"/>
      <c r="D2057" s="3"/>
      <c r="E2057" s="3"/>
      <c r="F2057" s="2"/>
      <c r="G2057" s="13">
        <f>IF($B2057="IN",$D2057,0)</f>
      </c>
      <c r="H2057" s="13">
        <f>IF($B2057="OUT",$D2057,0)</f>
      </c>
    </row>
    <row x14ac:dyDescent="0.25" r="2058" customHeight="1" ht="17.25">
      <c r="A2058" s="52"/>
      <c r="B2058" s="2"/>
      <c r="C2058" s="2"/>
      <c r="D2058" s="3"/>
      <c r="E2058" s="3"/>
      <c r="F2058" s="2"/>
      <c r="G2058" s="13">
        <f>IF($B2058="IN",$D2058,0)</f>
      </c>
      <c r="H2058" s="13">
        <f>IF($B2058="OUT",$D2058,0)</f>
      </c>
    </row>
    <row x14ac:dyDescent="0.25" r="2059" customHeight="1" ht="17.25">
      <c r="A2059" s="52"/>
      <c r="B2059" s="2"/>
      <c r="C2059" s="2"/>
      <c r="D2059" s="3"/>
      <c r="E2059" s="3"/>
      <c r="F2059" s="2"/>
      <c r="G2059" s="13">
        <f>IF($B2059="IN",$D2059,0)</f>
      </c>
      <c r="H2059" s="13">
        <f>IF($B2059="OUT",$D2059,0)</f>
      </c>
    </row>
    <row x14ac:dyDescent="0.25" r="2060" customHeight="1" ht="17.25">
      <c r="A2060" s="52"/>
      <c r="B2060" s="2"/>
      <c r="C2060" s="2"/>
      <c r="D2060" s="3"/>
      <c r="E2060" s="3"/>
      <c r="F2060" s="2"/>
      <c r="G2060" s="13">
        <f>IF($B2060="IN",$D2060,0)</f>
      </c>
      <c r="H2060" s="13">
        <f>IF($B2060="OUT",$D2060,0)</f>
      </c>
    </row>
    <row x14ac:dyDescent="0.25" r="2061" customHeight="1" ht="17.25">
      <c r="A2061" s="52"/>
      <c r="B2061" s="2"/>
      <c r="C2061" s="2"/>
      <c r="D2061" s="3"/>
      <c r="E2061" s="3"/>
      <c r="F2061" s="2"/>
      <c r="G2061" s="13">
        <f>IF($B2061="IN",$D2061,0)</f>
      </c>
      <c r="H2061" s="13">
        <f>IF($B2061="OUT",$D2061,0)</f>
      </c>
    </row>
    <row x14ac:dyDescent="0.25" r="2062" customHeight="1" ht="17.25">
      <c r="A2062" s="52"/>
      <c r="B2062" s="2"/>
      <c r="C2062" s="2"/>
      <c r="D2062" s="3"/>
      <c r="E2062" s="3"/>
      <c r="F2062" s="2"/>
      <c r="G2062" s="13">
        <f>IF($B2062="IN",$D2062,0)</f>
      </c>
      <c r="H2062" s="13">
        <f>IF($B2062="OUT",$D2062,0)</f>
      </c>
    </row>
    <row x14ac:dyDescent="0.25" r="2063" customHeight="1" ht="17.25">
      <c r="A2063" s="52"/>
      <c r="B2063" s="2"/>
      <c r="C2063" s="2"/>
      <c r="D2063" s="3"/>
      <c r="E2063" s="3"/>
      <c r="F2063" s="2"/>
      <c r="G2063" s="13">
        <f>IF($B2063="IN",$D2063,0)</f>
      </c>
      <c r="H2063" s="13">
        <f>IF($B2063="OUT",$D2063,0)</f>
      </c>
    </row>
    <row x14ac:dyDescent="0.25" r="2064" customHeight="1" ht="17.25">
      <c r="A2064" s="52"/>
      <c r="B2064" s="2"/>
      <c r="C2064" s="2"/>
      <c r="D2064" s="3"/>
      <c r="E2064" s="3"/>
      <c r="F2064" s="2"/>
      <c r="G2064" s="13">
        <f>IF($B2064="IN",$D2064,0)</f>
      </c>
      <c r="H2064" s="13">
        <f>IF($B2064="OUT",$D2064,0)</f>
      </c>
    </row>
    <row x14ac:dyDescent="0.25" r="2065" customHeight="1" ht="17.25">
      <c r="A2065" s="52"/>
      <c r="B2065" s="2"/>
      <c r="C2065" s="2"/>
      <c r="D2065" s="3"/>
      <c r="E2065" s="3"/>
      <c r="F2065" s="2"/>
      <c r="G2065" s="13">
        <f>IF($B2065="IN",$D2065,0)</f>
      </c>
      <c r="H2065" s="13">
        <f>IF($B2065="OUT",$D2065,0)</f>
      </c>
    </row>
    <row x14ac:dyDescent="0.25" r="2066" customHeight="1" ht="17.25">
      <c r="A2066" s="52"/>
      <c r="B2066" s="2"/>
      <c r="C2066" s="2"/>
      <c r="D2066" s="3"/>
      <c r="E2066" s="3"/>
      <c r="F2066" s="2"/>
      <c r="G2066" s="13">
        <f>IF($B2066="IN",$D2066,0)</f>
      </c>
      <c r="H2066" s="13">
        <f>IF($B2066="OUT",$D2066,0)</f>
      </c>
    </row>
    <row x14ac:dyDescent="0.25" r="2067" customHeight="1" ht="17.25">
      <c r="A2067" s="52"/>
      <c r="B2067" s="2"/>
      <c r="C2067" s="2"/>
      <c r="D2067" s="3"/>
      <c r="E2067" s="3"/>
      <c r="F2067" s="2"/>
      <c r="G2067" s="13">
        <f>IF($B2067="IN",$D2067,0)</f>
      </c>
      <c r="H2067" s="13">
        <f>IF($B2067="OUT",$D2067,0)</f>
      </c>
    </row>
    <row x14ac:dyDescent="0.25" r="2068" customHeight="1" ht="17.25">
      <c r="A2068" s="52"/>
      <c r="B2068" s="2"/>
      <c r="C2068" s="2"/>
      <c r="D2068" s="3"/>
      <c r="E2068" s="3"/>
      <c r="F2068" s="2"/>
      <c r="G2068" s="13">
        <f>IF($B2068="IN",$D2068,0)</f>
      </c>
      <c r="H2068" s="13">
        <f>IF($B2068="OUT",$D2068,0)</f>
      </c>
    </row>
    <row x14ac:dyDescent="0.25" r="2069" customHeight="1" ht="17.25">
      <c r="A2069" s="52"/>
      <c r="B2069" s="2"/>
      <c r="C2069" s="2"/>
      <c r="D2069" s="3"/>
      <c r="E2069" s="3"/>
      <c r="F2069" s="2"/>
      <c r="G2069" s="13">
        <f>IF($B2069="IN",$D2069,0)</f>
      </c>
      <c r="H2069" s="13">
        <f>IF($B2069="OUT",$D2069,0)</f>
      </c>
    </row>
    <row x14ac:dyDescent="0.25" r="2070" customHeight="1" ht="17.25">
      <c r="A2070" s="52"/>
      <c r="B2070" s="2"/>
      <c r="C2070" s="2"/>
      <c r="D2070" s="3"/>
      <c r="E2070" s="3"/>
      <c r="F2070" s="2"/>
      <c r="G2070" s="13">
        <f>IF($B2070="IN",$D2070,0)</f>
      </c>
      <c r="H2070" s="13">
        <f>IF($B2070="OUT",$D2070,0)</f>
      </c>
    </row>
    <row x14ac:dyDescent="0.25" r="2071" customHeight="1" ht="17.25">
      <c r="A2071" s="52"/>
      <c r="B2071" s="2"/>
      <c r="C2071" s="2"/>
      <c r="D2071" s="3"/>
      <c r="E2071" s="3"/>
      <c r="F2071" s="2"/>
      <c r="G2071" s="13">
        <f>IF($B2071="IN",$D2071,0)</f>
      </c>
      <c r="H2071" s="13">
        <f>IF($B2071="OUT",$D2071,0)</f>
      </c>
    </row>
    <row x14ac:dyDescent="0.25" r="2072" customHeight="1" ht="17.25">
      <c r="A2072" s="52"/>
      <c r="B2072" s="2"/>
      <c r="C2072" s="2"/>
      <c r="D2072" s="3"/>
      <c r="E2072" s="3"/>
      <c r="F2072" s="2"/>
      <c r="G2072" s="13">
        <f>IF($B2072="IN",$D2072,0)</f>
      </c>
      <c r="H2072" s="13">
        <f>IF($B2072="OUT",$D2072,0)</f>
      </c>
    </row>
    <row x14ac:dyDescent="0.25" r="2073" customHeight="1" ht="17.25">
      <c r="A2073" s="52"/>
      <c r="B2073" s="2"/>
      <c r="C2073" s="2"/>
      <c r="D2073" s="3"/>
      <c r="E2073" s="3"/>
      <c r="F2073" s="2"/>
      <c r="G2073" s="13">
        <f>IF($B2073="IN",$D2073,0)</f>
      </c>
      <c r="H2073" s="13">
        <f>IF($B2073="OUT",$D2073,0)</f>
      </c>
    </row>
    <row x14ac:dyDescent="0.25" r="2074" customHeight="1" ht="17.25">
      <c r="A2074" s="52"/>
      <c r="B2074" s="2"/>
      <c r="C2074" s="2"/>
      <c r="D2074" s="3"/>
      <c r="E2074" s="3"/>
      <c r="F2074" s="2"/>
      <c r="G2074" s="13">
        <f>IF($B2074="IN",$D2074,0)</f>
      </c>
      <c r="H2074" s="13">
        <f>IF($B2074="OUT",$D2074,0)</f>
      </c>
    </row>
    <row x14ac:dyDescent="0.25" r="2075" customHeight="1" ht="17.25">
      <c r="A2075" s="52"/>
      <c r="B2075" s="2"/>
      <c r="C2075" s="2"/>
      <c r="D2075" s="3"/>
      <c r="E2075" s="3"/>
      <c r="F2075" s="2"/>
      <c r="G2075" s="13">
        <f>IF($B2075="IN",$D2075,0)</f>
      </c>
      <c r="H2075" s="13">
        <f>IF($B2075="OUT",$D2075,0)</f>
      </c>
    </row>
    <row x14ac:dyDescent="0.25" r="2076" customHeight="1" ht="17.25">
      <c r="A2076" s="52"/>
      <c r="B2076" s="2"/>
      <c r="C2076" s="2"/>
      <c r="D2076" s="3"/>
      <c r="E2076" s="3"/>
      <c r="F2076" s="2"/>
      <c r="G2076" s="13">
        <f>IF($B2076="IN",$D2076,0)</f>
      </c>
      <c r="H2076" s="13">
        <f>IF($B2076="OUT",$D2076,0)</f>
      </c>
    </row>
    <row x14ac:dyDescent="0.25" r="2077" customHeight="1" ht="17.25">
      <c r="A2077" s="52"/>
      <c r="B2077" s="2"/>
      <c r="C2077" s="2"/>
      <c r="D2077" s="3"/>
      <c r="E2077" s="3"/>
      <c r="F2077" s="2"/>
      <c r="G2077" s="13">
        <f>IF($B2077="IN",$D2077,0)</f>
      </c>
      <c r="H2077" s="13">
        <f>IF($B2077="OUT",$D2077,0)</f>
      </c>
    </row>
    <row x14ac:dyDescent="0.25" r="2078" customHeight="1" ht="17.25">
      <c r="A2078" s="52"/>
      <c r="B2078" s="2"/>
      <c r="C2078" s="2"/>
      <c r="D2078" s="3"/>
      <c r="E2078" s="3"/>
      <c r="F2078" s="2"/>
      <c r="G2078" s="13">
        <f>IF($B2078="IN",$D2078,0)</f>
      </c>
      <c r="H2078" s="13">
        <f>IF($B2078="OUT",$D2078,0)</f>
      </c>
    </row>
    <row x14ac:dyDescent="0.25" r="2079" customHeight="1" ht="17.25">
      <c r="A2079" s="52"/>
      <c r="B2079" s="2"/>
      <c r="C2079" s="2"/>
      <c r="D2079" s="3"/>
      <c r="E2079" s="3"/>
      <c r="F2079" s="2"/>
      <c r="G2079" s="13">
        <f>IF($B2079="IN",$D2079,0)</f>
      </c>
      <c r="H2079" s="13">
        <f>IF($B2079="OUT",$D2079,0)</f>
      </c>
    </row>
    <row x14ac:dyDescent="0.25" r="2080" customHeight="1" ht="17.25">
      <c r="A2080" s="52"/>
      <c r="B2080" s="2"/>
      <c r="C2080" s="2"/>
      <c r="D2080" s="3"/>
      <c r="E2080" s="3"/>
      <c r="F2080" s="2"/>
      <c r="G2080" s="13">
        <f>IF($B2080="IN",$D2080,0)</f>
      </c>
      <c r="H2080" s="13">
        <f>IF($B2080="OUT",$D2080,0)</f>
      </c>
    </row>
    <row x14ac:dyDescent="0.25" r="2081" customHeight="1" ht="17.25">
      <c r="A2081" s="52"/>
      <c r="B2081" s="2"/>
      <c r="C2081" s="2"/>
      <c r="D2081" s="3"/>
      <c r="E2081" s="3"/>
      <c r="F2081" s="2"/>
      <c r="G2081" s="13">
        <f>IF($B2081="IN",$D2081,0)</f>
      </c>
      <c r="H2081" s="13">
        <f>IF($B2081="OUT",$D2081,0)</f>
      </c>
    </row>
    <row x14ac:dyDescent="0.25" r="2082" customHeight="1" ht="17.25">
      <c r="A2082" s="52"/>
      <c r="B2082" s="2"/>
      <c r="C2082" s="2"/>
      <c r="D2082" s="3"/>
      <c r="E2082" s="3"/>
      <c r="F2082" s="2"/>
      <c r="G2082" s="13">
        <f>IF($B2082="IN",$D2082,0)</f>
      </c>
      <c r="H2082" s="13">
        <f>IF($B2082="OUT",$D2082,0)</f>
      </c>
    </row>
    <row x14ac:dyDescent="0.25" r="2083" customHeight="1" ht="17.25">
      <c r="A2083" s="52"/>
      <c r="B2083" s="2"/>
      <c r="C2083" s="2"/>
      <c r="D2083" s="3"/>
      <c r="E2083" s="3"/>
      <c r="F2083" s="2"/>
      <c r="G2083" s="13">
        <f>IF($B2083="IN",$D2083,0)</f>
      </c>
      <c r="H2083" s="13">
        <f>IF($B2083="OUT",$D2083,0)</f>
      </c>
    </row>
    <row x14ac:dyDescent="0.25" r="2084" customHeight="1" ht="17.25">
      <c r="A2084" s="52"/>
      <c r="B2084" s="2"/>
      <c r="C2084" s="2"/>
      <c r="D2084" s="3"/>
      <c r="E2084" s="3"/>
      <c r="F2084" s="2"/>
      <c r="G2084" s="13">
        <f>IF($B2084="IN",$D2084,0)</f>
      </c>
      <c r="H2084" s="13">
        <f>IF($B2084="OUT",$D2084,0)</f>
      </c>
    </row>
    <row x14ac:dyDescent="0.25" r="2085" customHeight="1" ht="17.25">
      <c r="A2085" s="52"/>
      <c r="B2085" s="2"/>
      <c r="C2085" s="2"/>
      <c r="D2085" s="3"/>
      <c r="E2085" s="3"/>
      <c r="F2085" s="2"/>
      <c r="G2085" s="13">
        <f>IF($B2085="IN",$D2085,0)</f>
      </c>
      <c r="H2085" s="13">
        <f>IF($B2085="OUT",$D2085,0)</f>
      </c>
    </row>
    <row x14ac:dyDescent="0.25" r="2086" customHeight="1" ht="17.25">
      <c r="A2086" s="52"/>
      <c r="B2086" s="2"/>
      <c r="C2086" s="2"/>
      <c r="D2086" s="3"/>
      <c r="E2086" s="3"/>
      <c r="F2086" s="2"/>
      <c r="G2086" s="13">
        <f>IF($B2086="IN",$D2086,0)</f>
      </c>
      <c r="H2086" s="13">
        <f>IF($B2086="OUT",$D2086,0)</f>
      </c>
    </row>
    <row x14ac:dyDescent="0.25" r="2087" customHeight="1" ht="17.25">
      <c r="A2087" s="52"/>
      <c r="B2087" s="2"/>
      <c r="C2087" s="2"/>
      <c r="D2087" s="3"/>
      <c r="E2087" s="3"/>
      <c r="F2087" s="2"/>
      <c r="G2087" s="13">
        <f>IF($B2087="IN",$D2087,0)</f>
      </c>
      <c r="H2087" s="13">
        <f>IF($B2087="OUT",$D2087,0)</f>
      </c>
    </row>
    <row x14ac:dyDescent="0.25" r="2088" customHeight="1" ht="17.25">
      <c r="A2088" s="52"/>
      <c r="B2088" s="2"/>
      <c r="C2088" s="2"/>
      <c r="D2088" s="3"/>
      <c r="E2088" s="3"/>
      <c r="F2088" s="2"/>
      <c r="G2088" s="13">
        <f>IF($B2088="IN",$D2088,0)</f>
      </c>
      <c r="H2088" s="13">
        <f>IF($B2088="OUT",$D2088,0)</f>
      </c>
    </row>
    <row x14ac:dyDescent="0.25" r="2089" customHeight="1" ht="17.25">
      <c r="A2089" s="52"/>
      <c r="B2089" s="2"/>
      <c r="C2089" s="2"/>
      <c r="D2089" s="3"/>
      <c r="E2089" s="3"/>
      <c r="F2089" s="2"/>
      <c r="G2089" s="13">
        <f>IF($B2089="IN",$D2089,0)</f>
      </c>
      <c r="H2089" s="13">
        <f>IF($B2089="OUT",$D2089,0)</f>
      </c>
    </row>
    <row x14ac:dyDescent="0.25" r="2090" customHeight="1" ht="17.25">
      <c r="A2090" s="52"/>
      <c r="B2090" s="2"/>
      <c r="C2090" s="2"/>
      <c r="D2090" s="3"/>
      <c r="E2090" s="3"/>
      <c r="F2090" s="2"/>
      <c r="G2090" s="13">
        <f>IF($B2090="IN",$D2090,0)</f>
      </c>
      <c r="H2090" s="13">
        <f>IF($B2090="OUT",$D2090,0)</f>
      </c>
    </row>
    <row x14ac:dyDescent="0.25" r="2091" customHeight="1" ht="17.25">
      <c r="A2091" s="52"/>
      <c r="B2091" s="2"/>
      <c r="C2091" s="2"/>
      <c r="D2091" s="3"/>
      <c r="E2091" s="3"/>
      <c r="F2091" s="2"/>
      <c r="G2091" s="13">
        <f>IF($B2091="IN",$D2091,0)</f>
      </c>
      <c r="H2091" s="13">
        <f>IF($B2091="OUT",$D2091,0)</f>
      </c>
    </row>
    <row x14ac:dyDescent="0.25" r="2092" customHeight="1" ht="17.25">
      <c r="A2092" s="52"/>
      <c r="B2092" s="2"/>
      <c r="C2092" s="2"/>
      <c r="D2092" s="3"/>
      <c r="E2092" s="3"/>
      <c r="F2092" s="2"/>
      <c r="G2092" s="13">
        <f>IF($B2092="IN",$D2092,0)</f>
      </c>
      <c r="H2092" s="13">
        <f>IF($B2092="OUT",$D2092,0)</f>
      </c>
    </row>
    <row x14ac:dyDescent="0.25" r="2093" customHeight="1" ht="17.25">
      <c r="A2093" s="52"/>
      <c r="B2093" s="2"/>
      <c r="C2093" s="2"/>
      <c r="D2093" s="3"/>
      <c r="E2093" s="3"/>
      <c r="F2093" s="2"/>
      <c r="G2093" s="13">
        <f>IF($B2093="IN",$D2093,0)</f>
      </c>
      <c r="H2093" s="13">
        <f>IF($B2093="OUT",$D2093,0)</f>
      </c>
    </row>
    <row x14ac:dyDescent="0.25" r="2094" customHeight="1" ht="17.25">
      <c r="A2094" s="52"/>
      <c r="B2094" s="2"/>
      <c r="C2094" s="2"/>
      <c r="D2094" s="3"/>
      <c r="E2094" s="3"/>
      <c r="F2094" s="2"/>
      <c r="G2094" s="13">
        <f>IF($B2094="IN",$D2094,0)</f>
      </c>
      <c r="H2094" s="13">
        <f>IF($B2094="OUT",$D2094,0)</f>
      </c>
    </row>
    <row x14ac:dyDescent="0.25" r="2095" customHeight="1" ht="17.25">
      <c r="A2095" s="52"/>
      <c r="B2095" s="2"/>
      <c r="C2095" s="2"/>
      <c r="D2095" s="3"/>
      <c r="E2095" s="3"/>
      <c r="F2095" s="2"/>
      <c r="G2095" s="13">
        <f>IF($B2095="IN",$D2095,0)</f>
      </c>
      <c r="H2095" s="13">
        <f>IF($B2095="OUT",$D2095,0)</f>
      </c>
    </row>
    <row x14ac:dyDescent="0.25" r="2096" customHeight="1" ht="17.25">
      <c r="A2096" s="52"/>
      <c r="B2096" s="2"/>
      <c r="C2096" s="2"/>
      <c r="D2096" s="3"/>
      <c r="E2096" s="3"/>
      <c r="F2096" s="2"/>
      <c r="G2096" s="13">
        <f>IF($B2096="IN",$D2096,0)</f>
      </c>
      <c r="H2096" s="13">
        <f>IF($B2096="OUT",$D2096,0)</f>
      </c>
    </row>
    <row x14ac:dyDescent="0.25" r="2097" customHeight="1" ht="17.25">
      <c r="A2097" s="52"/>
      <c r="B2097" s="2"/>
      <c r="C2097" s="2"/>
      <c r="D2097" s="3"/>
      <c r="E2097" s="3"/>
      <c r="F2097" s="2"/>
      <c r="G2097" s="13">
        <f>IF($B2097="IN",$D2097,0)</f>
      </c>
      <c r="H2097" s="13">
        <f>IF($B2097="OUT",$D2097,0)</f>
      </c>
    </row>
    <row x14ac:dyDescent="0.25" r="2098" customHeight="1" ht="17.25">
      <c r="A2098" s="52"/>
      <c r="B2098" s="2"/>
      <c r="C2098" s="2"/>
      <c r="D2098" s="3"/>
      <c r="E2098" s="3"/>
      <c r="F2098" s="2"/>
      <c r="G2098" s="13">
        <f>IF($B2098="IN",$D2098,0)</f>
      </c>
      <c r="H2098" s="13">
        <f>IF($B2098="OUT",$D2098,0)</f>
      </c>
    </row>
    <row x14ac:dyDescent="0.25" r="2099" customHeight="1" ht="17.25">
      <c r="A2099" s="52"/>
      <c r="B2099" s="2"/>
      <c r="C2099" s="2"/>
      <c r="D2099" s="3"/>
      <c r="E2099" s="3"/>
      <c r="F2099" s="2"/>
      <c r="G2099" s="13">
        <f>IF($B2099="IN",$D2099,0)</f>
      </c>
      <c r="H2099" s="13">
        <f>IF($B2099="OUT",$D2099,0)</f>
      </c>
    </row>
    <row x14ac:dyDescent="0.25" r="2100" customHeight="1" ht="17.25">
      <c r="A2100" s="52"/>
      <c r="B2100" s="2"/>
      <c r="C2100" s="2"/>
      <c r="D2100" s="3"/>
      <c r="E2100" s="3"/>
      <c r="F2100" s="2"/>
      <c r="G2100" s="13">
        <f>IF($B2100="IN",$D2100,0)</f>
      </c>
      <c r="H2100" s="13">
        <f>IF($B2100="OUT",$D2100,0)</f>
      </c>
    </row>
    <row x14ac:dyDescent="0.25" r="2101" customHeight="1" ht="17.25">
      <c r="A2101" s="52"/>
      <c r="B2101" s="2"/>
      <c r="C2101" s="2"/>
      <c r="D2101" s="3"/>
      <c r="E2101" s="3"/>
      <c r="F2101" s="2"/>
      <c r="G2101" s="13">
        <f>IF($B2101="IN",$D2101,0)</f>
      </c>
      <c r="H2101" s="13">
        <f>IF($B2101="OUT",$D2101,0)</f>
      </c>
    </row>
    <row x14ac:dyDescent="0.25" r="2102" customHeight="1" ht="17.25">
      <c r="A2102" s="52"/>
      <c r="B2102" s="2"/>
      <c r="C2102" s="2"/>
      <c r="D2102" s="3"/>
      <c r="E2102" s="3"/>
      <c r="F2102" s="2"/>
      <c r="G2102" s="13">
        <f>IF($B2102="IN",$D2102,0)</f>
      </c>
      <c r="H2102" s="13">
        <f>IF($B2102="OUT",$D2102,0)</f>
      </c>
    </row>
    <row x14ac:dyDescent="0.25" r="2103" customHeight="1" ht="17.25">
      <c r="A2103" s="52"/>
      <c r="B2103" s="2"/>
      <c r="C2103" s="2"/>
      <c r="D2103" s="3"/>
      <c r="E2103" s="3"/>
      <c r="F2103" s="2"/>
      <c r="G2103" s="13">
        <f>IF($B2103="IN",$D2103,0)</f>
      </c>
      <c r="H2103" s="13">
        <f>IF($B2103="OUT",$D2103,0)</f>
      </c>
    </row>
    <row x14ac:dyDescent="0.25" r="2104" customHeight="1" ht="17.25">
      <c r="A2104" s="52"/>
      <c r="B2104" s="2"/>
      <c r="C2104" s="2"/>
      <c r="D2104" s="3"/>
      <c r="E2104" s="3"/>
      <c r="F2104" s="2"/>
      <c r="G2104" s="13">
        <f>IF($B2104="IN",$D2104,0)</f>
      </c>
      <c r="H2104" s="13">
        <f>IF($B2104="OUT",$D2104,0)</f>
      </c>
    </row>
    <row x14ac:dyDescent="0.25" r="2105" customHeight="1" ht="17.25">
      <c r="A2105" s="52"/>
      <c r="B2105" s="2"/>
      <c r="C2105" s="2"/>
      <c r="D2105" s="3"/>
      <c r="E2105" s="3"/>
      <c r="F2105" s="2"/>
      <c r="G2105" s="13">
        <f>IF($B2105="IN",$D2105,0)</f>
      </c>
      <c r="H2105" s="13">
        <f>IF($B2105="OUT",$D2105,0)</f>
      </c>
    </row>
    <row x14ac:dyDescent="0.25" r="2106" customHeight="1" ht="17.25">
      <c r="A2106" s="52"/>
      <c r="B2106" s="2"/>
      <c r="C2106" s="2"/>
      <c r="D2106" s="3"/>
      <c r="E2106" s="3"/>
      <c r="F2106" s="2"/>
      <c r="G2106" s="13">
        <f>IF($B2106="IN",$D2106,0)</f>
      </c>
      <c r="H2106" s="13">
        <f>IF($B2106="OUT",$D2106,0)</f>
      </c>
    </row>
    <row x14ac:dyDescent="0.25" r="2107" customHeight="1" ht="17.25">
      <c r="A2107" s="52"/>
      <c r="B2107" s="2"/>
      <c r="C2107" s="2"/>
      <c r="D2107" s="3"/>
      <c r="E2107" s="3"/>
      <c r="F2107" s="2"/>
      <c r="G2107" s="13">
        <f>IF($B2107="IN",$D2107,0)</f>
      </c>
      <c r="H2107" s="13">
        <f>IF($B2107="OUT",$D2107,0)</f>
      </c>
    </row>
    <row x14ac:dyDescent="0.25" r="2108" customHeight="1" ht="17.25">
      <c r="A2108" s="52"/>
      <c r="B2108" s="2"/>
      <c r="C2108" s="2"/>
      <c r="D2108" s="3"/>
      <c r="E2108" s="3"/>
      <c r="F2108" s="2"/>
      <c r="G2108" s="13">
        <f>IF($B2108="IN",$D2108,0)</f>
      </c>
      <c r="H2108" s="13">
        <f>IF($B2108="OUT",$D2108,0)</f>
      </c>
    </row>
    <row x14ac:dyDescent="0.25" r="2109" customHeight="1" ht="17.25">
      <c r="A2109" s="52"/>
      <c r="B2109" s="2"/>
      <c r="C2109" s="2"/>
      <c r="D2109" s="3"/>
      <c r="E2109" s="3"/>
      <c r="F2109" s="2"/>
      <c r="G2109" s="13">
        <f>IF($B2109="IN",$D2109,0)</f>
      </c>
      <c r="H2109" s="13">
        <f>IF($B2109="OUT",$D2109,0)</f>
      </c>
    </row>
    <row x14ac:dyDescent="0.25" r="2110" customHeight="1" ht="17.25">
      <c r="A2110" s="52"/>
      <c r="B2110" s="2"/>
      <c r="C2110" s="2"/>
      <c r="D2110" s="3"/>
      <c r="E2110" s="3"/>
      <c r="F2110" s="2"/>
      <c r="G2110" s="13">
        <f>IF($B2110="IN",$D2110,0)</f>
      </c>
      <c r="H2110" s="13">
        <f>IF($B2110="OUT",$D2110,0)</f>
      </c>
    </row>
    <row x14ac:dyDescent="0.25" r="2111" customHeight="1" ht="17.25">
      <c r="A2111" s="52"/>
      <c r="B2111" s="2"/>
      <c r="C2111" s="2"/>
      <c r="D2111" s="3"/>
      <c r="E2111" s="3"/>
      <c r="F2111" s="2"/>
      <c r="G2111" s="13">
        <f>IF($B2111="IN",$D2111,0)</f>
      </c>
      <c r="H2111" s="13">
        <f>IF($B2111="OUT",$D2111,0)</f>
      </c>
    </row>
    <row x14ac:dyDescent="0.25" r="2112" customHeight="1" ht="17.25">
      <c r="A2112" s="52"/>
      <c r="B2112" s="2"/>
      <c r="C2112" s="2"/>
      <c r="D2112" s="3"/>
      <c r="E2112" s="3"/>
      <c r="F2112" s="2"/>
      <c r="G2112" s="13">
        <f>IF($B2112="IN",$D2112,0)</f>
      </c>
      <c r="H2112" s="13">
        <f>IF($B2112="OUT",$D2112,0)</f>
      </c>
    </row>
    <row x14ac:dyDescent="0.25" r="2113" customHeight="1" ht="17.25">
      <c r="A2113" s="52"/>
      <c r="B2113" s="2"/>
      <c r="C2113" s="2"/>
      <c r="D2113" s="3"/>
      <c r="E2113" s="3"/>
      <c r="F2113" s="2"/>
      <c r="G2113" s="13">
        <f>IF($B2113="IN",$D2113,0)</f>
      </c>
      <c r="H2113" s="13">
        <f>IF($B2113="OUT",$D2113,0)</f>
      </c>
    </row>
    <row x14ac:dyDescent="0.25" r="2114" customHeight="1" ht="17.25">
      <c r="A2114" s="52"/>
      <c r="B2114" s="2"/>
      <c r="C2114" s="2"/>
      <c r="D2114" s="3"/>
      <c r="E2114" s="3"/>
      <c r="F2114" s="2"/>
      <c r="G2114" s="13">
        <f>IF($B2114="IN",$D2114,0)</f>
      </c>
      <c r="H2114" s="13">
        <f>IF($B2114="OUT",$D2114,0)</f>
      </c>
    </row>
    <row x14ac:dyDescent="0.25" r="2115" customHeight="1" ht="17.25">
      <c r="A2115" s="52"/>
      <c r="B2115" s="2"/>
      <c r="C2115" s="2"/>
      <c r="D2115" s="3"/>
      <c r="E2115" s="3"/>
      <c r="F2115" s="2"/>
      <c r="G2115" s="13">
        <f>IF($B2115="IN",$D2115,0)</f>
      </c>
      <c r="H2115" s="13">
        <f>IF($B2115="OUT",$D2115,0)</f>
      </c>
    </row>
    <row x14ac:dyDescent="0.25" r="2116" customHeight="1" ht="17.25">
      <c r="A2116" s="52"/>
      <c r="B2116" s="2"/>
      <c r="C2116" s="2"/>
      <c r="D2116" s="3"/>
      <c r="E2116" s="3"/>
      <c r="F2116" s="2"/>
      <c r="G2116" s="13">
        <f>IF($B2116="IN",$D2116,0)</f>
      </c>
      <c r="H2116" s="13">
        <f>IF($B2116="OUT",$D2116,0)</f>
      </c>
    </row>
    <row x14ac:dyDescent="0.25" r="2117" customHeight="1" ht="17.25">
      <c r="A2117" s="52"/>
      <c r="B2117" s="2"/>
      <c r="C2117" s="2"/>
      <c r="D2117" s="3"/>
      <c r="E2117" s="3"/>
      <c r="F2117" s="2"/>
      <c r="G2117" s="13">
        <f>IF($B2117="IN",$D2117,0)</f>
      </c>
      <c r="H2117" s="13">
        <f>IF($B2117="OUT",$D2117,0)</f>
      </c>
    </row>
    <row x14ac:dyDescent="0.25" r="2118" customHeight="1" ht="17.25">
      <c r="A2118" s="52"/>
      <c r="B2118" s="2"/>
      <c r="C2118" s="2"/>
      <c r="D2118" s="3"/>
      <c r="E2118" s="3"/>
      <c r="F2118" s="2"/>
      <c r="G2118" s="13">
        <f>IF($B2118="IN",$D2118,0)</f>
      </c>
      <c r="H2118" s="13">
        <f>IF($B2118="OUT",$D2118,0)</f>
      </c>
    </row>
    <row x14ac:dyDescent="0.25" r="2119" customHeight="1" ht="17.25">
      <c r="A2119" s="52"/>
      <c r="B2119" s="2"/>
      <c r="C2119" s="2"/>
      <c r="D2119" s="3"/>
      <c r="E2119" s="3"/>
      <c r="F2119" s="2"/>
      <c r="G2119" s="13">
        <f>IF($B2119="IN",$D2119,0)</f>
      </c>
      <c r="H2119" s="13">
        <f>IF($B2119="OUT",$D2119,0)</f>
      </c>
    </row>
    <row x14ac:dyDescent="0.25" r="2120" customHeight="1" ht="17.25">
      <c r="A2120" s="52"/>
      <c r="B2120" s="2"/>
      <c r="C2120" s="2"/>
      <c r="D2120" s="3"/>
      <c r="E2120" s="3"/>
      <c r="F2120" s="2"/>
      <c r="G2120" s="13">
        <f>IF($B2120="IN",$D2120,0)</f>
      </c>
      <c r="H2120" s="13">
        <f>IF($B2120="OUT",$D2120,0)</f>
      </c>
    </row>
    <row x14ac:dyDescent="0.25" r="2121" customHeight="1" ht="17.25">
      <c r="A2121" s="52"/>
      <c r="B2121" s="2"/>
      <c r="C2121" s="2"/>
      <c r="D2121" s="3"/>
      <c r="E2121" s="3"/>
      <c r="F2121" s="2"/>
      <c r="G2121" s="13">
        <f>IF($B2121="IN",$D2121,0)</f>
      </c>
      <c r="H2121" s="13">
        <f>IF($B2121="OUT",$D2121,0)</f>
      </c>
    </row>
    <row x14ac:dyDescent="0.25" r="2122" customHeight="1" ht="17.25">
      <c r="A2122" s="52"/>
      <c r="B2122" s="2"/>
      <c r="C2122" s="2"/>
      <c r="D2122" s="3"/>
      <c r="E2122" s="3"/>
      <c r="F2122" s="2"/>
      <c r="G2122" s="13">
        <f>IF($B2122="IN",$D2122,0)</f>
      </c>
      <c r="H2122" s="13">
        <f>IF($B2122="OUT",$D2122,0)</f>
      </c>
    </row>
    <row x14ac:dyDescent="0.25" r="2123" customHeight="1" ht="17.25">
      <c r="A2123" s="52"/>
      <c r="B2123" s="2"/>
      <c r="C2123" s="2"/>
      <c r="D2123" s="3"/>
      <c r="E2123" s="3"/>
      <c r="F2123" s="2"/>
      <c r="G2123" s="13">
        <f>IF($B2123="IN",$D2123,0)</f>
      </c>
      <c r="H2123" s="13">
        <f>IF($B2123="OUT",$D2123,0)</f>
      </c>
    </row>
    <row x14ac:dyDescent="0.25" r="2124" customHeight="1" ht="17.25">
      <c r="A2124" s="52"/>
      <c r="B2124" s="2"/>
      <c r="C2124" s="2"/>
      <c r="D2124" s="3"/>
      <c r="E2124" s="3"/>
      <c r="F2124" s="2"/>
      <c r="G2124" s="13">
        <f>IF($B2124="IN",$D2124,0)</f>
      </c>
      <c r="H2124" s="13">
        <f>IF($B2124="OUT",$D2124,0)</f>
      </c>
    </row>
    <row x14ac:dyDescent="0.25" r="2125" customHeight="1" ht="17.25">
      <c r="A2125" s="52"/>
      <c r="B2125" s="2"/>
      <c r="C2125" s="2"/>
      <c r="D2125" s="3"/>
      <c r="E2125" s="3"/>
      <c r="F2125" s="2"/>
      <c r="G2125" s="13">
        <f>IF($B2125="IN",$D2125,0)</f>
      </c>
      <c r="H2125" s="13">
        <f>IF($B2125="OUT",$D2125,0)</f>
      </c>
    </row>
    <row x14ac:dyDescent="0.25" r="2126" customHeight="1" ht="17.25">
      <c r="A2126" s="52"/>
      <c r="B2126" s="2"/>
      <c r="C2126" s="2"/>
      <c r="D2126" s="3"/>
      <c r="E2126" s="3"/>
      <c r="F2126" s="2"/>
      <c r="G2126" s="13">
        <f>IF($B2126="IN",$D2126,0)</f>
      </c>
      <c r="H2126" s="13">
        <f>IF($B2126="OUT",$D2126,0)</f>
      </c>
    </row>
    <row x14ac:dyDescent="0.25" r="2127" customHeight="1" ht="17.25">
      <c r="A2127" s="52"/>
      <c r="B2127" s="2"/>
      <c r="C2127" s="2"/>
      <c r="D2127" s="3"/>
      <c r="E2127" s="3"/>
      <c r="F2127" s="2"/>
      <c r="G2127" s="13">
        <f>IF($B2127="IN",$D2127,0)</f>
      </c>
      <c r="H2127" s="13">
        <f>IF($B2127="OUT",$D2127,0)</f>
      </c>
    </row>
    <row x14ac:dyDescent="0.25" r="2128" customHeight="1" ht="17.25">
      <c r="A2128" s="52"/>
      <c r="B2128" s="2"/>
      <c r="C2128" s="2"/>
      <c r="D2128" s="3"/>
      <c r="E2128" s="3"/>
      <c r="F2128" s="2"/>
      <c r="G2128" s="13">
        <f>IF($B2128="IN",$D2128,0)</f>
      </c>
      <c r="H2128" s="13">
        <f>IF($B2128="OUT",$D2128,0)</f>
      </c>
    </row>
    <row x14ac:dyDescent="0.25" r="2129" customHeight="1" ht="17.25">
      <c r="A2129" s="52"/>
      <c r="B2129" s="2"/>
      <c r="C2129" s="2"/>
      <c r="D2129" s="3"/>
      <c r="E2129" s="3"/>
      <c r="F2129" s="2"/>
      <c r="G2129" s="13">
        <f>IF($B2129="IN",$D2129,0)</f>
      </c>
      <c r="H2129" s="13">
        <f>IF($B2129="OUT",$D2129,0)</f>
      </c>
    </row>
    <row x14ac:dyDescent="0.25" r="2130" customHeight="1" ht="17.25">
      <c r="A2130" s="52"/>
      <c r="B2130" s="2"/>
      <c r="C2130" s="2"/>
      <c r="D2130" s="3"/>
      <c r="E2130" s="3"/>
      <c r="F2130" s="2"/>
      <c r="G2130" s="13">
        <f>IF($B2130="IN",$D2130,0)</f>
      </c>
      <c r="H2130" s="13">
        <f>IF($B2130="OUT",$D2130,0)</f>
      </c>
    </row>
    <row x14ac:dyDescent="0.25" r="2131" customHeight="1" ht="17.25">
      <c r="A2131" s="52"/>
      <c r="B2131" s="2"/>
      <c r="C2131" s="2"/>
      <c r="D2131" s="3"/>
      <c r="E2131" s="3"/>
      <c r="F2131" s="2"/>
      <c r="G2131" s="13">
        <f>IF($B2131="IN",$D2131,0)</f>
      </c>
      <c r="H2131" s="13">
        <f>IF($B2131="OUT",$D2131,0)</f>
      </c>
    </row>
    <row x14ac:dyDescent="0.25" r="2132" customHeight="1" ht="17.25">
      <c r="A2132" s="52"/>
      <c r="B2132" s="2"/>
      <c r="C2132" s="2"/>
      <c r="D2132" s="3"/>
      <c r="E2132" s="3"/>
      <c r="F2132" s="2"/>
      <c r="G2132" s="13">
        <f>IF($B2132="IN",$D2132,0)</f>
      </c>
      <c r="H2132" s="13">
        <f>IF($B2132="OUT",$D2132,0)</f>
      </c>
    </row>
    <row x14ac:dyDescent="0.25" r="2133" customHeight="1" ht="17.25">
      <c r="A2133" s="52"/>
      <c r="B2133" s="2"/>
      <c r="C2133" s="2"/>
      <c r="D2133" s="3"/>
      <c r="E2133" s="3"/>
      <c r="F2133" s="2"/>
      <c r="G2133" s="13">
        <f>IF($B2133="IN",$D2133,0)</f>
      </c>
      <c r="H2133" s="13">
        <f>IF($B2133="OUT",$D2133,0)</f>
      </c>
    </row>
    <row x14ac:dyDescent="0.25" r="2134" customHeight="1" ht="17.25">
      <c r="A2134" s="52"/>
      <c r="B2134" s="2"/>
      <c r="C2134" s="2"/>
      <c r="D2134" s="3"/>
      <c r="E2134" s="3"/>
      <c r="F2134" s="2"/>
      <c r="G2134" s="13">
        <f>IF($B2134="IN",$D2134,0)</f>
      </c>
      <c r="H2134" s="13">
        <f>IF($B2134="OUT",$D2134,0)</f>
      </c>
    </row>
    <row x14ac:dyDescent="0.25" r="2135" customHeight="1" ht="17.25">
      <c r="A2135" s="52"/>
      <c r="B2135" s="2"/>
      <c r="C2135" s="2"/>
      <c r="D2135" s="3"/>
      <c r="E2135" s="3"/>
      <c r="F2135" s="2"/>
      <c r="G2135" s="13">
        <f>IF($B2135="IN",$D2135,0)</f>
      </c>
      <c r="H2135" s="13">
        <f>IF($B2135="OUT",$D2135,0)</f>
      </c>
    </row>
    <row x14ac:dyDescent="0.25" r="2136" customHeight="1" ht="17.25">
      <c r="A2136" s="52"/>
      <c r="B2136" s="2"/>
      <c r="C2136" s="2"/>
      <c r="D2136" s="3"/>
      <c r="E2136" s="3"/>
      <c r="F2136" s="2"/>
      <c r="G2136" s="13">
        <f>IF($B2136="IN",$D2136,0)</f>
      </c>
      <c r="H2136" s="13">
        <f>IF($B2136="OUT",$D2136,0)</f>
      </c>
    </row>
    <row x14ac:dyDescent="0.25" r="2137" customHeight="1" ht="17.25">
      <c r="A2137" s="52"/>
      <c r="B2137" s="2"/>
      <c r="C2137" s="2"/>
      <c r="D2137" s="3"/>
      <c r="E2137" s="3"/>
      <c r="F2137" s="2"/>
      <c r="G2137" s="13">
        <f>IF($B2137="IN",$D2137,0)</f>
      </c>
      <c r="H2137" s="13">
        <f>IF($B2137="OUT",$D2137,0)</f>
      </c>
    </row>
    <row x14ac:dyDescent="0.25" r="2138" customHeight="1" ht="17.25">
      <c r="A2138" s="52"/>
      <c r="B2138" s="2"/>
      <c r="C2138" s="2"/>
      <c r="D2138" s="3"/>
      <c r="E2138" s="3"/>
      <c r="F2138" s="2"/>
      <c r="G2138" s="13">
        <f>IF($B2138="IN",$D2138,0)</f>
      </c>
      <c r="H2138" s="13">
        <f>IF($B2138="OUT",$D2138,0)</f>
      </c>
    </row>
    <row x14ac:dyDescent="0.25" r="2139" customHeight="1" ht="17.25">
      <c r="A2139" s="52"/>
      <c r="B2139" s="2"/>
      <c r="C2139" s="2"/>
      <c r="D2139" s="3"/>
      <c r="E2139" s="3"/>
      <c r="F2139" s="2"/>
      <c r="G2139" s="13">
        <f>IF($B2139="IN",$D2139,0)</f>
      </c>
      <c r="H2139" s="13">
        <f>IF($B2139="OUT",$D2139,0)</f>
      </c>
    </row>
    <row x14ac:dyDescent="0.25" r="2140" customHeight="1" ht="17.25">
      <c r="A2140" s="52"/>
      <c r="B2140" s="2"/>
      <c r="C2140" s="2"/>
      <c r="D2140" s="3"/>
      <c r="E2140" s="3"/>
      <c r="F2140" s="2"/>
      <c r="G2140" s="13">
        <f>IF($B2140="IN",$D2140,0)</f>
      </c>
      <c r="H2140" s="13">
        <f>IF($B2140="OUT",$D2140,0)</f>
      </c>
    </row>
    <row x14ac:dyDescent="0.25" r="2141" customHeight="1" ht="17.25">
      <c r="A2141" s="52"/>
      <c r="B2141" s="2"/>
      <c r="C2141" s="2"/>
      <c r="D2141" s="3"/>
      <c r="E2141" s="3"/>
      <c r="F2141" s="2"/>
      <c r="G2141" s="13">
        <f>IF($B2141="IN",$D2141,0)</f>
      </c>
      <c r="H2141" s="13">
        <f>IF($B2141="OUT",$D2141,0)</f>
      </c>
    </row>
    <row x14ac:dyDescent="0.25" r="2142" customHeight="1" ht="17.25">
      <c r="A2142" s="52"/>
      <c r="B2142" s="2"/>
      <c r="C2142" s="2"/>
      <c r="D2142" s="3"/>
      <c r="E2142" s="3"/>
      <c r="F2142" s="2"/>
      <c r="G2142" s="13">
        <f>IF($B2142="IN",$D2142,0)</f>
      </c>
      <c r="H2142" s="13">
        <f>IF($B2142="OUT",$D2142,0)</f>
      </c>
    </row>
    <row x14ac:dyDescent="0.25" r="2143" customHeight="1" ht="17.25">
      <c r="A2143" s="52"/>
      <c r="B2143" s="2"/>
      <c r="C2143" s="2"/>
      <c r="D2143" s="3"/>
      <c r="E2143" s="3"/>
      <c r="F2143" s="2"/>
      <c r="G2143" s="13">
        <f>IF($B2143="IN",$D2143,0)</f>
      </c>
      <c r="H2143" s="13">
        <f>IF($B2143="OUT",$D2143,0)</f>
      </c>
    </row>
    <row x14ac:dyDescent="0.25" r="2144" customHeight="1" ht="17.25">
      <c r="A2144" s="52"/>
      <c r="B2144" s="2"/>
      <c r="C2144" s="2"/>
      <c r="D2144" s="3"/>
      <c r="E2144" s="3"/>
      <c r="F2144" s="2"/>
      <c r="G2144" s="13">
        <f>IF($B2144="IN",$D2144,0)</f>
      </c>
      <c r="H2144" s="13">
        <f>IF($B2144="OUT",$D2144,0)</f>
      </c>
    </row>
    <row x14ac:dyDescent="0.25" r="2145" customHeight="1" ht="17.25">
      <c r="A2145" s="52"/>
      <c r="B2145" s="2"/>
      <c r="C2145" s="2"/>
      <c r="D2145" s="3"/>
      <c r="E2145" s="3"/>
      <c r="F2145" s="2"/>
      <c r="G2145" s="13">
        <f>IF($B2145="IN",$D2145,0)</f>
      </c>
      <c r="H2145" s="13">
        <f>IF($B2145="OUT",$D2145,0)</f>
      </c>
    </row>
    <row x14ac:dyDescent="0.25" r="2146" customHeight="1" ht="17.25">
      <c r="A2146" s="52"/>
      <c r="B2146" s="2"/>
      <c r="C2146" s="2"/>
      <c r="D2146" s="3"/>
      <c r="E2146" s="3"/>
      <c r="F2146" s="2"/>
      <c r="G2146" s="13">
        <f>IF($B2146="IN",$D2146,0)</f>
      </c>
      <c r="H2146" s="13">
        <f>IF($B2146="OUT",$D2146,0)</f>
      </c>
    </row>
    <row x14ac:dyDescent="0.25" r="2147" customHeight="1" ht="17.25">
      <c r="A2147" s="52"/>
      <c r="B2147" s="2"/>
      <c r="C2147" s="2"/>
      <c r="D2147" s="3"/>
      <c r="E2147" s="3"/>
      <c r="F2147" s="2"/>
      <c r="G2147" s="13">
        <f>IF($B2147="IN",$D2147,0)</f>
      </c>
      <c r="H2147" s="13">
        <f>IF($B2147="OUT",$D2147,0)</f>
      </c>
    </row>
    <row x14ac:dyDescent="0.25" r="2148" customHeight="1" ht="17.25">
      <c r="A2148" s="52"/>
      <c r="B2148" s="2"/>
      <c r="C2148" s="2"/>
      <c r="D2148" s="3"/>
      <c r="E2148" s="3"/>
      <c r="F2148" s="2"/>
      <c r="G2148" s="13">
        <f>IF($B2148="IN",$D2148,0)</f>
      </c>
      <c r="H2148" s="13">
        <f>IF($B2148="OUT",$D2148,0)</f>
      </c>
    </row>
    <row x14ac:dyDescent="0.25" r="2149" customHeight="1" ht="17.25">
      <c r="A2149" s="52"/>
      <c r="B2149" s="2"/>
      <c r="C2149" s="2"/>
      <c r="D2149" s="3"/>
      <c r="E2149" s="3"/>
      <c r="F2149" s="2"/>
      <c r="G2149" s="13">
        <f>IF($B2149="IN",$D2149,0)</f>
      </c>
      <c r="H2149" s="13">
        <f>IF($B2149="OUT",$D2149,0)</f>
      </c>
    </row>
    <row x14ac:dyDescent="0.25" r="2150" customHeight="1" ht="17.25">
      <c r="A2150" s="52"/>
      <c r="B2150" s="2"/>
      <c r="C2150" s="2"/>
      <c r="D2150" s="3"/>
      <c r="E2150" s="3"/>
      <c r="F2150" s="2"/>
      <c r="G2150" s="13">
        <f>IF($B2150="IN",$D2150,0)</f>
      </c>
      <c r="H2150" s="13">
        <f>IF($B2150="OUT",$D2150,0)</f>
      </c>
    </row>
    <row x14ac:dyDescent="0.25" r="2151" customHeight="1" ht="17.25">
      <c r="A2151" s="52"/>
      <c r="B2151" s="2"/>
      <c r="C2151" s="2"/>
      <c r="D2151" s="3"/>
      <c r="E2151" s="3"/>
      <c r="F2151" s="2"/>
      <c r="G2151" s="13">
        <f>IF($B2151="IN",$D2151,0)</f>
      </c>
      <c r="H2151" s="13">
        <f>IF($B2151="OUT",$D2151,0)</f>
      </c>
    </row>
    <row x14ac:dyDescent="0.25" r="2152" customHeight="1" ht="17.25">
      <c r="A2152" s="52"/>
      <c r="B2152" s="2"/>
      <c r="C2152" s="2"/>
      <c r="D2152" s="3"/>
      <c r="E2152" s="3"/>
      <c r="F2152" s="2"/>
      <c r="G2152" s="13">
        <f>IF($B2152="IN",$D2152,0)</f>
      </c>
      <c r="H2152" s="13">
        <f>IF($B2152="OUT",$D2152,0)</f>
      </c>
    </row>
    <row x14ac:dyDescent="0.25" r="2153" customHeight="1" ht="17.25">
      <c r="A2153" s="52"/>
      <c r="B2153" s="2"/>
      <c r="C2153" s="2"/>
      <c r="D2153" s="3"/>
      <c r="E2153" s="3"/>
      <c r="F2153" s="2"/>
      <c r="G2153" s="13">
        <f>IF($B2153="IN",$D2153,0)</f>
      </c>
      <c r="H2153" s="13">
        <f>IF($B2153="OUT",$D2153,0)</f>
      </c>
    </row>
    <row x14ac:dyDescent="0.25" r="2154" customHeight="1" ht="17.25">
      <c r="A2154" s="52"/>
      <c r="B2154" s="2"/>
      <c r="C2154" s="2"/>
      <c r="D2154" s="3"/>
      <c r="E2154" s="3"/>
      <c r="F2154" s="2"/>
      <c r="G2154" s="13">
        <f>IF($B2154="IN",$D2154,0)</f>
      </c>
      <c r="H2154" s="13">
        <f>IF($B2154="OUT",$D2154,0)</f>
      </c>
    </row>
    <row x14ac:dyDescent="0.25" r="2155" customHeight="1" ht="17.25">
      <c r="A2155" s="52"/>
      <c r="B2155" s="2"/>
      <c r="C2155" s="2"/>
      <c r="D2155" s="3"/>
      <c r="E2155" s="3"/>
      <c r="F2155" s="2"/>
      <c r="G2155" s="13">
        <f>IF($B2155="IN",$D2155,0)</f>
      </c>
      <c r="H2155" s="13">
        <f>IF($B2155="OUT",$D2155,0)</f>
      </c>
    </row>
    <row x14ac:dyDescent="0.25" r="2156" customHeight="1" ht="17.25">
      <c r="A2156" s="52"/>
      <c r="B2156" s="2"/>
      <c r="C2156" s="2"/>
      <c r="D2156" s="3"/>
      <c r="E2156" s="3"/>
      <c r="F2156" s="2"/>
      <c r="G2156" s="13">
        <f>IF($B2156="IN",$D2156,0)</f>
      </c>
      <c r="H2156" s="13">
        <f>IF($B2156="OUT",$D2156,0)</f>
      </c>
    </row>
    <row x14ac:dyDescent="0.25" r="2157" customHeight="1" ht="17.25">
      <c r="A2157" s="52"/>
      <c r="B2157" s="2"/>
      <c r="C2157" s="2"/>
      <c r="D2157" s="3"/>
      <c r="E2157" s="3"/>
      <c r="F2157" s="2"/>
      <c r="G2157" s="13">
        <f>IF($B2157="IN",$D2157,0)</f>
      </c>
      <c r="H2157" s="13">
        <f>IF($B2157="OUT",$D2157,0)</f>
      </c>
    </row>
    <row x14ac:dyDescent="0.25" r="2158" customHeight="1" ht="17.25">
      <c r="A2158" s="52"/>
      <c r="B2158" s="2"/>
      <c r="C2158" s="2"/>
      <c r="D2158" s="3"/>
      <c r="E2158" s="3"/>
      <c r="F2158" s="2"/>
      <c r="G2158" s="13">
        <f>IF($B2158="IN",$D2158,0)</f>
      </c>
      <c r="H2158" s="13">
        <f>IF($B2158="OUT",$D2158,0)</f>
      </c>
    </row>
    <row x14ac:dyDescent="0.25" r="2159" customHeight="1" ht="17.25">
      <c r="A2159" s="52"/>
      <c r="B2159" s="2"/>
      <c r="C2159" s="2"/>
      <c r="D2159" s="3"/>
      <c r="E2159" s="3"/>
      <c r="F2159" s="2"/>
      <c r="G2159" s="13">
        <f>IF($B2159="IN",$D2159,0)</f>
      </c>
      <c r="H2159" s="13">
        <f>IF($B2159="OUT",$D2159,0)</f>
      </c>
    </row>
    <row x14ac:dyDescent="0.25" r="2160" customHeight="1" ht="17.25">
      <c r="A2160" s="52"/>
      <c r="B2160" s="2"/>
      <c r="C2160" s="2"/>
      <c r="D2160" s="3"/>
      <c r="E2160" s="3"/>
      <c r="F2160" s="2"/>
      <c r="G2160" s="13">
        <f>IF($B2160="IN",$D2160,0)</f>
      </c>
      <c r="H2160" s="13">
        <f>IF($B2160="OUT",$D2160,0)</f>
      </c>
    </row>
    <row x14ac:dyDescent="0.25" r="2161" customHeight="1" ht="17.25">
      <c r="A2161" s="52"/>
      <c r="B2161" s="2"/>
      <c r="C2161" s="2"/>
      <c r="D2161" s="3"/>
      <c r="E2161" s="3"/>
      <c r="F2161" s="2"/>
      <c r="G2161" s="13">
        <f>IF($B2161="IN",$D2161,0)</f>
      </c>
      <c r="H2161" s="13">
        <f>IF($B2161="OUT",$D2161,0)</f>
      </c>
    </row>
    <row x14ac:dyDescent="0.25" r="2162" customHeight="1" ht="17.25">
      <c r="A2162" s="52"/>
      <c r="B2162" s="2"/>
      <c r="C2162" s="2"/>
      <c r="D2162" s="3"/>
      <c r="E2162" s="3"/>
      <c r="F2162" s="2"/>
      <c r="G2162" s="13">
        <f>IF($B2162="IN",$D2162,0)</f>
      </c>
      <c r="H2162" s="13">
        <f>IF($B2162="OUT",$D2162,0)</f>
      </c>
    </row>
    <row x14ac:dyDescent="0.25" r="2163" customHeight="1" ht="17.25">
      <c r="A2163" s="52"/>
      <c r="B2163" s="2"/>
      <c r="C2163" s="2"/>
      <c r="D2163" s="3"/>
      <c r="E2163" s="3"/>
      <c r="F2163" s="2"/>
      <c r="G2163" s="13">
        <f>IF($B2163="IN",$D2163,0)</f>
      </c>
      <c r="H2163" s="13">
        <f>IF($B2163="OUT",$D2163,0)</f>
      </c>
    </row>
    <row x14ac:dyDescent="0.25" r="2164" customHeight="1" ht="17.25">
      <c r="A2164" s="52"/>
      <c r="B2164" s="2"/>
      <c r="C2164" s="2"/>
      <c r="D2164" s="3"/>
      <c r="E2164" s="3"/>
      <c r="F2164" s="2"/>
      <c r="G2164" s="13">
        <f>IF($B2164="IN",$D2164,0)</f>
      </c>
      <c r="H2164" s="13">
        <f>IF($B2164="OUT",$D2164,0)</f>
      </c>
    </row>
    <row x14ac:dyDescent="0.25" r="2165" customHeight="1" ht="17.25">
      <c r="A2165" s="52"/>
      <c r="B2165" s="2"/>
      <c r="C2165" s="2"/>
      <c r="D2165" s="3"/>
      <c r="E2165" s="3"/>
      <c r="F2165" s="2"/>
      <c r="G2165" s="13">
        <f>IF($B2165="IN",$D2165,0)</f>
      </c>
      <c r="H2165" s="13">
        <f>IF($B2165="OUT",$D2165,0)</f>
      </c>
    </row>
    <row x14ac:dyDescent="0.25" r="2166" customHeight="1" ht="17.25">
      <c r="A2166" s="52"/>
      <c r="B2166" s="2"/>
      <c r="C2166" s="2"/>
      <c r="D2166" s="3"/>
      <c r="E2166" s="3"/>
      <c r="F2166" s="2"/>
      <c r="G2166" s="13">
        <f>IF($B2166="IN",$D2166,0)</f>
      </c>
      <c r="H2166" s="13">
        <f>IF($B2166="OUT",$D2166,0)</f>
      </c>
    </row>
    <row x14ac:dyDescent="0.25" r="2167" customHeight="1" ht="17.25">
      <c r="A2167" s="52"/>
      <c r="B2167" s="2"/>
      <c r="C2167" s="2"/>
      <c r="D2167" s="3"/>
      <c r="E2167" s="3"/>
      <c r="F2167" s="2"/>
      <c r="G2167" s="13">
        <f>IF($B2167="IN",$D2167,0)</f>
      </c>
      <c r="H2167" s="13">
        <f>IF($B2167="OUT",$D2167,0)</f>
      </c>
    </row>
    <row x14ac:dyDescent="0.25" r="2168" customHeight="1" ht="17.25">
      <c r="A2168" s="52"/>
      <c r="B2168" s="2"/>
      <c r="C2168" s="2"/>
      <c r="D2168" s="3"/>
      <c r="E2168" s="3"/>
      <c r="F2168" s="2"/>
      <c r="G2168" s="13">
        <f>IF($B2168="IN",$D2168,0)</f>
      </c>
      <c r="H2168" s="13">
        <f>IF($B2168="OUT",$D2168,0)</f>
      </c>
    </row>
    <row x14ac:dyDescent="0.25" r="2169" customHeight="1" ht="17.25">
      <c r="A2169" s="52"/>
      <c r="B2169" s="2"/>
      <c r="C2169" s="2"/>
      <c r="D2169" s="3"/>
      <c r="E2169" s="3"/>
      <c r="F2169" s="2"/>
      <c r="G2169" s="13">
        <f>IF($B2169="IN",$D2169,0)</f>
      </c>
      <c r="H2169" s="13">
        <f>IF($B2169="OUT",$D2169,0)</f>
      </c>
    </row>
    <row x14ac:dyDescent="0.25" r="2170" customHeight="1" ht="17.25">
      <c r="A2170" s="52"/>
      <c r="B2170" s="2"/>
      <c r="C2170" s="2"/>
      <c r="D2170" s="3"/>
      <c r="E2170" s="3"/>
      <c r="F2170" s="2"/>
      <c r="G2170" s="13">
        <f>IF($B2170="IN",$D2170,0)</f>
      </c>
      <c r="H2170" s="13">
        <f>IF($B2170="OUT",$D2170,0)</f>
      </c>
    </row>
    <row x14ac:dyDescent="0.25" r="2171" customHeight="1" ht="17.25">
      <c r="A2171" s="52"/>
      <c r="B2171" s="2"/>
      <c r="C2171" s="2"/>
      <c r="D2171" s="3"/>
      <c r="E2171" s="3"/>
      <c r="F2171" s="2"/>
      <c r="G2171" s="13">
        <f>IF($B2171="IN",$D2171,0)</f>
      </c>
      <c r="H2171" s="13">
        <f>IF($B2171="OUT",$D2171,0)</f>
      </c>
    </row>
    <row x14ac:dyDescent="0.25" r="2172" customHeight="1" ht="17.25">
      <c r="A2172" s="52"/>
      <c r="B2172" s="2"/>
      <c r="C2172" s="2"/>
      <c r="D2172" s="3"/>
      <c r="E2172" s="3"/>
      <c r="F2172" s="2"/>
      <c r="G2172" s="13">
        <f>IF($B2172="IN",$D2172,0)</f>
      </c>
      <c r="H2172" s="13">
        <f>IF($B2172="OUT",$D2172,0)</f>
      </c>
    </row>
    <row x14ac:dyDescent="0.25" r="2173" customHeight="1" ht="17.25">
      <c r="A2173" s="52"/>
      <c r="B2173" s="2"/>
      <c r="C2173" s="2"/>
      <c r="D2173" s="3"/>
      <c r="E2173" s="3"/>
      <c r="F2173" s="2"/>
      <c r="G2173" s="13">
        <f>IF($B2173="IN",$D2173,0)</f>
      </c>
      <c r="H2173" s="13">
        <f>IF($B2173="OUT",$D2173,0)</f>
      </c>
    </row>
    <row x14ac:dyDescent="0.25" r="2174" customHeight="1" ht="17.25">
      <c r="A2174" s="52"/>
      <c r="B2174" s="2"/>
      <c r="C2174" s="2"/>
      <c r="D2174" s="3"/>
      <c r="E2174" s="3"/>
      <c r="F2174" s="2"/>
      <c r="G2174" s="13">
        <f>IF($B2174="IN",$D2174,0)</f>
      </c>
      <c r="H2174" s="13">
        <f>IF($B2174="OUT",$D2174,0)</f>
      </c>
    </row>
    <row x14ac:dyDescent="0.25" r="2175" customHeight="1" ht="17.25">
      <c r="A2175" s="52"/>
      <c r="B2175" s="2"/>
      <c r="C2175" s="2"/>
      <c r="D2175" s="3"/>
      <c r="E2175" s="3"/>
      <c r="F2175" s="2"/>
      <c r="G2175" s="13">
        <f>IF($B2175="IN",$D2175,0)</f>
      </c>
      <c r="H2175" s="13">
        <f>IF($B2175="OUT",$D2175,0)</f>
      </c>
    </row>
    <row x14ac:dyDescent="0.25" r="2176" customHeight="1" ht="17.25">
      <c r="A2176" s="52"/>
      <c r="B2176" s="2"/>
      <c r="C2176" s="2"/>
      <c r="D2176" s="3"/>
      <c r="E2176" s="3"/>
      <c r="F2176" s="2"/>
      <c r="G2176" s="13">
        <f>IF($B2176="IN",$D2176,0)</f>
      </c>
      <c r="H2176" s="13">
        <f>IF($B2176="OUT",$D2176,0)</f>
      </c>
    </row>
    <row x14ac:dyDescent="0.25" r="2177" customHeight="1" ht="17.25">
      <c r="A2177" s="52"/>
      <c r="B2177" s="2"/>
      <c r="C2177" s="2"/>
      <c r="D2177" s="3"/>
      <c r="E2177" s="3"/>
      <c r="F2177" s="2"/>
      <c r="G2177" s="13">
        <f>IF($B2177="IN",$D2177,0)</f>
      </c>
      <c r="H2177" s="13">
        <f>IF($B2177="OUT",$D2177,0)</f>
      </c>
    </row>
    <row x14ac:dyDescent="0.25" r="2178" customHeight="1" ht="17.25">
      <c r="A2178" s="52"/>
      <c r="B2178" s="2"/>
      <c r="C2178" s="2"/>
      <c r="D2178" s="3"/>
      <c r="E2178" s="3"/>
      <c r="F2178" s="2"/>
      <c r="G2178" s="13">
        <f>IF($B2178="IN",$D2178,0)</f>
      </c>
      <c r="H2178" s="13">
        <f>IF($B2178="OUT",$D2178,0)</f>
      </c>
    </row>
    <row x14ac:dyDescent="0.25" r="2179" customHeight="1" ht="17.25">
      <c r="A2179" s="52"/>
      <c r="B2179" s="2"/>
      <c r="C2179" s="2"/>
      <c r="D2179" s="3"/>
      <c r="E2179" s="3"/>
      <c r="F2179" s="2"/>
      <c r="G2179" s="13">
        <f>IF($B2179="IN",$D2179,0)</f>
      </c>
      <c r="H2179" s="13">
        <f>IF($B2179="OUT",$D2179,0)</f>
      </c>
    </row>
    <row x14ac:dyDescent="0.25" r="2180" customHeight="1" ht="17.25">
      <c r="A2180" s="52"/>
      <c r="B2180" s="2"/>
      <c r="C2180" s="2"/>
      <c r="D2180" s="3"/>
      <c r="E2180" s="3"/>
      <c r="F2180" s="2"/>
      <c r="G2180" s="13">
        <f>IF($B2180="IN",$D2180,0)</f>
      </c>
      <c r="H2180" s="13">
        <f>IF($B2180="OUT",$D2180,0)</f>
      </c>
    </row>
    <row x14ac:dyDescent="0.25" r="2181" customHeight="1" ht="17.25">
      <c r="A2181" s="52"/>
      <c r="B2181" s="2"/>
      <c r="C2181" s="2"/>
      <c r="D2181" s="3"/>
      <c r="E2181" s="3"/>
      <c r="F2181" s="2"/>
      <c r="G2181" s="13">
        <f>IF($B2181="IN",$D2181,0)</f>
      </c>
      <c r="H2181" s="13">
        <f>IF($B2181="OUT",$D2181,0)</f>
      </c>
    </row>
    <row x14ac:dyDescent="0.25" r="2182" customHeight="1" ht="17.25">
      <c r="A2182" s="52"/>
      <c r="B2182" s="2"/>
      <c r="C2182" s="2"/>
      <c r="D2182" s="3"/>
      <c r="E2182" s="3"/>
      <c r="F2182" s="2"/>
      <c r="G2182" s="13">
        <f>IF($B2182="IN",$D2182,0)</f>
      </c>
      <c r="H2182" s="13">
        <f>IF($B2182="OUT",$D2182,0)</f>
      </c>
    </row>
    <row x14ac:dyDescent="0.25" r="2183" customHeight="1" ht="17.25">
      <c r="A2183" s="52"/>
      <c r="B2183" s="2"/>
      <c r="C2183" s="2"/>
      <c r="D2183" s="3"/>
      <c r="E2183" s="3"/>
      <c r="F2183" s="2"/>
      <c r="G2183" s="13">
        <f>IF($B2183="IN",$D2183,0)</f>
      </c>
      <c r="H2183" s="13">
        <f>IF($B2183="OUT",$D2183,0)</f>
      </c>
    </row>
    <row x14ac:dyDescent="0.25" r="2184" customHeight="1" ht="17.25">
      <c r="A2184" s="52"/>
      <c r="B2184" s="2"/>
      <c r="C2184" s="2"/>
      <c r="D2184" s="3"/>
      <c r="E2184" s="3"/>
      <c r="F2184" s="2"/>
      <c r="G2184" s="13">
        <f>IF($B2184="IN",$D2184,0)</f>
      </c>
      <c r="H2184" s="13">
        <f>IF($B2184="OUT",$D2184,0)</f>
      </c>
    </row>
    <row x14ac:dyDescent="0.25" r="2185" customHeight="1" ht="17.25">
      <c r="A2185" s="52"/>
      <c r="B2185" s="2"/>
      <c r="C2185" s="2"/>
      <c r="D2185" s="3"/>
      <c r="E2185" s="3"/>
      <c r="F2185" s="2"/>
      <c r="G2185" s="13">
        <f>IF($B2185="IN",$D2185,0)</f>
      </c>
      <c r="H2185" s="13">
        <f>IF($B2185="OUT",$D2185,0)</f>
      </c>
    </row>
    <row x14ac:dyDescent="0.25" r="2186" customHeight="1" ht="17.25">
      <c r="A2186" s="52"/>
      <c r="B2186" s="2"/>
      <c r="C2186" s="2"/>
      <c r="D2186" s="3"/>
      <c r="E2186" s="3"/>
      <c r="F2186" s="2"/>
      <c r="G2186" s="13">
        <f>IF($B2186="IN",$D2186,0)</f>
      </c>
      <c r="H2186" s="13">
        <f>IF($B2186="OUT",$D2186,0)</f>
      </c>
    </row>
    <row x14ac:dyDescent="0.25" r="2187" customHeight="1" ht="17.25">
      <c r="A2187" s="52"/>
      <c r="B2187" s="2"/>
      <c r="C2187" s="2"/>
      <c r="D2187" s="3"/>
      <c r="E2187" s="3"/>
      <c r="F2187" s="2"/>
      <c r="G2187" s="13">
        <f>IF($B2187="IN",$D2187,0)</f>
      </c>
      <c r="H2187" s="13">
        <f>IF($B2187="OUT",$D2187,0)</f>
      </c>
    </row>
    <row x14ac:dyDescent="0.25" r="2188" customHeight="1" ht="17.25">
      <c r="A2188" s="52"/>
      <c r="B2188" s="2"/>
      <c r="C2188" s="2"/>
      <c r="D2188" s="3"/>
      <c r="E2188" s="3"/>
      <c r="F2188" s="2"/>
      <c r="G2188" s="13">
        <f>IF($B2188="IN",$D2188,0)</f>
      </c>
      <c r="H2188" s="13">
        <f>IF($B2188="OUT",$D2188,0)</f>
      </c>
    </row>
    <row x14ac:dyDescent="0.25" r="2189" customHeight="1" ht="17.25">
      <c r="A2189" s="52"/>
      <c r="B2189" s="2"/>
      <c r="C2189" s="2"/>
      <c r="D2189" s="3"/>
      <c r="E2189" s="3"/>
      <c r="F2189" s="2"/>
      <c r="G2189" s="13">
        <f>IF($B2189="IN",$D2189,0)</f>
      </c>
      <c r="H2189" s="13">
        <f>IF($B2189="OUT",$D2189,0)</f>
      </c>
    </row>
    <row x14ac:dyDescent="0.25" r="2190" customHeight="1" ht="17.25">
      <c r="A2190" s="52"/>
      <c r="B2190" s="2"/>
      <c r="C2190" s="2"/>
      <c r="D2190" s="3"/>
      <c r="E2190" s="3"/>
      <c r="F2190" s="2"/>
      <c r="G2190" s="13">
        <f>IF($B2190="IN",$D2190,0)</f>
      </c>
      <c r="H2190" s="13">
        <f>IF($B2190="OUT",$D2190,0)</f>
      </c>
    </row>
    <row x14ac:dyDescent="0.25" r="2191" customHeight="1" ht="17.25">
      <c r="A2191" s="52"/>
      <c r="B2191" s="2"/>
      <c r="C2191" s="2"/>
      <c r="D2191" s="3"/>
      <c r="E2191" s="3"/>
      <c r="F2191" s="2"/>
      <c r="G2191" s="13">
        <f>IF($B2191="IN",$D2191,0)</f>
      </c>
      <c r="H2191" s="13">
        <f>IF($B2191="OUT",$D2191,0)</f>
      </c>
    </row>
    <row x14ac:dyDescent="0.25" r="2192" customHeight="1" ht="17.25">
      <c r="A2192" s="52"/>
      <c r="B2192" s="2"/>
      <c r="C2192" s="2"/>
      <c r="D2192" s="3"/>
      <c r="E2192" s="3"/>
      <c r="F2192" s="2"/>
      <c r="G2192" s="13">
        <f>IF($B2192="IN",$D2192,0)</f>
      </c>
      <c r="H2192" s="13">
        <f>IF($B2192="OUT",$D2192,0)</f>
      </c>
    </row>
    <row x14ac:dyDescent="0.25" r="2193" customHeight="1" ht="17.25">
      <c r="A2193" s="52"/>
      <c r="B2193" s="2"/>
      <c r="C2193" s="2"/>
      <c r="D2193" s="3"/>
      <c r="E2193" s="3"/>
      <c r="F2193" s="2"/>
      <c r="G2193" s="13">
        <f>IF($B2193="IN",$D2193,0)</f>
      </c>
      <c r="H2193" s="13">
        <f>IF($B2193="OUT",$D2193,0)</f>
      </c>
    </row>
    <row x14ac:dyDescent="0.25" r="2194" customHeight="1" ht="17.25">
      <c r="A2194" s="52"/>
      <c r="B2194" s="2"/>
      <c r="C2194" s="2"/>
      <c r="D2194" s="3"/>
      <c r="E2194" s="3"/>
      <c r="F2194" s="2"/>
      <c r="G2194" s="13">
        <f>IF($B2194="IN",$D2194,0)</f>
      </c>
      <c r="H2194" s="13">
        <f>IF($B2194="OUT",$D2194,0)</f>
      </c>
    </row>
    <row x14ac:dyDescent="0.25" r="2195" customHeight="1" ht="17.25">
      <c r="A2195" s="52"/>
      <c r="B2195" s="2"/>
      <c r="C2195" s="2"/>
      <c r="D2195" s="3"/>
      <c r="E2195" s="3"/>
      <c r="F2195" s="2"/>
      <c r="G2195" s="13">
        <f>IF($B2195="IN",$D2195,0)</f>
      </c>
      <c r="H2195" s="13">
        <f>IF($B2195="OUT",$D2195,0)</f>
      </c>
    </row>
    <row x14ac:dyDescent="0.25" r="2196" customHeight="1" ht="17.25">
      <c r="A2196" s="52"/>
      <c r="B2196" s="2"/>
      <c r="C2196" s="2"/>
      <c r="D2196" s="3"/>
      <c r="E2196" s="3"/>
      <c r="F2196" s="2"/>
      <c r="G2196" s="13">
        <f>IF($B2196="IN",$D2196,0)</f>
      </c>
      <c r="H2196" s="13">
        <f>IF($B2196="OUT",$D2196,0)</f>
      </c>
    </row>
    <row x14ac:dyDescent="0.25" r="2197" customHeight="1" ht="17.25">
      <c r="A2197" s="52"/>
      <c r="B2197" s="2"/>
      <c r="C2197" s="2"/>
      <c r="D2197" s="3"/>
      <c r="E2197" s="3"/>
      <c r="F2197" s="2"/>
      <c r="G2197" s="13">
        <f>IF($B2197="IN",$D2197,0)</f>
      </c>
      <c r="H2197" s="13">
        <f>IF($B2197="OUT",$D2197,0)</f>
      </c>
    </row>
    <row x14ac:dyDescent="0.25" r="2198" customHeight="1" ht="17.25">
      <c r="A2198" s="52"/>
      <c r="B2198" s="2"/>
      <c r="C2198" s="2"/>
      <c r="D2198" s="3"/>
      <c r="E2198" s="3"/>
      <c r="F2198" s="2"/>
      <c r="G2198" s="13">
        <f>IF($B2198="IN",$D2198,0)</f>
      </c>
      <c r="H2198" s="13">
        <f>IF($B2198="OUT",$D2198,0)</f>
      </c>
    </row>
    <row x14ac:dyDescent="0.25" r="2199" customHeight="1" ht="17.25">
      <c r="A2199" s="52"/>
      <c r="B2199" s="2"/>
      <c r="C2199" s="2"/>
      <c r="D2199" s="3"/>
      <c r="E2199" s="3"/>
      <c r="F2199" s="2"/>
      <c r="G2199" s="13">
        <f>IF($B2199="IN",$D2199,0)</f>
      </c>
      <c r="H2199" s="13">
        <f>IF($B2199="OUT",$D2199,0)</f>
      </c>
    </row>
    <row x14ac:dyDescent="0.25" r="2200" customHeight="1" ht="17.25">
      <c r="A2200" s="52"/>
      <c r="B2200" s="2"/>
      <c r="C2200" s="2"/>
      <c r="D2200" s="3"/>
      <c r="E2200" s="3"/>
      <c r="F2200" s="2"/>
      <c r="G2200" s="13">
        <f>IF($B2200="IN",$D2200,0)</f>
      </c>
      <c r="H2200" s="13">
        <f>IF($B2200="OUT",$D2200,0)</f>
      </c>
    </row>
    <row x14ac:dyDescent="0.25" r="2201" customHeight="1" ht="17.25">
      <c r="A2201" s="52"/>
      <c r="B2201" s="2"/>
      <c r="C2201" s="2"/>
      <c r="D2201" s="3"/>
      <c r="E2201" s="3"/>
      <c r="F2201" s="2"/>
      <c r="G2201" s="13">
        <f>IF($B2201="IN",$D2201,0)</f>
      </c>
      <c r="H2201" s="13">
        <f>IF($B2201="OUT",$D2201,0)</f>
      </c>
    </row>
    <row x14ac:dyDescent="0.25" r="2202" customHeight="1" ht="17.25">
      <c r="A2202" s="52"/>
      <c r="B2202" s="2"/>
      <c r="C2202" s="2"/>
      <c r="D2202" s="3"/>
      <c r="E2202" s="3"/>
      <c r="F2202" s="2"/>
      <c r="G2202" s="13">
        <f>IF($B2202="IN",$D2202,0)</f>
      </c>
      <c r="H2202" s="13">
        <f>IF($B2202="OUT",$D2202,0)</f>
      </c>
    </row>
    <row x14ac:dyDescent="0.25" r="2203" customHeight="1" ht="17.25">
      <c r="A2203" s="52"/>
      <c r="B2203" s="2"/>
      <c r="C2203" s="2"/>
      <c r="D2203" s="3"/>
      <c r="E2203" s="3"/>
      <c r="F2203" s="2"/>
      <c r="G2203" s="13">
        <f>IF($B2203="IN",$D2203,0)</f>
      </c>
      <c r="H2203" s="13">
        <f>IF($B2203="OUT",$D2203,0)</f>
      </c>
    </row>
    <row x14ac:dyDescent="0.25" r="2204" customHeight="1" ht="17.25">
      <c r="A2204" s="52"/>
      <c r="B2204" s="2"/>
      <c r="C2204" s="2"/>
      <c r="D2204" s="3"/>
      <c r="E2204" s="3"/>
      <c r="F2204" s="2"/>
      <c r="G2204" s="13">
        <f>IF($B2204="IN",$D2204,0)</f>
      </c>
      <c r="H2204" s="13">
        <f>IF($B2204="OUT",$D2204,0)</f>
      </c>
    </row>
    <row x14ac:dyDescent="0.25" r="2205" customHeight="1" ht="17.25">
      <c r="A2205" s="52"/>
      <c r="B2205" s="2"/>
      <c r="C2205" s="2"/>
      <c r="D2205" s="3"/>
      <c r="E2205" s="3"/>
      <c r="F2205" s="2"/>
      <c r="G2205" s="13">
        <f>IF($B2205="IN",$D2205,0)</f>
      </c>
      <c r="H2205" s="13">
        <f>IF($B2205="OUT",$D2205,0)</f>
      </c>
    </row>
    <row x14ac:dyDescent="0.25" r="2206" customHeight="1" ht="17.25">
      <c r="A2206" s="52"/>
      <c r="B2206" s="2"/>
      <c r="C2206" s="2"/>
      <c r="D2206" s="3"/>
      <c r="E2206" s="3"/>
      <c r="F2206" s="2"/>
      <c r="G2206" s="13">
        <f>IF($B2206="IN",$D2206,0)</f>
      </c>
      <c r="H2206" s="13">
        <f>IF($B2206="OUT",$D2206,0)</f>
      </c>
    </row>
    <row x14ac:dyDescent="0.25" r="2207" customHeight="1" ht="17.25">
      <c r="A2207" s="52"/>
      <c r="B2207" s="2"/>
      <c r="C2207" s="2"/>
      <c r="D2207" s="3"/>
      <c r="E2207" s="3"/>
      <c r="F2207" s="2"/>
      <c r="G2207" s="13">
        <f>IF($B2207="IN",$D2207,0)</f>
      </c>
      <c r="H2207" s="13">
        <f>IF($B2207="OUT",$D2207,0)</f>
      </c>
    </row>
    <row x14ac:dyDescent="0.25" r="2208" customHeight="1" ht="17.25">
      <c r="A2208" s="52"/>
      <c r="B2208" s="2"/>
      <c r="C2208" s="2"/>
      <c r="D2208" s="3"/>
      <c r="E2208" s="3"/>
      <c r="F2208" s="2"/>
      <c r="G2208" s="13">
        <f>IF($B2208="IN",$D2208,0)</f>
      </c>
      <c r="H2208" s="13">
        <f>IF($B2208="OUT",$D2208,0)</f>
      </c>
    </row>
    <row x14ac:dyDescent="0.25" r="2209" customHeight="1" ht="17.25">
      <c r="A2209" s="52"/>
      <c r="B2209" s="2"/>
      <c r="C2209" s="2"/>
      <c r="D2209" s="3"/>
      <c r="E2209" s="3"/>
      <c r="F2209" s="2"/>
      <c r="G2209" s="13">
        <f>IF($B2209="IN",$D2209,0)</f>
      </c>
      <c r="H2209" s="13">
        <f>IF($B2209="OUT",$D2209,0)</f>
      </c>
    </row>
    <row x14ac:dyDescent="0.25" r="2210" customHeight="1" ht="17.25">
      <c r="A2210" s="52"/>
      <c r="B2210" s="2"/>
      <c r="C2210" s="2"/>
      <c r="D2210" s="3"/>
      <c r="E2210" s="3"/>
      <c r="F2210" s="2"/>
      <c r="G2210" s="13">
        <f>IF($B2210="IN",$D2210,0)</f>
      </c>
      <c r="H2210" s="13">
        <f>IF($B2210="OUT",$D2210,0)</f>
      </c>
    </row>
    <row x14ac:dyDescent="0.25" r="2211" customHeight="1" ht="17.25">
      <c r="A2211" s="52"/>
      <c r="B2211" s="2"/>
      <c r="C2211" s="2"/>
      <c r="D2211" s="3"/>
      <c r="E2211" s="3"/>
      <c r="F2211" s="2"/>
      <c r="G2211" s="13">
        <f>IF($B2211="IN",$D2211,0)</f>
      </c>
      <c r="H2211" s="13">
        <f>IF($B2211="OUT",$D2211,0)</f>
      </c>
    </row>
    <row x14ac:dyDescent="0.25" r="2212" customHeight="1" ht="17.25">
      <c r="A2212" s="52"/>
      <c r="B2212" s="2"/>
      <c r="C2212" s="2"/>
      <c r="D2212" s="3"/>
      <c r="E2212" s="3"/>
      <c r="F2212" s="2"/>
      <c r="G2212" s="13">
        <f>IF($B2212="IN",$D2212,0)</f>
      </c>
      <c r="H2212" s="13">
        <f>IF($B2212="OUT",$D2212,0)</f>
      </c>
    </row>
    <row x14ac:dyDescent="0.25" r="2213" customHeight="1" ht="17.25">
      <c r="A2213" s="52"/>
      <c r="B2213" s="2"/>
      <c r="C2213" s="2"/>
      <c r="D2213" s="3"/>
      <c r="E2213" s="3"/>
      <c r="F2213" s="2"/>
      <c r="G2213" s="13">
        <f>IF($B2213="IN",$D2213,0)</f>
      </c>
      <c r="H2213" s="13">
        <f>IF($B2213="OUT",$D2213,0)</f>
      </c>
    </row>
    <row x14ac:dyDescent="0.25" r="2214" customHeight="1" ht="17.25">
      <c r="A2214" s="52"/>
      <c r="B2214" s="2"/>
      <c r="C2214" s="2"/>
      <c r="D2214" s="3"/>
      <c r="E2214" s="3"/>
      <c r="F2214" s="2"/>
      <c r="G2214" s="13">
        <f>IF($B2214="IN",$D2214,0)</f>
      </c>
      <c r="H2214" s="13">
        <f>IF($B2214="OUT",$D2214,0)</f>
      </c>
    </row>
    <row x14ac:dyDescent="0.25" r="2215" customHeight="1" ht="17.25">
      <c r="A2215" s="52"/>
      <c r="B2215" s="2"/>
      <c r="C2215" s="2"/>
      <c r="D2215" s="3"/>
      <c r="E2215" s="3"/>
      <c r="F2215" s="2"/>
      <c r="G2215" s="13">
        <f>IF($B2215="IN",$D2215,0)</f>
      </c>
      <c r="H2215" s="13">
        <f>IF($B2215="OUT",$D2215,0)</f>
      </c>
    </row>
    <row x14ac:dyDescent="0.25" r="2216" customHeight="1" ht="17.25">
      <c r="A2216" s="52"/>
      <c r="B2216" s="2"/>
      <c r="C2216" s="2"/>
      <c r="D2216" s="3"/>
      <c r="E2216" s="3"/>
      <c r="F2216" s="2"/>
      <c r="G2216" s="13">
        <f>IF($B2216="IN",$D2216,0)</f>
      </c>
      <c r="H2216" s="13">
        <f>IF($B2216="OUT",$D2216,0)</f>
      </c>
    </row>
    <row x14ac:dyDescent="0.25" r="2217" customHeight="1" ht="17.25">
      <c r="A2217" s="52"/>
      <c r="B2217" s="2"/>
      <c r="C2217" s="2"/>
      <c r="D2217" s="3"/>
      <c r="E2217" s="3"/>
      <c r="F2217" s="2"/>
      <c r="G2217" s="13">
        <f>IF($B2217="IN",$D2217,0)</f>
      </c>
      <c r="H2217" s="13">
        <f>IF($B2217="OUT",$D2217,0)</f>
      </c>
    </row>
    <row x14ac:dyDescent="0.25" r="2218" customHeight="1" ht="17.25">
      <c r="A2218" s="52"/>
      <c r="B2218" s="2"/>
      <c r="C2218" s="2"/>
      <c r="D2218" s="3"/>
      <c r="E2218" s="3"/>
      <c r="F2218" s="2"/>
      <c r="G2218" s="13">
        <f>IF($B2218="IN",$D2218,0)</f>
      </c>
      <c r="H2218" s="13">
        <f>IF($B2218="OUT",$D2218,0)</f>
      </c>
    </row>
    <row x14ac:dyDescent="0.25" r="2219" customHeight="1" ht="17.25">
      <c r="A2219" s="52"/>
      <c r="B2219" s="2"/>
      <c r="C2219" s="2"/>
      <c r="D2219" s="3"/>
      <c r="E2219" s="3"/>
      <c r="F2219" s="2"/>
      <c r="G2219" s="13">
        <f>IF($B2219="IN",$D2219,0)</f>
      </c>
      <c r="H2219" s="13">
        <f>IF($B2219="OUT",$D2219,0)</f>
      </c>
    </row>
    <row x14ac:dyDescent="0.25" r="2220" customHeight="1" ht="17.25">
      <c r="A2220" s="52"/>
      <c r="B2220" s="2"/>
      <c r="C2220" s="2"/>
      <c r="D2220" s="3"/>
      <c r="E2220" s="3"/>
      <c r="F2220" s="2"/>
      <c r="G2220" s="13">
        <f>IF($B2220="IN",$D2220,0)</f>
      </c>
      <c r="H2220" s="13">
        <f>IF($B2220="OUT",$D2220,0)</f>
      </c>
    </row>
    <row x14ac:dyDescent="0.25" r="2221" customHeight="1" ht="17.25">
      <c r="A2221" s="52"/>
      <c r="B2221" s="2"/>
      <c r="C2221" s="2"/>
      <c r="D2221" s="3"/>
      <c r="E2221" s="3"/>
      <c r="F2221" s="2"/>
      <c r="G2221" s="13">
        <f>IF($B2221="IN",$D2221,0)</f>
      </c>
      <c r="H2221" s="13">
        <f>IF($B2221="OUT",$D2221,0)</f>
      </c>
    </row>
    <row x14ac:dyDescent="0.25" r="2222" customHeight="1" ht="17.25">
      <c r="A2222" s="52"/>
      <c r="B2222" s="2"/>
      <c r="C2222" s="2"/>
      <c r="D2222" s="3"/>
      <c r="E2222" s="3"/>
      <c r="F2222" s="2"/>
      <c r="G2222" s="13">
        <f>IF($B2222="IN",$D2222,0)</f>
      </c>
      <c r="H2222" s="13">
        <f>IF($B2222="OUT",$D2222,0)</f>
      </c>
    </row>
    <row x14ac:dyDescent="0.25" r="2223" customHeight="1" ht="17.25">
      <c r="A2223" s="52"/>
      <c r="B2223" s="2"/>
      <c r="C2223" s="2"/>
      <c r="D2223" s="3"/>
      <c r="E2223" s="3"/>
      <c r="F2223" s="2"/>
      <c r="G2223" s="13">
        <f>IF($B2223="IN",$D2223,0)</f>
      </c>
      <c r="H2223" s="13">
        <f>IF($B2223="OUT",$D2223,0)</f>
      </c>
    </row>
    <row x14ac:dyDescent="0.25" r="2224" customHeight="1" ht="17.25">
      <c r="A2224" s="52"/>
      <c r="B2224" s="2"/>
      <c r="C2224" s="2"/>
      <c r="D2224" s="3"/>
      <c r="E2224" s="3"/>
      <c r="F2224" s="2"/>
      <c r="G2224" s="13">
        <f>IF($B2224="IN",$D2224,0)</f>
      </c>
      <c r="H2224" s="13">
        <f>IF($B2224="OUT",$D2224,0)</f>
      </c>
    </row>
    <row x14ac:dyDescent="0.25" r="2225" customHeight="1" ht="17.25">
      <c r="A2225" s="52"/>
      <c r="B2225" s="2"/>
      <c r="C2225" s="2"/>
      <c r="D2225" s="3"/>
      <c r="E2225" s="3"/>
      <c r="F2225" s="2"/>
      <c r="G2225" s="13">
        <f>IF($B2225="IN",$D2225,0)</f>
      </c>
      <c r="H2225" s="13">
        <f>IF($B2225="OUT",$D2225,0)</f>
      </c>
    </row>
    <row x14ac:dyDescent="0.25" r="2226" customHeight="1" ht="17.25">
      <c r="A2226" s="52"/>
      <c r="B2226" s="2"/>
      <c r="C2226" s="2"/>
      <c r="D2226" s="3"/>
      <c r="E2226" s="3"/>
      <c r="F2226" s="2"/>
      <c r="G2226" s="13">
        <f>IF($B2226="IN",$D2226,0)</f>
      </c>
      <c r="H2226" s="13">
        <f>IF($B2226="OUT",$D2226,0)</f>
      </c>
    </row>
    <row x14ac:dyDescent="0.25" r="2227" customHeight="1" ht="17.25">
      <c r="A2227" s="52"/>
      <c r="B2227" s="2"/>
      <c r="C2227" s="2"/>
      <c r="D2227" s="3"/>
      <c r="E2227" s="3"/>
      <c r="F2227" s="2"/>
      <c r="G2227" s="13">
        <f>IF($B2227="IN",$D2227,0)</f>
      </c>
      <c r="H2227" s="13">
        <f>IF($B2227="OUT",$D2227,0)</f>
      </c>
    </row>
    <row x14ac:dyDescent="0.25" r="2228" customHeight="1" ht="17.25">
      <c r="A2228" s="52"/>
      <c r="B2228" s="2"/>
      <c r="C2228" s="2"/>
      <c r="D2228" s="3"/>
      <c r="E2228" s="3"/>
      <c r="F2228" s="2"/>
      <c r="G2228" s="13">
        <f>IF($B2228="IN",$D2228,0)</f>
      </c>
      <c r="H2228" s="13">
        <f>IF($B2228="OUT",$D2228,0)</f>
      </c>
    </row>
    <row x14ac:dyDescent="0.25" r="2229" customHeight="1" ht="17.25">
      <c r="A2229" s="52"/>
      <c r="B2229" s="2"/>
      <c r="C2229" s="2"/>
      <c r="D2229" s="3"/>
      <c r="E2229" s="3"/>
      <c r="F2229" s="2"/>
      <c r="G2229" s="13">
        <f>IF($B2229="IN",$D2229,0)</f>
      </c>
      <c r="H2229" s="13">
        <f>IF($B2229="OUT",$D2229,0)</f>
      </c>
    </row>
    <row x14ac:dyDescent="0.25" r="2230" customHeight="1" ht="17.25">
      <c r="A2230" s="52"/>
      <c r="B2230" s="2"/>
      <c r="C2230" s="2"/>
      <c r="D2230" s="3"/>
      <c r="E2230" s="3"/>
      <c r="F2230" s="2"/>
      <c r="G2230" s="13">
        <f>IF($B2230="IN",$D2230,0)</f>
      </c>
      <c r="H2230" s="13">
        <f>IF($B2230="OUT",$D2230,0)</f>
      </c>
    </row>
    <row x14ac:dyDescent="0.25" r="2231" customHeight="1" ht="17.25">
      <c r="A2231" s="52"/>
      <c r="B2231" s="2"/>
      <c r="C2231" s="2"/>
      <c r="D2231" s="3"/>
      <c r="E2231" s="3"/>
      <c r="F2231" s="2"/>
      <c r="G2231" s="13">
        <f>IF($B2231="IN",$D2231,0)</f>
      </c>
      <c r="H2231" s="13">
        <f>IF($B2231="OUT",$D2231,0)</f>
      </c>
    </row>
    <row x14ac:dyDescent="0.25" r="2232" customHeight="1" ht="17.25">
      <c r="A2232" s="52"/>
      <c r="B2232" s="2"/>
      <c r="C2232" s="2"/>
      <c r="D2232" s="3"/>
      <c r="E2232" s="3"/>
      <c r="F2232" s="2"/>
      <c r="G2232" s="13">
        <f>IF($B2232="IN",$D2232,0)</f>
      </c>
      <c r="H2232" s="13">
        <f>IF($B2232="OUT",$D2232,0)</f>
      </c>
    </row>
    <row x14ac:dyDescent="0.25" r="2233" customHeight="1" ht="17.25">
      <c r="A2233" s="52"/>
      <c r="B2233" s="2"/>
      <c r="C2233" s="2"/>
      <c r="D2233" s="3"/>
      <c r="E2233" s="3"/>
      <c r="F2233" s="2"/>
      <c r="G2233" s="13">
        <f>IF($B2233="IN",$D2233,0)</f>
      </c>
      <c r="H2233" s="13">
        <f>IF($B2233="OUT",$D2233,0)</f>
      </c>
    </row>
    <row x14ac:dyDescent="0.25" r="2234" customHeight="1" ht="17.25">
      <c r="A2234" s="52"/>
      <c r="B2234" s="2"/>
      <c r="C2234" s="2"/>
      <c r="D2234" s="3"/>
      <c r="E2234" s="3"/>
      <c r="F2234" s="2"/>
      <c r="G2234" s="13">
        <f>IF($B2234="IN",$D2234,0)</f>
      </c>
      <c r="H2234" s="13">
        <f>IF($B2234="OUT",$D2234,0)</f>
      </c>
    </row>
    <row x14ac:dyDescent="0.25" r="2235" customHeight="1" ht="17.25">
      <c r="A2235" s="52"/>
      <c r="B2235" s="2"/>
      <c r="C2235" s="2"/>
      <c r="D2235" s="3"/>
      <c r="E2235" s="3"/>
      <c r="F2235" s="2"/>
      <c r="G2235" s="13">
        <f>IF($B2235="IN",$D2235,0)</f>
      </c>
      <c r="H2235" s="13">
        <f>IF($B2235="OUT",$D2235,0)</f>
      </c>
    </row>
    <row x14ac:dyDescent="0.25" r="2236" customHeight="1" ht="17.25">
      <c r="A2236" s="52"/>
      <c r="B2236" s="2"/>
      <c r="C2236" s="2"/>
      <c r="D2236" s="3"/>
      <c r="E2236" s="3"/>
      <c r="F2236" s="2"/>
      <c r="G2236" s="13">
        <f>IF($B2236="IN",$D2236,0)</f>
      </c>
      <c r="H2236" s="13">
        <f>IF($B2236="OUT",$D2236,0)</f>
      </c>
    </row>
    <row x14ac:dyDescent="0.25" r="2237" customHeight="1" ht="17.25">
      <c r="A2237" s="52"/>
      <c r="B2237" s="2"/>
      <c r="C2237" s="2"/>
      <c r="D2237" s="3"/>
      <c r="E2237" s="3"/>
      <c r="F2237" s="2"/>
      <c r="G2237" s="13">
        <f>IF($B2237="IN",$D2237,0)</f>
      </c>
      <c r="H2237" s="13">
        <f>IF($B2237="OUT",$D2237,0)</f>
      </c>
    </row>
    <row x14ac:dyDescent="0.25" r="2238" customHeight="1" ht="17.25">
      <c r="A2238" s="52"/>
      <c r="B2238" s="2"/>
      <c r="C2238" s="2"/>
      <c r="D2238" s="3"/>
      <c r="E2238" s="3"/>
      <c r="F2238" s="2"/>
      <c r="G2238" s="13">
        <f>IF($B2238="IN",$D2238,0)</f>
      </c>
      <c r="H2238" s="13">
        <f>IF($B2238="OUT",$D2238,0)</f>
      </c>
    </row>
    <row x14ac:dyDescent="0.25" r="2239" customHeight="1" ht="17.25">
      <c r="A2239" s="52"/>
      <c r="B2239" s="2"/>
      <c r="C2239" s="2"/>
      <c r="D2239" s="3"/>
      <c r="E2239" s="3"/>
      <c r="F2239" s="2"/>
      <c r="G2239" s="13">
        <f>IF($B2239="IN",$D2239,0)</f>
      </c>
      <c r="H2239" s="13">
        <f>IF($B2239="OUT",$D2239,0)</f>
      </c>
    </row>
    <row x14ac:dyDescent="0.25" r="2240" customHeight="1" ht="17.25">
      <c r="A2240" s="52"/>
      <c r="B2240" s="2"/>
      <c r="C2240" s="2"/>
      <c r="D2240" s="3"/>
      <c r="E2240" s="3"/>
      <c r="F2240" s="2"/>
      <c r="G2240" s="13">
        <f>IF($B2240="IN",$D2240,0)</f>
      </c>
      <c r="H2240" s="13">
        <f>IF($B2240="OUT",$D2240,0)</f>
      </c>
    </row>
    <row x14ac:dyDescent="0.25" r="2241" customHeight="1" ht="17.25">
      <c r="A2241" s="52"/>
      <c r="B2241" s="2"/>
      <c r="C2241" s="2"/>
      <c r="D2241" s="3"/>
      <c r="E2241" s="3"/>
      <c r="F2241" s="2"/>
      <c r="G2241" s="13">
        <f>IF($B2241="IN",$D2241,0)</f>
      </c>
      <c r="H2241" s="13">
        <f>IF($B2241="OUT",$D2241,0)</f>
      </c>
    </row>
    <row x14ac:dyDescent="0.25" r="2242" customHeight="1" ht="17.25">
      <c r="A2242" s="52"/>
      <c r="B2242" s="2"/>
      <c r="C2242" s="2"/>
      <c r="D2242" s="3"/>
      <c r="E2242" s="3"/>
      <c r="F2242" s="2"/>
      <c r="G2242" s="13">
        <f>IF($B2242="IN",$D2242,0)</f>
      </c>
      <c r="H2242" s="13">
        <f>IF($B2242="OUT",$D2242,0)</f>
      </c>
    </row>
    <row x14ac:dyDescent="0.25" r="2243" customHeight="1" ht="17.25">
      <c r="A2243" s="52"/>
      <c r="B2243" s="2"/>
      <c r="C2243" s="2"/>
      <c r="D2243" s="3"/>
      <c r="E2243" s="3"/>
      <c r="F2243" s="2"/>
      <c r="G2243" s="13">
        <f>IF($B2243="IN",$D2243,0)</f>
      </c>
      <c r="H2243" s="13">
        <f>IF($B2243="OUT",$D2243,0)</f>
      </c>
    </row>
    <row x14ac:dyDescent="0.25" r="2244" customHeight="1" ht="17.25">
      <c r="A2244" s="52"/>
      <c r="B2244" s="2"/>
      <c r="C2244" s="2"/>
      <c r="D2244" s="3"/>
      <c r="E2244" s="3"/>
      <c r="F2244" s="2"/>
      <c r="G2244" s="13">
        <f>IF($B2244="IN",$D2244,0)</f>
      </c>
      <c r="H2244" s="13">
        <f>IF($B2244="OUT",$D2244,0)</f>
      </c>
    </row>
    <row x14ac:dyDescent="0.25" r="2245" customHeight="1" ht="17.25">
      <c r="A2245" s="52"/>
      <c r="B2245" s="2"/>
      <c r="C2245" s="2"/>
      <c r="D2245" s="3"/>
      <c r="E2245" s="3"/>
      <c r="F2245" s="2"/>
      <c r="G2245" s="13">
        <f>IF($B2245="IN",$D2245,0)</f>
      </c>
      <c r="H2245" s="13">
        <f>IF($B2245="OUT",$D2245,0)</f>
      </c>
    </row>
    <row x14ac:dyDescent="0.25" r="2246" customHeight="1" ht="17.25">
      <c r="A2246" s="52"/>
      <c r="B2246" s="2"/>
      <c r="C2246" s="2"/>
      <c r="D2246" s="3"/>
      <c r="E2246" s="3"/>
      <c r="F2246" s="2"/>
      <c r="G2246" s="13">
        <f>IF($B2246="IN",$D2246,0)</f>
      </c>
      <c r="H2246" s="13">
        <f>IF($B2246="OUT",$D2246,0)</f>
      </c>
    </row>
    <row x14ac:dyDescent="0.25" r="2247" customHeight="1" ht="17.25">
      <c r="A2247" s="52"/>
      <c r="B2247" s="2"/>
      <c r="C2247" s="2"/>
      <c r="D2247" s="3"/>
      <c r="E2247" s="3"/>
      <c r="F2247" s="2"/>
      <c r="G2247" s="13">
        <f>IF($B2247="IN",$D2247,0)</f>
      </c>
      <c r="H2247" s="13">
        <f>IF($B2247="OUT",$D2247,0)</f>
      </c>
    </row>
    <row x14ac:dyDescent="0.25" r="2248" customHeight="1" ht="17.25">
      <c r="A2248" s="52"/>
      <c r="B2248" s="2"/>
      <c r="C2248" s="2"/>
      <c r="D2248" s="3"/>
      <c r="E2248" s="3"/>
      <c r="F2248" s="2"/>
      <c r="G2248" s="13">
        <f>IF($B2248="IN",$D2248,0)</f>
      </c>
      <c r="H2248" s="13">
        <f>IF($B2248="OUT",$D2248,0)</f>
      </c>
    </row>
    <row x14ac:dyDescent="0.25" r="2249" customHeight="1" ht="17.25">
      <c r="A2249" s="52"/>
      <c r="B2249" s="2"/>
      <c r="C2249" s="2"/>
      <c r="D2249" s="3"/>
      <c r="E2249" s="3"/>
      <c r="F2249" s="2"/>
      <c r="G2249" s="13">
        <f>IF($B2249="IN",$D2249,0)</f>
      </c>
      <c r="H2249" s="13">
        <f>IF($B2249="OUT",$D2249,0)</f>
      </c>
    </row>
    <row x14ac:dyDescent="0.25" r="2250" customHeight="1" ht="17.25">
      <c r="A2250" s="52"/>
      <c r="B2250" s="2"/>
      <c r="C2250" s="2"/>
      <c r="D2250" s="3"/>
      <c r="E2250" s="3"/>
      <c r="F2250" s="2"/>
      <c r="G2250" s="13">
        <f>IF($B2250="IN",$D2250,0)</f>
      </c>
      <c r="H2250" s="13">
        <f>IF($B2250="OUT",$D2250,0)</f>
      </c>
    </row>
    <row x14ac:dyDescent="0.25" r="2251" customHeight="1" ht="17.25">
      <c r="A2251" s="52"/>
      <c r="B2251" s="2"/>
      <c r="C2251" s="2"/>
      <c r="D2251" s="3"/>
      <c r="E2251" s="3"/>
      <c r="F2251" s="2"/>
      <c r="G2251" s="13">
        <f>IF($B2251="IN",$D2251,0)</f>
      </c>
      <c r="H2251" s="13">
        <f>IF($B2251="OUT",$D2251,0)</f>
      </c>
    </row>
    <row x14ac:dyDescent="0.25" r="2252" customHeight="1" ht="17.25">
      <c r="A2252" s="52"/>
      <c r="B2252" s="2"/>
      <c r="C2252" s="2"/>
      <c r="D2252" s="3"/>
      <c r="E2252" s="3"/>
      <c r="F2252" s="2"/>
      <c r="G2252" s="13">
        <f>IF($B2252="IN",$D2252,0)</f>
      </c>
      <c r="H2252" s="13">
        <f>IF($B2252="OUT",$D2252,0)</f>
      </c>
    </row>
    <row x14ac:dyDescent="0.25" r="2253" customHeight="1" ht="17.25">
      <c r="A2253" s="52"/>
      <c r="B2253" s="2"/>
      <c r="C2253" s="2"/>
      <c r="D2253" s="3"/>
      <c r="E2253" s="3"/>
      <c r="F2253" s="2"/>
      <c r="G2253" s="13">
        <f>IF($B2253="IN",$D2253,0)</f>
      </c>
      <c r="H2253" s="13">
        <f>IF($B2253="OUT",$D2253,0)</f>
      </c>
    </row>
    <row x14ac:dyDescent="0.25" r="2254" customHeight="1" ht="17.25">
      <c r="A2254" s="52"/>
      <c r="B2254" s="2"/>
      <c r="C2254" s="2"/>
      <c r="D2254" s="3"/>
      <c r="E2254" s="3"/>
      <c r="F2254" s="2"/>
      <c r="G2254" s="13">
        <f>IF($B2254="IN",$D2254,0)</f>
      </c>
      <c r="H2254" s="13">
        <f>IF($B2254="OUT",$D2254,0)</f>
      </c>
    </row>
    <row x14ac:dyDescent="0.25" r="2255" customHeight="1" ht="17.25">
      <c r="A2255" s="52"/>
      <c r="B2255" s="2"/>
      <c r="C2255" s="2"/>
      <c r="D2255" s="3"/>
      <c r="E2255" s="3"/>
      <c r="F2255" s="2"/>
      <c r="G2255" s="13">
        <f>IF($B2255="IN",$D2255,0)</f>
      </c>
      <c r="H2255" s="13">
        <f>IF($B2255="OUT",$D2255,0)</f>
      </c>
    </row>
    <row x14ac:dyDescent="0.25" r="2256" customHeight="1" ht="17.25">
      <c r="A2256" s="52"/>
      <c r="B2256" s="2"/>
      <c r="C2256" s="2"/>
      <c r="D2256" s="3"/>
      <c r="E2256" s="3"/>
      <c r="F2256" s="2"/>
      <c r="G2256" s="13">
        <f>IF($B2256="IN",$D2256,0)</f>
      </c>
      <c r="H2256" s="13">
        <f>IF($B2256="OUT",$D2256,0)</f>
      </c>
    </row>
    <row x14ac:dyDescent="0.25" r="2257" customHeight="1" ht="17.25">
      <c r="A2257" s="52"/>
      <c r="B2257" s="2"/>
      <c r="C2257" s="2"/>
      <c r="D2257" s="3"/>
      <c r="E2257" s="3"/>
      <c r="F2257" s="2"/>
      <c r="G2257" s="13">
        <f>IF($B2257="IN",$D2257,0)</f>
      </c>
      <c r="H2257" s="13">
        <f>IF($B2257="OUT",$D2257,0)</f>
      </c>
    </row>
    <row x14ac:dyDescent="0.25" r="2258" customHeight="1" ht="17.25">
      <c r="A2258" s="52"/>
      <c r="B2258" s="2"/>
      <c r="C2258" s="2"/>
      <c r="D2258" s="3"/>
      <c r="E2258" s="3"/>
      <c r="F2258" s="2"/>
      <c r="G2258" s="13">
        <f>IF($B2258="IN",$D2258,0)</f>
      </c>
      <c r="H2258" s="13">
        <f>IF($B2258="OUT",$D2258,0)</f>
      </c>
    </row>
    <row x14ac:dyDescent="0.25" r="2259" customHeight="1" ht="17.25">
      <c r="A2259" s="52"/>
      <c r="B2259" s="2"/>
      <c r="C2259" s="2"/>
      <c r="D2259" s="3"/>
      <c r="E2259" s="3"/>
      <c r="F2259" s="2"/>
      <c r="G2259" s="13">
        <f>IF($B2259="IN",$D2259,0)</f>
      </c>
      <c r="H2259" s="13">
        <f>IF($B2259="OUT",$D2259,0)</f>
      </c>
    </row>
    <row x14ac:dyDescent="0.25" r="2260" customHeight="1" ht="17.25">
      <c r="A2260" s="52"/>
      <c r="B2260" s="2"/>
      <c r="C2260" s="2"/>
      <c r="D2260" s="3"/>
      <c r="E2260" s="3"/>
      <c r="F2260" s="2"/>
      <c r="G2260" s="13">
        <f>IF($B2260="IN",$D2260,0)</f>
      </c>
      <c r="H2260" s="13">
        <f>IF($B2260="OUT",$D2260,0)</f>
      </c>
    </row>
    <row x14ac:dyDescent="0.25" r="2261" customHeight="1" ht="17.25">
      <c r="A2261" s="52"/>
      <c r="B2261" s="2"/>
      <c r="C2261" s="2"/>
      <c r="D2261" s="3"/>
      <c r="E2261" s="3"/>
      <c r="F2261" s="2"/>
      <c r="G2261" s="13">
        <f>IF($B2261="IN",$D2261,0)</f>
      </c>
      <c r="H2261" s="13">
        <f>IF($B2261="OUT",$D2261,0)</f>
      </c>
    </row>
    <row x14ac:dyDescent="0.25" r="2262" customHeight="1" ht="17.25">
      <c r="A2262" s="52"/>
      <c r="B2262" s="2"/>
      <c r="C2262" s="2"/>
      <c r="D2262" s="3"/>
      <c r="E2262" s="3"/>
      <c r="F2262" s="2"/>
      <c r="G2262" s="13">
        <f>IF($B2262="IN",$D2262,0)</f>
      </c>
      <c r="H2262" s="13">
        <f>IF($B2262="OUT",$D2262,0)</f>
      </c>
    </row>
    <row x14ac:dyDescent="0.25" r="2263" customHeight="1" ht="17.25">
      <c r="A2263" s="52"/>
      <c r="B2263" s="2"/>
      <c r="C2263" s="2"/>
      <c r="D2263" s="3"/>
      <c r="E2263" s="3"/>
      <c r="F2263" s="2"/>
      <c r="G2263" s="13">
        <f>IF($B2263="IN",$D2263,0)</f>
      </c>
      <c r="H2263" s="13">
        <f>IF($B2263="OUT",$D2263,0)</f>
      </c>
    </row>
    <row x14ac:dyDescent="0.25" r="2264" customHeight="1" ht="17.25">
      <c r="A2264" s="52"/>
      <c r="B2264" s="2"/>
      <c r="C2264" s="2"/>
      <c r="D2264" s="3"/>
      <c r="E2264" s="3"/>
      <c r="F2264" s="2"/>
      <c r="G2264" s="13">
        <f>IF($B2264="IN",$D2264,0)</f>
      </c>
      <c r="H2264" s="13">
        <f>IF($B2264="OUT",$D2264,0)</f>
      </c>
    </row>
    <row x14ac:dyDescent="0.25" r="2265" customHeight="1" ht="17.25">
      <c r="A2265" s="52"/>
      <c r="B2265" s="2"/>
      <c r="C2265" s="2"/>
      <c r="D2265" s="3"/>
      <c r="E2265" s="3"/>
      <c r="F2265" s="2"/>
      <c r="G2265" s="13">
        <f>IF($B2265="IN",$D2265,0)</f>
      </c>
      <c r="H2265" s="13">
        <f>IF($B2265="OUT",$D2265,0)</f>
      </c>
    </row>
    <row x14ac:dyDescent="0.25" r="2266" customHeight="1" ht="17.25">
      <c r="A2266" s="52"/>
      <c r="B2266" s="2"/>
      <c r="C2266" s="2"/>
      <c r="D2266" s="3"/>
      <c r="E2266" s="3"/>
      <c r="F2266" s="2"/>
      <c r="G2266" s="13">
        <f>IF($B2266="IN",$D2266,0)</f>
      </c>
      <c r="H2266" s="13">
        <f>IF($B2266="OUT",$D2266,0)</f>
      </c>
    </row>
    <row x14ac:dyDescent="0.25" r="2267" customHeight="1" ht="17.25">
      <c r="A2267" s="52"/>
      <c r="B2267" s="2"/>
      <c r="C2267" s="2"/>
      <c r="D2267" s="3"/>
      <c r="E2267" s="3"/>
      <c r="F2267" s="2"/>
      <c r="G2267" s="13">
        <f>IF($B2267="IN",$D2267,0)</f>
      </c>
      <c r="H2267" s="13">
        <f>IF($B2267="OUT",$D2267,0)</f>
      </c>
    </row>
    <row x14ac:dyDescent="0.25" r="2268" customHeight="1" ht="17.25">
      <c r="A2268" s="52"/>
      <c r="B2268" s="2"/>
      <c r="C2268" s="2"/>
      <c r="D2268" s="3"/>
      <c r="E2268" s="3"/>
      <c r="F2268" s="2"/>
      <c r="G2268" s="13">
        <f>IF($B2268="IN",$D2268,0)</f>
      </c>
      <c r="H2268" s="13">
        <f>IF($B2268="OUT",$D2268,0)</f>
      </c>
    </row>
    <row x14ac:dyDescent="0.25" r="2269" customHeight="1" ht="17.25">
      <c r="A2269" s="52"/>
      <c r="B2269" s="2"/>
      <c r="C2269" s="2"/>
      <c r="D2269" s="3"/>
      <c r="E2269" s="3"/>
      <c r="F2269" s="2"/>
      <c r="G2269" s="13">
        <f>IF($B2269="IN",$D2269,0)</f>
      </c>
      <c r="H2269" s="13">
        <f>IF($B2269="OUT",$D2269,0)</f>
      </c>
    </row>
    <row x14ac:dyDescent="0.25" r="2270" customHeight="1" ht="17.25">
      <c r="A2270" s="52"/>
      <c r="B2270" s="2"/>
      <c r="C2270" s="2"/>
      <c r="D2270" s="3"/>
      <c r="E2270" s="3"/>
      <c r="F2270" s="2"/>
      <c r="G2270" s="13">
        <f>IF($B2270="IN",$D2270,0)</f>
      </c>
      <c r="H2270" s="13">
        <f>IF($B2270="OUT",$D2270,0)</f>
      </c>
    </row>
    <row x14ac:dyDescent="0.25" r="2271" customHeight="1" ht="17.25">
      <c r="A2271" s="52"/>
      <c r="B2271" s="2"/>
      <c r="C2271" s="2"/>
      <c r="D2271" s="3"/>
      <c r="E2271" s="3"/>
      <c r="F2271" s="2"/>
      <c r="G2271" s="13">
        <f>IF($B2271="IN",$D2271,0)</f>
      </c>
      <c r="H2271" s="13">
        <f>IF($B2271="OUT",$D2271,0)</f>
      </c>
    </row>
    <row x14ac:dyDescent="0.25" r="2272" customHeight="1" ht="17.25">
      <c r="A2272" s="52"/>
      <c r="B2272" s="2"/>
      <c r="C2272" s="2"/>
      <c r="D2272" s="3"/>
      <c r="E2272" s="3"/>
      <c r="F2272" s="2"/>
      <c r="G2272" s="13">
        <f>IF($B2272="IN",$D2272,0)</f>
      </c>
      <c r="H2272" s="13">
        <f>IF($B2272="OUT",$D2272,0)</f>
      </c>
    </row>
    <row x14ac:dyDescent="0.25" r="2273" customHeight="1" ht="17.25">
      <c r="A2273" s="52"/>
      <c r="B2273" s="2"/>
      <c r="C2273" s="2"/>
      <c r="D2273" s="3"/>
      <c r="E2273" s="3"/>
      <c r="F2273" s="2"/>
      <c r="G2273" s="13">
        <f>IF($B2273="IN",$D2273,0)</f>
      </c>
      <c r="H2273" s="13">
        <f>IF($B2273="OUT",$D2273,0)</f>
      </c>
    </row>
    <row x14ac:dyDescent="0.25" r="2274" customHeight="1" ht="17.25">
      <c r="A2274" s="52"/>
      <c r="B2274" s="2"/>
      <c r="C2274" s="2"/>
      <c r="D2274" s="3"/>
      <c r="E2274" s="3"/>
      <c r="F2274" s="2"/>
      <c r="G2274" s="13">
        <f>IF($B2274="IN",$D2274,0)</f>
      </c>
      <c r="H2274" s="13">
        <f>IF($B2274="OUT",$D2274,0)</f>
      </c>
    </row>
    <row x14ac:dyDescent="0.25" r="2275" customHeight="1" ht="17.25">
      <c r="A2275" s="52"/>
      <c r="B2275" s="2"/>
      <c r="C2275" s="2"/>
      <c r="D2275" s="3"/>
      <c r="E2275" s="3"/>
      <c r="F2275" s="2"/>
      <c r="G2275" s="13">
        <f>IF($B2275="IN",$D2275,0)</f>
      </c>
      <c r="H2275" s="13">
        <f>IF($B2275="OUT",$D2275,0)</f>
      </c>
    </row>
    <row x14ac:dyDescent="0.25" r="2276" customHeight="1" ht="17.25">
      <c r="A2276" s="52"/>
      <c r="B2276" s="2"/>
      <c r="C2276" s="2"/>
      <c r="D2276" s="3"/>
      <c r="E2276" s="3"/>
      <c r="F2276" s="2"/>
      <c r="G2276" s="13">
        <f>IF($B2276="IN",$D2276,0)</f>
      </c>
      <c r="H2276" s="13">
        <f>IF($B2276="OUT",$D2276,0)</f>
      </c>
    </row>
    <row x14ac:dyDescent="0.25" r="2277" customHeight="1" ht="17.25">
      <c r="A2277" s="52"/>
      <c r="B2277" s="2"/>
      <c r="C2277" s="2"/>
      <c r="D2277" s="3"/>
      <c r="E2277" s="3"/>
      <c r="F2277" s="2"/>
      <c r="G2277" s="13">
        <f>IF($B2277="IN",$D2277,0)</f>
      </c>
      <c r="H2277" s="13">
        <f>IF($B2277="OUT",$D2277,0)</f>
      </c>
    </row>
    <row x14ac:dyDescent="0.25" r="2278" customHeight="1" ht="17.25">
      <c r="A2278" s="52"/>
      <c r="B2278" s="2"/>
      <c r="C2278" s="2"/>
      <c r="D2278" s="3"/>
      <c r="E2278" s="3"/>
      <c r="F2278" s="2"/>
      <c r="G2278" s="13">
        <f>IF($B2278="IN",$D2278,0)</f>
      </c>
      <c r="H2278" s="13">
        <f>IF($B2278="OUT",$D2278,0)</f>
      </c>
    </row>
    <row x14ac:dyDescent="0.25" r="2279" customHeight="1" ht="17.25">
      <c r="A2279" s="52"/>
      <c r="B2279" s="2"/>
      <c r="C2279" s="2"/>
      <c r="D2279" s="3"/>
      <c r="E2279" s="3"/>
      <c r="F2279" s="2"/>
      <c r="G2279" s="13">
        <f>IF($B2279="IN",$D2279,0)</f>
      </c>
      <c r="H2279" s="13">
        <f>IF($B2279="OUT",$D2279,0)</f>
      </c>
    </row>
    <row x14ac:dyDescent="0.25" r="2280" customHeight="1" ht="17.25">
      <c r="A2280" s="52"/>
      <c r="B2280" s="2"/>
      <c r="C2280" s="2"/>
      <c r="D2280" s="3"/>
      <c r="E2280" s="3"/>
      <c r="F2280" s="2"/>
      <c r="G2280" s="13">
        <f>IF($B2280="IN",$D2280,0)</f>
      </c>
      <c r="H2280" s="13">
        <f>IF($B2280="OUT",$D2280,0)</f>
      </c>
    </row>
    <row x14ac:dyDescent="0.25" r="2281" customHeight="1" ht="17.25">
      <c r="A2281" s="52"/>
      <c r="B2281" s="2"/>
      <c r="C2281" s="2"/>
      <c r="D2281" s="3"/>
      <c r="E2281" s="3"/>
      <c r="F2281" s="2"/>
      <c r="G2281" s="13">
        <f>IF($B2281="IN",$D2281,0)</f>
      </c>
      <c r="H2281" s="13">
        <f>IF($B2281="OUT",$D2281,0)</f>
      </c>
    </row>
    <row x14ac:dyDescent="0.25" r="2282" customHeight="1" ht="17.25">
      <c r="A2282" s="52"/>
      <c r="B2282" s="2"/>
      <c r="C2282" s="2"/>
      <c r="D2282" s="3"/>
      <c r="E2282" s="3"/>
      <c r="F2282" s="2"/>
      <c r="G2282" s="13">
        <f>IF($B2282="IN",$D2282,0)</f>
      </c>
      <c r="H2282" s="13">
        <f>IF($B2282="OUT",$D2282,0)</f>
      </c>
    </row>
    <row x14ac:dyDescent="0.25" r="2283" customHeight="1" ht="17.25">
      <c r="A2283" s="52"/>
      <c r="B2283" s="2"/>
      <c r="C2283" s="2"/>
      <c r="D2283" s="3"/>
      <c r="E2283" s="3"/>
      <c r="F2283" s="2"/>
      <c r="G2283" s="13">
        <f>IF($B2283="IN",$D2283,0)</f>
      </c>
      <c r="H2283" s="13">
        <f>IF($B2283="OUT",$D2283,0)</f>
      </c>
    </row>
    <row x14ac:dyDescent="0.25" r="2284" customHeight="1" ht="17.25">
      <c r="A2284" s="52"/>
      <c r="B2284" s="2"/>
      <c r="C2284" s="2"/>
      <c r="D2284" s="3"/>
      <c r="E2284" s="3"/>
      <c r="F2284" s="2"/>
      <c r="G2284" s="13">
        <f>IF($B2284="IN",$D2284,0)</f>
      </c>
      <c r="H2284" s="13">
        <f>IF($B2284="OUT",$D2284,0)</f>
      </c>
    </row>
    <row x14ac:dyDescent="0.25" r="2285" customHeight="1" ht="17.25">
      <c r="A2285" s="52"/>
      <c r="B2285" s="2"/>
      <c r="C2285" s="2"/>
      <c r="D2285" s="3"/>
      <c r="E2285" s="3"/>
      <c r="F2285" s="2"/>
      <c r="G2285" s="13">
        <f>IF($B2285="IN",$D2285,0)</f>
      </c>
      <c r="H2285" s="13">
        <f>IF($B2285="OUT",$D2285,0)</f>
      </c>
    </row>
    <row x14ac:dyDescent="0.25" r="2286" customHeight="1" ht="17.25">
      <c r="A2286" s="52"/>
      <c r="B2286" s="2"/>
      <c r="C2286" s="2"/>
      <c r="D2286" s="3"/>
      <c r="E2286" s="3"/>
      <c r="F2286" s="2"/>
      <c r="G2286" s="13">
        <f>IF($B2286="IN",$D2286,0)</f>
      </c>
      <c r="H2286" s="13">
        <f>IF($B2286="OUT",$D2286,0)</f>
      </c>
    </row>
    <row x14ac:dyDescent="0.25" r="2287" customHeight="1" ht="17.25">
      <c r="A2287" s="52"/>
      <c r="B2287" s="2"/>
      <c r="C2287" s="2"/>
      <c r="D2287" s="3"/>
      <c r="E2287" s="3"/>
      <c r="F2287" s="2"/>
      <c r="G2287" s="13">
        <f>IF($B2287="IN",$D2287,0)</f>
      </c>
      <c r="H2287" s="13">
        <f>IF($B2287="OUT",$D2287,0)</f>
      </c>
    </row>
    <row x14ac:dyDescent="0.25" r="2288" customHeight="1" ht="17.25">
      <c r="A2288" s="52"/>
      <c r="B2288" s="2"/>
      <c r="C2288" s="2"/>
      <c r="D2288" s="3"/>
      <c r="E2288" s="3"/>
      <c r="F2288" s="2"/>
      <c r="G2288" s="13">
        <f>IF($B2288="IN",$D2288,0)</f>
      </c>
      <c r="H2288" s="13">
        <f>IF($B2288="OUT",$D2288,0)</f>
      </c>
    </row>
    <row x14ac:dyDescent="0.25" r="2289" customHeight="1" ht="17.25">
      <c r="A2289" s="52"/>
      <c r="B2289" s="2"/>
      <c r="C2289" s="2"/>
      <c r="D2289" s="3"/>
      <c r="E2289" s="3"/>
      <c r="F2289" s="2"/>
      <c r="G2289" s="13">
        <f>IF($B2289="IN",$D2289,0)</f>
      </c>
      <c r="H2289" s="13">
        <f>IF($B2289="OUT",$D2289,0)</f>
      </c>
    </row>
    <row x14ac:dyDescent="0.25" r="2290" customHeight="1" ht="17.25">
      <c r="A2290" s="52"/>
      <c r="B2290" s="2"/>
      <c r="C2290" s="2"/>
      <c r="D2290" s="3"/>
      <c r="E2290" s="3"/>
      <c r="F2290" s="2"/>
      <c r="G2290" s="13">
        <f>IF($B2290="IN",$D2290,0)</f>
      </c>
      <c r="H2290" s="13">
        <f>IF($B2290="OUT",$D2290,0)</f>
      </c>
    </row>
    <row x14ac:dyDescent="0.25" r="2291" customHeight="1" ht="17.25">
      <c r="A2291" s="52"/>
      <c r="B2291" s="2"/>
      <c r="C2291" s="2"/>
      <c r="D2291" s="3"/>
      <c r="E2291" s="3"/>
      <c r="F2291" s="2"/>
      <c r="G2291" s="13">
        <f>IF($B2291="IN",$D2291,0)</f>
      </c>
      <c r="H2291" s="13">
        <f>IF($B2291="OUT",$D2291,0)</f>
      </c>
    </row>
    <row x14ac:dyDescent="0.25" r="2292" customHeight="1" ht="17.25">
      <c r="A2292" s="52"/>
      <c r="B2292" s="2"/>
      <c r="C2292" s="2"/>
      <c r="D2292" s="3"/>
      <c r="E2292" s="3"/>
      <c r="F2292" s="2"/>
      <c r="G2292" s="13">
        <f>IF($B2292="IN",$D2292,0)</f>
      </c>
      <c r="H2292" s="13">
        <f>IF($B2292="OUT",$D2292,0)</f>
      </c>
    </row>
    <row x14ac:dyDescent="0.25" r="2293" customHeight="1" ht="17.25">
      <c r="A2293" s="52"/>
      <c r="B2293" s="2"/>
      <c r="C2293" s="2"/>
      <c r="D2293" s="3"/>
      <c r="E2293" s="3"/>
      <c r="F2293" s="2"/>
      <c r="G2293" s="13">
        <f>IF($B2293="IN",$D2293,0)</f>
      </c>
      <c r="H2293" s="13">
        <f>IF($B2293="OUT",$D2293,0)</f>
      </c>
    </row>
    <row x14ac:dyDescent="0.25" r="2294" customHeight="1" ht="17.25">
      <c r="A2294" s="52"/>
      <c r="B2294" s="2"/>
      <c r="C2294" s="2"/>
      <c r="D2294" s="3"/>
      <c r="E2294" s="3"/>
      <c r="F2294" s="2"/>
      <c r="G2294" s="13">
        <f>IF($B2294="IN",$D2294,0)</f>
      </c>
      <c r="H2294" s="13">
        <f>IF($B2294="OUT",$D2294,0)</f>
      </c>
    </row>
    <row x14ac:dyDescent="0.25" r="2295" customHeight="1" ht="17.25">
      <c r="A2295" s="52"/>
      <c r="B2295" s="2"/>
      <c r="C2295" s="2"/>
      <c r="D2295" s="3"/>
      <c r="E2295" s="3"/>
      <c r="F2295" s="2"/>
      <c r="G2295" s="13">
        <f>IF($B2295="IN",$D2295,0)</f>
      </c>
      <c r="H2295" s="13">
        <f>IF($B2295="OUT",$D2295,0)</f>
      </c>
    </row>
    <row x14ac:dyDescent="0.25" r="2296" customHeight="1" ht="17.25">
      <c r="A2296" s="52"/>
      <c r="B2296" s="2"/>
      <c r="C2296" s="2"/>
      <c r="D2296" s="3"/>
      <c r="E2296" s="3"/>
      <c r="F2296" s="2"/>
      <c r="G2296" s="13">
        <f>IF($B2296="IN",$D2296,0)</f>
      </c>
      <c r="H2296" s="13">
        <f>IF($B2296="OUT",$D2296,0)</f>
      </c>
    </row>
    <row x14ac:dyDescent="0.25" r="2297" customHeight="1" ht="17.25">
      <c r="A2297" s="52"/>
      <c r="B2297" s="2"/>
      <c r="C2297" s="2"/>
      <c r="D2297" s="3"/>
      <c r="E2297" s="3"/>
      <c r="F2297" s="2"/>
      <c r="G2297" s="13">
        <f>IF($B2297="IN",$D2297,0)</f>
      </c>
      <c r="H2297" s="13">
        <f>IF($B2297="OUT",$D2297,0)</f>
      </c>
    </row>
    <row x14ac:dyDescent="0.25" r="2298" customHeight="1" ht="17.25">
      <c r="A2298" s="52"/>
      <c r="B2298" s="2"/>
      <c r="C2298" s="2"/>
      <c r="D2298" s="3"/>
      <c r="E2298" s="3"/>
      <c r="F2298" s="2"/>
      <c r="G2298" s="13">
        <f>IF($B2298="IN",$D2298,0)</f>
      </c>
      <c r="H2298" s="13">
        <f>IF($B2298="OUT",$D2298,0)</f>
      </c>
    </row>
    <row x14ac:dyDescent="0.25" r="2299" customHeight="1" ht="17.25">
      <c r="A2299" s="52"/>
      <c r="B2299" s="2"/>
      <c r="C2299" s="2"/>
      <c r="D2299" s="3"/>
      <c r="E2299" s="3"/>
      <c r="F2299" s="2"/>
      <c r="G2299" s="13">
        <f>IF($B2299="IN",$D2299,0)</f>
      </c>
      <c r="H2299" s="13">
        <f>IF($B2299="OUT",$D2299,0)</f>
      </c>
    </row>
    <row x14ac:dyDescent="0.25" r="2300" customHeight="1" ht="17.25">
      <c r="A2300" s="52"/>
      <c r="B2300" s="2"/>
      <c r="C2300" s="2"/>
      <c r="D2300" s="3"/>
      <c r="E2300" s="3"/>
      <c r="F2300" s="2"/>
      <c r="G2300" s="13">
        <f>IF($B2300="IN",$D2300,0)</f>
      </c>
      <c r="H2300" s="13">
        <f>IF($B2300="OUT",$D2300,0)</f>
      </c>
    </row>
    <row x14ac:dyDescent="0.25" r="2301" customHeight="1" ht="17.25">
      <c r="A2301" s="52"/>
      <c r="B2301" s="2"/>
      <c r="C2301" s="2"/>
      <c r="D2301" s="3"/>
      <c r="E2301" s="3"/>
      <c r="F2301" s="2"/>
      <c r="G2301" s="13">
        <f>IF($B2301="IN",$D2301,0)</f>
      </c>
      <c r="H2301" s="13">
        <f>IF($B2301="OUT",$D2301,0)</f>
      </c>
    </row>
    <row x14ac:dyDescent="0.25" r="2302" customHeight="1" ht="17.25">
      <c r="A2302" s="52"/>
      <c r="B2302" s="2"/>
      <c r="C2302" s="2"/>
      <c r="D2302" s="3"/>
      <c r="E2302" s="3"/>
      <c r="F2302" s="2"/>
      <c r="G2302" s="13">
        <f>IF($B2302="IN",$D2302,0)</f>
      </c>
      <c r="H2302" s="13">
        <f>IF($B2302="OUT",$D2302,0)</f>
      </c>
    </row>
    <row x14ac:dyDescent="0.25" r="2303" customHeight="1" ht="17.25">
      <c r="A2303" s="52"/>
      <c r="B2303" s="2"/>
      <c r="C2303" s="2"/>
      <c r="D2303" s="3"/>
      <c r="E2303" s="3"/>
      <c r="F2303" s="2"/>
      <c r="G2303" s="13">
        <f>IF($B2303="IN",$D2303,0)</f>
      </c>
      <c r="H2303" s="13">
        <f>IF($B2303="OUT",$D2303,0)</f>
      </c>
    </row>
    <row x14ac:dyDescent="0.25" r="2304" customHeight="1" ht="17.25">
      <c r="A2304" s="52"/>
      <c r="B2304" s="2"/>
      <c r="C2304" s="2"/>
      <c r="D2304" s="3"/>
      <c r="E2304" s="3"/>
      <c r="F2304" s="2"/>
      <c r="G2304" s="13">
        <f>IF($B2304="IN",$D2304,0)</f>
      </c>
      <c r="H2304" s="13">
        <f>IF($B2304="OUT",$D2304,0)</f>
      </c>
    </row>
    <row x14ac:dyDescent="0.25" r="2305" customHeight="1" ht="17.25">
      <c r="A2305" s="52"/>
      <c r="B2305" s="2"/>
      <c r="C2305" s="2"/>
      <c r="D2305" s="3"/>
      <c r="E2305" s="3"/>
      <c r="F2305" s="2"/>
      <c r="G2305" s="13">
        <f>IF($B2305="IN",$D2305,0)</f>
      </c>
      <c r="H2305" s="13">
        <f>IF($B2305="OUT",$D2305,0)</f>
      </c>
    </row>
    <row x14ac:dyDescent="0.25" r="2306" customHeight="1" ht="17.25">
      <c r="A2306" s="52"/>
      <c r="B2306" s="2"/>
      <c r="C2306" s="2"/>
      <c r="D2306" s="3"/>
      <c r="E2306" s="3"/>
      <c r="F2306" s="2"/>
      <c r="G2306" s="13">
        <f>IF($B2306="IN",$D2306,0)</f>
      </c>
      <c r="H2306" s="13">
        <f>IF($B2306="OUT",$D2306,0)</f>
      </c>
    </row>
    <row x14ac:dyDescent="0.25" r="2307" customHeight="1" ht="17.25">
      <c r="A2307" s="52"/>
      <c r="B2307" s="2"/>
      <c r="C2307" s="2"/>
      <c r="D2307" s="3"/>
      <c r="E2307" s="3"/>
      <c r="F2307" s="2"/>
      <c r="G2307" s="13">
        <f>IF($B2307="IN",$D2307,0)</f>
      </c>
      <c r="H2307" s="13">
        <f>IF($B2307="OUT",$D2307,0)</f>
      </c>
    </row>
    <row x14ac:dyDescent="0.25" r="2308" customHeight="1" ht="17.25">
      <c r="A2308" s="52"/>
      <c r="B2308" s="2"/>
      <c r="C2308" s="2"/>
      <c r="D2308" s="3"/>
      <c r="E2308" s="3"/>
      <c r="F2308" s="2"/>
      <c r="G2308" s="13">
        <f>IF($B2308="IN",$D2308,0)</f>
      </c>
      <c r="H2308" s="13">
        <f>IF($B2308="OUT",$D2308,0)</f>
      </c>
    </row>
    <row x14ac:dyDescent="0.25" r="2309" customHeight="1" ht="17.25">
      <c r="A2309" s="52"/>
      <c r="B2309" s="2"/>
      <c r="C2309" s="2"/>
      <c r="D2309" s="3"/>
      <c r="E2309" s="3"/>
      <c r="F2309" s="2"/>
      <c r="G2309" s="13">
        <f>IF($B2309="IN",$D2309,0)</f>
      </c>
      <c r="H2309" s="13">
        <f>IF($B2309="OUT",$D2309,0)</f>
      </c>
    </row>
    <row x14ac:dyDescent="0.25" r="2310" customHeight="1" ht="17.25">
      <c r="A2310" s="52"/>
      <c r="B2310" s="2"/>
      <c r="C2310" s="2"/>
      <c r="D2310" s="3"/>
      <c r="E2310" s="3"/>
      <c r="F2310" s="2"/>
      <c r="G2310" s="13">
        <f>IF($B2310="IN",$D2310,0)</f>
      </c>
      <c r="H2310" s="13">
        <f>IF($B2310="OUT",$D2310,0)</f>
      </c>
    </row>
    <row x14ac:dyDescent="0.25" r="2311" customHeight="1" ht="17.25">
      <c r="A2311" s="52"/>
      <c r="B2311" s="2"/>
      <c r="C2311" s="2"/>
      <c r="D2311" s="3"/>
      <c r="E2311" s="3"/>
      <c r="F2311" s="2"/>
      <c r="G2311" s="13">
        <f>IF($B2311="IN",$D2311,0)</f>
      </c>
      <c r="H2311" s="13">
        <f>IF($B2311="OUT",$D2311,0)</f>
      </c>
    </row>
    <row x14ac:dyDescent="0.25" r="2312" customHeight="1" ht="17.25">
      <c r="A2312" s="52"/>
      <c r="B2312" s="2"/>
      <c r="C2312" s="2"/>
      <c r="D2312" s="3"/>
      <c r="E2312" s="3"/>
      <c r="F2312" s="2"/>
      <c r="G2312" s="13">
        <f>IF($B2312="IN",$D2312,0)</f>
      </c>
      <c r="H2312" s="13">
        <f>IF($B2312="OUT",$D2312,0)</f>
      </c>
    </row>
    <row x14ac:dyDescent="0.25" r="2313" customHeight="1" ht="17.25">
      <c r="A2313" s="52"/>
      <c r="B2313" s="2"/>
      <c r="C2313" s="2"/>
      <c r="D2313" s="3"/>
      <c r="E2313" s="3"/>
      <c r="F2313" s="2"/>
      <c r="G2313" s="13">
        <f>IF($B2313="IN",$D2313,0)</f>
      </c>
      <c r="H2313" s="13">
        <f>IF($B2313="OUT",$D2313,0)</f>
      </c>
    </row>
    <row x14ac:dyDescent="0.25" r="2314" customHeight="1" ht="17.25">
      <c r="A2314" s="52"/>
      <c r="B2314" s="2"/>
      <c r="C2314" s="2"/>
      <c r="D2314" s="3"/>
      <c r="E2314" s="3"/>
      <c r="F2314" s="2"/>
      <c r="G2314" s="13">
        <f>IF($B2314="IN",$D2314,0)</f>
      </c>
      <c r="H2314" s="13">
        <f>IF($B2314="OUT",$D2314,0)</f>
      </c>
    </row>
    <row x14ac:dyDescent="0.25" r="2315" customHeight="1" ht="17.25">
      <c r="A2315" s="52"/>
      <c r="B2315" s="2"/>
      <c r="C2315" s="2"/>
      <c r="D2315" s="3"/>
      <c r="E2315" s="3"/>
      <c r="F2315" s="2"/>
      <c r="G2315" s="13">
        <f>IF($B2315="IN",$D2315,0)</f>
      </c>
      <c r="H2315" s="13">
        <f>IF($B2315="OUT",$D2315,0)</f>
      </c>
    </row>
    <row x14ac:dyDescent="0.25" r="2316" customHeight="1" ht="17.25">
      <c r="A2316" s="52"/>
      <c r="B2316" s="2"/>
      <c r="C2316" s="2"/>
      <c r="D2316" s="3"/>
      <c r="E2316" s="3"/>
      <c r="F2316" s="2"/>
      <c r="G2316" s="13">
        <f>IF($B2316="IN",$D2316,0)</f>
      </c>
      <c r="H2316" s="13">
        <f>IF($B2316="OUT",$D2316,0)</f>
      </c>
    </row>
    <row x14ac:dyDescent="0.25" r="2317" customHeight="1" ht="17.25">
      <c r="A2317" s="52"/>
      <c r="B2317" s="2"/>
      <c r="C2317" s="2"/>
      <c r="D2317" s="3"/>
      <c r="E2317" s="3"/>
      <c r="F2317" s="2"/>
      <c r="G2317" s="13">
        <f>IF($B2317="IN",$D2317,0)</f>
      </c>
      <c r="H2317" s="13">
        <f>IF($B2317="OUT",$D2317,0)</f>
      </c>
    </row>
    <row x14ac:dyDescent="0.25" r="2318" customHeight="1" ht="17.25">
      <c r="A2318" s="52"/>
      <c r="B2318" s="2"/>
      <c r="C2318" s="2"/>
      <c r="D2318" s="3"/>
      <c r="E2318" s="3"/>
      <c r="F2318" s="2"/>
      <c r="G2318" s="13">
        <f>IF($B2318="IN",$D2318,0)</f>
      </c>
      <c r="H2318" s="13">
        <f>IF($B2318="OUT",$D2318,0)</f>
      </c>
    </row>
    <row x14ac:dyDescent="0.25" r="2319" customHeight="1" ht="17.25">
      <c r="A2319" s="52"/>
      <c r="B2319" s="2"/>
      <c r="C2319" s="2"/>
      <c r="D2319" s="3"/>
      <c r="E2319" s="3"/>
      <c r="F2319" s="2"/>
      <c r="G2319" s="13">
        <f>IF($B2319="IN",$D2319,0)</f>
      </c>
      <c r="H2319" s="13">
        <f>IF($B2319="OUT",$D2319,0)</f>
      </c>
    </row>
    <row x14ac:dyDescent="0.25" r="2320" customHeight="1" ht="17.25">
      <c r="A2320" s="52"/>
      <c r="B2320" s="2"/>
      <c r="C2320" s="2"/>
      <c r="D2320" s="3"/>
      <c r="E2320" s="3"/>
      <c r="F2320" s="2"/>
      <c r="G2320" s="13">
        <f>IF($B2320="IN",$D2320,0)</f>
      </c>
      <c r="H2320" s="13">
        <f>IF($B2320="OUT",$D2320,0)</f>
      </c>
    </row>
    <row x14ac:dyDescent="0.25" r="2321" customHeight="1" ht="17.25">
      <c r="A2321" s="52"/>
      <c r="B2321" s="2"/>
      <c r="C2321" s="2"/>
      <c r="D2321" s="3"/>
      <c r="E2321" s="3"/>
      <c r="F2321" s="2"/>
      <c r="G2321" s="13">
        <f>IF($B2321="IN",$D2321,0)</f>
      </c>
      <c r="H2321" s="13">
        <f>IF($B2321="OUT",$D2321,0)</f>
      </c>
    </row>
    <row x14ac:dyDescent="0.25" r="2322" customHeight="1" ht="17.25">
      <c r="A2322" s="52"/>
      <c r="B2322" s="2"/>
      <c r="C2322" s="2"/>
      <c r="D2322" s="3"/>
      <c r="E2322" s="3"/>
      <c r="F2322" s="2"/>
      <c r="G2322" s="13">
        <f>IF($B2322="IN",$D2322,0)</f>
      </c>
      <c r="H2322" s="13">
        <f>IF($B2322="OUT",$D2322,0)</f>
      </c>
    </row>
    <row x14ac:dyDescent="0.25" r="2323" customHeight="1" ht="17.25">
      <c r="A2323" s="52"/>
      <c r="B2323" s="2"/>
      <c r="C2323" s="2"/>
      <c r="D2323" s="3"/>
      <c r="E2323" s="3"/>
      <c r="F2323" s="2"/>
      <c r="G2323" s="13">
        <f>IF($B2323="IN",$D2323,0)</f>
      </c>
      <c r="H2323" s="13">
        <f>IF($B2323="OUT",$D2323,0)</f>
      </c>
    </row>
    <row x14ac:dyDescent="0.25" r="2324" customHeight="1" ht="17.25">
      <c r="A2324" s="52"/>
      <c r="B2324" s="2"/>
      <c r="C2324" s="2"/>
      <c r="D2324" s="3"/>
      <c r="E2324" s="3"/>
      <c r="F2324" s="2"/>
      <c r="G2324" s="13">
        <f>IF($B2324="IN",$D2324,0)</f>
      </c>
      <c r="H2324" s="13">
        <f>IF($B2324="OUT",$D2324,0)</f>
      </c>
    </row>
    <row x14ac:dyDescent="0.25" r="2325" customHeight="1" ht="17.25">
      <c r="A2325" s="52"/>
      <c r="B2325" s="2"/>
      <c r="C2325" s="2"/>
      <c r="D2325" s="3"/>
      <c r="E2325" s="3"/>
      <c r="F2325" s="2"/>
      <c r="G2325" s="13">
        <f>IF($B2325="IN",$D2325,0)</f>
      </c>
      <c r="H2325" s="13">
        <f>IF($B2325="OUT",$D2325,0)</f>
      </c>
    </row>
    <row x14ac:dyDescent="0.25" r="2326" customHeight="1" ht="17.25">
      <c r="A2326" s="52"/>
      <c r="B2326" s="2"/>
      <c r="C2326" s="2"/>
      <c r="D2326" s="3"/>
      <c r="E2326" s="3"/>
      <c r="F2326" s="2"/>
      <c r="G2326" s="13">
        <f>IF($B2326="IN",$D2326,0)</f>
      </c>
      <c r="H2326" s="13">
        <f>IF($B2326="OUT",$D2326,0)</f>
      </c>
    </row>
    <row x14ac:dyDescent="0.25" r="2327" customHeight="1" ht="17.25">
      <c r="A2327" s="52"/>
      <c r="B2327" s="2"/>
      <c r="C2327" s="2"/>
      <c r="D2327" s="3"/>
      <c r="E2327" s="3"/>
      <c r="F2327" s="2"/>
      <c r="G2327" s="13">
        <f>IF($B2327="IN",$D2327,0)</f>
      </c>
      <c r="H2327" s="13">
        <f>IF($B2327="OUT",$D2327,0)</f>
      </c>
    </row>
    <row x14ac:dyDescent="0.25" r="2328" customHeight="1" ht="17.25">
      <c r="A2328" s="52"/>
      <c r="B2328" s="2"/>
      <c r="C2328" s="2"/>
      <c r="D2328" s="3"/>
      <c r="E2328" s="3"/>
      <c r="F2328" s="2"/>
      <c r="G2328" s="13">
        <f>IF($B2328="IN",$D2328,0)</f>
      </c>
      <c r="H2328" s="13">
        <f>IF($B2328="OUT",$D2328,0)</f>
      </c>
    </row>
    <row x14ac:dyDescent="0.25" r="2329" customHeight="1" ht="17.25">
      <c r="A2329" s="52"/>
      <c r="B2329" s="2"/>
      <c r="C2329" s="2"/>
      <c r="D2329" s="3"/>
      <c r="E2329" s="3"/>
      <c r="F2329" s="2"/>
      <c r="G2329" s="13">
        <f>IF($B2329="IN",$D2329,0)</f>
      </c>
      <c r="H2329" s="13">
        <f>IF($B2329="OUT",$D2329,0)</f>
      </c>
    </row>
    <row x14ac:dyDescent="0.25" r="2330" customHeight="1" ht="17.25">
      <c r="A2330" s="52"/>
      <c r="B2330" s="2"/>
      <c r="C2330" s="2"/>
      <c r="D2330" s="3"/>
      <c r="E2330" s="3"/>
      <c r="F2330" s="2"/>
      <c r="G2330" s="13">
        <f>IF($B2330="IN",$D2330,0)</f>
      </c>
      <c r="H2330" s="13">
        <f>IF($B2330="OUT",$D2330,0)</f>
      </c>
    </row>
    <row x14ac:dyDescent="0.25" r="2331" customHeight="1" ht="17.25">
      <c r="A2331" s="52"/>
      <c r="B2331" s="2"/>
      <c r="C2331" s="2"/>
      <c r="D2331" s="3"/>
      <c r="E2331" s="3"/>
      <c r="F2331" s="2"/>
      <c r="G2331" s="13">
        <f>IF($B2331="IN",$D2331,0)</f>
      </c>
      <c r="H2331" s="13">
        <f>IF($B2331="OUT",$D2331,0)</f>
      </c>
    </row>
    <row x14ac:dyDescent="0.25" r="2332" customHeight="1" ht="17.25">
      <c r="A2332" s="52"/>
      <c r="B2332" s="2"/>
      <c r="C2332" s="2"/>
      <c r="D2332" s="3"/>
      <c r="E2332" s="3"/>
      <c r="F2332" s="2"/>
      <c r="G2332" s="13">
        <f>IF($B2332="IN",$D2332,0)</f>
      </c>
      <c r="H2332" s="13">
        <f>IF($B2332="OUT",$D2332,0)</f>
      </c>
    </row>
    <row x14ac:dyDescent="0.25" r="2333" customHeight="1" ht="17.25">
      <c r="A2333" s="52"/>
      <c r="B2333" s="2"/>
      <c r="C2333" s="2"/>
      <c r="D2333" s="3"/>
      <c r="E2333" s="3"/>
      <c r="F2333" s="2"/>
      <c r="G2333" s="13">
        <f>IF($B2333="IN",$D2333,0)</f>
      </c>
      <c r="H2333" s="13">
        <f>IF($B2333="OUT",$D2333,0)</f>
      </c>
    </row>
    <row x14ac:dyDescent="0.25" r="2334" customHeight="1" ht="17.25">
      <c r="A2334" s="52"/>
      <c r="B2334" s="2"/>
      <c r="C2334" s="2"/>
      <c r="D2334" s="3"/>
      <c r="E2334" s="3"/>
      <c r="F2334" s="2"/>
      <c r="G2334" s="13">
        <f>IF($B2334="IN",$D2334,0)</f>
      </c>
      <c r="H2334" s="13">
        <f>IF($B2334="OUT",$D2334,0)</f>
      </c>
    </row>
    <row x14ac:dyDescent="0.25" r="2335" customHeight="1" ht="17.25">
      <c r="A2335" s="52"/>
      <c r="B2335" s="2"/>
      <c r="C2335" s="2"/>
      <c r="D2335" s="3"/>
      <c r="E2335" s="3"/>
      <c r="F2335" s="2"/>
      <c r="G2335" s="13">
        <f>IF($B2335="IN",$D2335,0)</f>
      </c>
      <c r="H2335" s="13">
        <f>IF($B2335="OUT",$D2335,0)</f>
      </c>
    </row>
    <row x14ac:dyDescent="0.25" r="2336" customHeight="1" ht="17.25">
      <c r="A2336" s="52"/>
      <c r="B2336" s="2"/>
      <c r="C2336" s="2"/>
      <c r="D2336" s="3"/>
      <c r="E2336" s="3"/>
      <c r="F2336" s="2"/>
      <c r="G2336" s="13">
        <f>IF($B2336="IN",$D2336,0)</f>
      </c>
      <c r="H2336" s="13">
        <f>IF($B2336="OUT",$D2336,0)</f>
      </c>
    </row>
    <row x14ac:dyDescent="0.25" r="2337" customHeight="1" ht="17.25">
      <c r="A2337" s="52"/>
      <c r="B2337" s="2"/>
      <c r="C2337" s="2"/>
      <c r="D2337" s="3"/>
      <c r="E2337" s="3"/>
      <c r="F2337" s="2"/>
      <c r="G2337" s="13">
        <f>IF($B2337="IN",$D2337,0)</f>
      </c>
      <c r="H2337" s="13">
        <f>IF($B2337="OUT",$D2337,0)</f>
      </c>
    </row>
    <row x14ac:dyDescent="0.25" r="2338" customHeight="1" ht="17.25">
      <c r="A2338" s="52"/>
      <c r="B2338" s="2"/>
      <c r="C2338" s="2"/>
      <c r="D2338" s="3"/>
      <c r="E2338" s="3"/>
      <c r="F2338" s="2"/>
      <c r="G2338" s="13">
        <f>IF($B2338="IN",$D2338,0)</f>
      </c>
      <c r="H2338" s="13">
        <f>IF($B2338="OUT",$D2338,0)</f>
      </c>
    </row>
    <row x14ac:dyDescent="0.25" r="2339" customHeight="1" ht="17.25">
      <c r="A2339" s="52"/>
      <c r="B2339" s="2"/>
      <c r="C2339" s="2"/>
      <c r="D2339" s="3"/>
      <c r="E2339" s="3"/>
      <c r="F2339" s="2"/>
      <c r="G2339" s="13">
        <f>IF($B2339="IN",$D2339,0)</f>
      </c>
      <c r="H2339" s="13">
        <f>IF($B2339="OUT",$D2339,0)</f>
      </c>
    </row>
    <row x14ac:dyDescent="0.25" r="2340" customHeight="1" ht="17.25">
      <c r="A2340" s="52"/>
      <c r="B2340" s="2"/>
      <c r="C2340" s="2"/>
      <c r="D2340" s="3"/>
      <c r="E2340" s="3"/>
      <c r="F2340" s="2"/>
      <c r="G2340" s="13">
        <f>IF($B2340="IN",$D2340,0)</f>
      </c>
      <c r="H2340" s="13">
        <f>IF($B2340="OUT",$D2340,0)</f>
      </c>
    </row>
    <row x14ac:dyDescent="0.25" r="2341" customHeight="1" ht="17.25">
      <c r="A2341" s="52"/>
      <c r="B2341" s="2"/>
      <c r="C2341" s="2"/>
      <c r="D2341" s="3"/>
      <c r="E2341" s="3"/>
      <c r="F2341" s="2"/>
      <c r="G2341" s="13">
        <f>IF($B2341="IN",$D2341,0)</f>
      </c>
      <c r="H2341" s="13">
        <f>IF($B2341="OUT",$D2341,0)</f>
      </c>
    </row>
    <row x14ac:dyDescent="0.25" r="2342" customHeight="1" ht="17.25">
      <c r="A2342" s="52"/>
      <c r="B2342" s="2"/>
      <c r="C2342" s="2"/>
      <c r="D2342" s="3"/>
      <c r="E2342" s="3"/>
      <c r="F2342" s="2"/>
      <c r="G2342" s="13">
        <f>IF($B2342="IN",$D2342,0)</f>
      </c>
      <c r="H2342" s="13">
        <f>IF($B2342="OUT",$D2342,0)</f>
      </c>
    </row>
    <row x14ac:dyDescent="0.25" r="2343" customHeight="1" ht="17.25">
      <c r="A2343" s="52"/>
      <c r="B2343" s="2"/>
      <c r="C2343" s="2"/>
      <c r="D2343" s="3"/>
      <c r="E2343" s="3"/>
      <c r="F2343" s="2"/>
      <c r="G2343" s="13">
        <f>IF($B2343="IN",$D2343,0)</f>
      </c>
      <c r="H2343" s="13">
        <f>IF($B2343="OUT",$D2343,0)</f>
      </c>
    </row>
    <row x14ac:dyDescent="0.25" r="2344" customHeight="1" ht="17.25">
      <c r="A2344" s="52"/>
      <c r="B2344" s="2"/>
      <c r="C2344" s="2"/>
      <c r="D2344" s="3"/>
      <c r="E2344" s="3"/>
      <c r="F2344" s="2"/>
      <c r="G2344" s="13">
        <f>IF($B2344="IN",$D2344,0)</f>
      </c>
      <c r="H2344" s="13">
        <f>IF($B2344="OUT",$D2344,0)</f>
      </c>
    </row>
    <row x14ac:dyDescent="0.25" r="2345" customHeight="1" ht="17.25">
      <c r="A2345" s="52"/>
      <c r="B2345" s="2"/>
      <c r="C2345" s="2"/>
      <c r="D2345" s="3"/>
      <c r="E2345" s="3"/>
      <c r="F2345" s="2"/>
      <c r="G2345" s="13">
        <f>IF($B2345="IN",$D2345,0)</f>
      </c>
      <c r="H2345" s="13">
        <f>IF($B2345="OUT",$D2345,0)</f>
      </c>
    </row>
    <row x14ac:dyDescent="0.25" r="2346" customHeight="1" ht="17.25">
      <c r="A2346" s="52"/>
      <c r="B2346" s="2"/>
      <c r="C2346" s="2"/>
      <c r="D2346" s="3"/>
      <c r="E2346" s="3"/>
      <c r="F2346" s="2"/>
      <c r="G2346" s="13">
        <f>IF($B2346="IN",$D2346,0)</f>
      </c>
      <c r="H2346" s="13">
        <f>IF($B2346="OUT",$D2346,0)</f>
      </c>
    </row>
    <row x14ac:dyDescent="0.25" r="2347" customHeight="1" ht="17.25">
      <c r="A2347" s="52"/>
      <c r="B2347" s="2"/>
      <c r="C2347" s="2"/>
      <c r="D2347" s="3"/>
      <c r="E2347" s="3"/>
      <c r="F2347" s="2"/>
      <c r="G2347" s="13">
        <f>IF($B2347="IN",$D2347,0)</f>
      </c>
      <c r="H2347" s="13">
        <f>IF($B2347="OUT",$D2347,0)</f>
      </c>
    </row>
    <row x14ac:dyDescent="0.25" r="2348" customHeight="1" ht="17.25">
      <c r="A2348" s="52"/>
      <c r="B2348" s="2"/>
      <c r="C2348" s="2"/>
      <c r="D2348" s="3"/>
      <c r="E2348" s="3"/>
      <c r="F2348" s="2"/>
      <c r="G2348" s="13">
        <f>IF($B2348="IN",$D2348,0)</f>
      </c>
      <c r="H2348" s="13">
        <f>IF($B2348="OUT",$D2348,0)</f>
      </c>
    </row>
    <row x14ac:dyDescent="0.25" r="2349" customHeight="1" ht="17.25">
      <c r="A2349" s="52"/>
      <c r="B2349" s="2"/>
      <c r="C2349" s="2"/>
      <c r="D2349" s="3"/>
      <c r="E2349" s="3"/>
      <c r="F2349" s="2"/>
      <c r="G2349" s="13">
        <f>IF($B2349="IN",$D2349,0)</f>
      </c>
      <c r="H2349" s="13">
        <f>IF($B2349="OUT",$D2349,0)</f>
      </c>
    </row>
    <row x14ac:dyDescent="0.25" r="2350" customHeight="1" ht="17.25">
      <c r="A2350" s="52"/>
      <c r="B2350" s="2"/>
      <c r="C2350" s="2"/>
      <c r="D2350" s="3"/>
      <c r="E2350" s="3"/>
      <c r="F2350" s="2"/>
      <c r="G2350" s="13">
        <f>IF($B2350="IN",$D2350,0)</f>
      </c>
      <c r="H2350" s="13">
        <f>IF($B2350="OUT",$D2350,0)</f>
      </c>
    </row>
    <row x14ac:dyDescent="0.25" r="2351" customHeight="1" ht="17.25">
      <c r="A2351" s="52"/>
      <c r="B2351" s="2"/>
      <c r="C2351" s="2"/>
      <c r="D2351" s="3"/>
      <c r="E2351" s="3"/>
      <c r="F2351" s="2"/>
      <c r="G2351" s="13">
        <f>IF($B2351="IN",$D2351,0)</f>
      </c>
      <c r="H2351" s="13">
        <f>IF($B2351="OUT",$D2351,0)</f>
      </c>
    </row>
    <row x14ac:dyDescent="0.25" r="2352" customHeight="1" ht="17.25">
      <c r="A2352" s="52"/>
      <c r="B2352" s="2"/>
      <c r="C2352" s="2"/>
      <c r="D2352" s="3"/>
      <c r="E2352" s="3"/>
      <c r="F2352" s="2"/>
      <c r="G2352" s="13">
        <f>IF($B2352="IN",$D2352,0)</f>
      </c>
      <c r="H2352" s="13">
        <f>IF($B2352="OUT",$D2352,0)</f>
      </c>
    </row>
    <row x14ac:dyDescent="0.25" r="2353" customHeight="1" ht="17.25">
      <c r="A2353" s="52"/>
      <c r="B2353" s="2"/>
      <c r="C2353" s="2"/>
      <c r="D2353" s="3"/>
      <c r="E2353" s="3"/>
      <c r="F2353" s="2"/>
      <c r="G2353" s="13">
        <f>IF($B2353="IN",$D2353,0)</f>
      </c>
      <c r="H2353" s="13">
        <f>IF($B2353="OUT",$D2353,0)</f>
      </c>
    </row>
    <row x14ac:dyDescent="0.25" r="2354" customHeight="1" ht="17.25">
      <c r="A2354" s="52"/>
      <c r="B2354" s="2"/>
      <c r="C2354" s="2"/>
      <c r="D2354" s="3"/>
      <c r="E2354" s="3"/>
      <c r="F2354" s="2"/>
      <c r="G2354" s="13">
        <f>IF($B2354="IN",$D2354,0)</f>
      </c>
      <c r="H2354" s="13">
        <f>IF($B2354="OUT",$D2354,0)</f>
      </c>
    </row>
    <row x14ac:dyDescent="0.25" r="2355" customHeight="1" ht="17.25">
      <c r="A2355" s="52"/>
      <c r="B2355" s="2"/>
      <c r="C2355" s="2"/>
      <c r="D2355" s="3"/>
      <c r="E2355" s="3"/>
      <c r="F2355" s="2"/>
      <c r="G2355" s="13">
        <f>IF($B2355="IN",$D2355,0)</f>
      </c>
      <c r="H2355" s="13">
        <f>IF($B2355="OUT",$D2355,0)</f>
      </c>
    </row>
    <row x14ac:dyDescent="0.25" r="2356" customHeight="1" ht="17.25">
      <c r="A2356" s="52"/>
      <c r="B2356" s="2"/>
      <c r="C2356" s="2"/>
      <c r="D2356" s="3"/>
      <c r="E2356" s="3"/>
      <c r="F2356" s="2"/>
      <c r="G2356" s="13">
        <f>IF($B2356="IN",$D2356,0)</f>
      </c>
      <c r="H2356" s="13">
        <f>IF($B2356="OUT",$D2356,0)</f>
      </c>
    </row>
    <row x14ac:dyDescent="0.25" r="2357" customHeight="1" ht="17.25">
      <c r="A2357" s="52"/>
      <c r="B2357" s="2"/>
      <c r="C2357" s="2"/>
      <c r="D2357" s="3"/>
      <c r="E2357" s="3"/>
      <c r="F2357" s="2"/>
      <c r="G2357" s="13">
        <f>IF($B2357="IN",$D2357,0)</f>
      </c>
      <c r="H2357" s="13">
        <f>IF($B2357="OUT",$D2357,0)</f>
      </c>
    </row>
    <row x14ac:dyDescent="0.25" r="2358" customHeight="1" ht="17.25">
      <c r="A2358" s="52"/>
      <c r="B2358" s="2"/>
      <c r="C2358" s="2"/>
      <c r="D2358" s="3"/>
      <c r="E2358" s="3"/>
      <c r="F2358" s="2"/>
      <c r="G2358" s="13">
        <f>IF($B2358="IN",$D2358,0)</f>
      </c>
      <c r="H2358" s="13">
        <f>IF($B2358="OUT",$D2358,0)</f>
      </c>
    </row>
    <row x14ac:dyDescent="0.25" r="2359" customHeight="1" ht="17.25">
      <c r="A2359" s="52"/>
      <c r="B2359" s="2"/>
      <c r="C2359" s="2"/>
      <c r="D2359" s="3"/>
      <c r="E2359" s="3"/>
      <c r="F2359" s="2"/>
      <c r="G2359" s="13">
        <f>IF($B2359="IN",$D2359,0)</f>
      </c>
      <c r="H2359" s="13">
        <f>IF($B2359="OUT",$D2359,0)</f>
      </c>
    </row>
    <row x14ac:dyDescent="0.25" r="2360" customHeight="1" ht="17.25">
      <c r="A2360" s="52"/>
      <c r="B2360" s="2"/>
      <c r="C2360" s="2"/>
      <c r="D2360" s="3"/>
      <c r="E2360" s="3"/>
      <c r="F2360" s="2"/>
      <c r="G2360" s="13">
        <f>IF($B2360="IN",$D2360,0)</f>
      </c>
      <c r="H2360" s="13">
        <f>IF($B2360="OUT",$D2360,0)</f>
      </c>
    </row>
    <row x14ac:dyDescent="0.25" r="2361" customHeight="1" ht="17.25">
      <c r="A2361" s="52"/>
      <c r="B2361" s="2"/>
      <c r="C2361" s="2"/>
      <c r="D2361" s="3"/>
      <c r="E2361" s="3"/>
      <c r="F2361" s="2"/>
      <c r="G2361" s="13">
        <f>IF($B2361="IN",$D2361,0)</f>
      </c>
      <c r="H2361" s="13">
        <f>IF($B2361="OUT",$D2361,0)</f>
      </c>
    </row>
    <row x14ac:dyDescent="0.25" r="2362" customHeight="1" ht="17.25">
      <c r="A2362" s="52"/>
      <c r="B2362" s="2"/>
      <c r="C2362" s="2"/>
      <c r="D2362" s="3"/>
      <c r="E2362" s="3"/>
      <c r="F2362" s="2"/>
      <c r="G2362" s="13">
        <f>IF($B2362="IN",$D2362,0)</f>
      </c>
      <c r="H2362" s="13">
        <f>IF($B2362="OUT",$D2362,0)</f>
      </c>
    </row>
    <row x14ac:dyDescent="0.25" r="2363" customHeight="1" ht="17.25">
      <c r="A2363" s="52"/>
      <c r="B2363" s="2"/>
      <c r="C2363" s="2"/>
      <c r="D2363" s="3"/>
      <c r="E2363" s="3"/>
      <c r="F2363" s="2"/>
      <c r="G2363" s="13">
        <f>IF($B2363="IN",$D2363,0)</f>
      </c>
      <c r="H2363" s="13">
        <f>IF($B2363="OUT",$D2363,0)</f>
      </c>
    </row>
    <row x14ac:dyDescent="0.25" r="2364" customHeight="1" ht="17.25">
      <c r="A2364" s="52"/>
      <c r="B2364" s="2"/>
      <c r="C2364" s="2"/>
      <c r="D2364" s="3"/>
      <c r="E2364" s="3"/>
      <c r="F2364" s="2"/>
      <c r="G2364" s="13">
        <f>IF($B2364="IN",$D2364,0)</f>
      </c>
      <c r="H2364" s="13">
        <f>IF($B2364="OUT",$D2364,0)</f>
      </c>
    </row>
    <row x14ac:dyDescent="0.25" r="2365" customHeight="1" ht="17.25">
      <c r="A2365" s="52"/>
      <c r="B2365" s="2"/>
      <c r="C2365" s="2"/>
      <c r="D2365" s="3"/>
      <c r="E2365" s="3"/>
      <c r="F2365" s="2"/>
      <c r="G2365" s="13">
        <f>IF($B2365="IN",$D2365,0)</f>
      </c>
      <c r="H2365" s="13">
        <f>IF($B2365="OUT",$D2365,0)</f>
      </c>
    </row>
    <row x14ac:dyDescent="0.25" r="2366" customHeight="1" ht="17.25">
      <c r="A2366" s="52"/>
      <c r="B2366" s="2"/>
      <c r="C2366" s="2"/>
      <c r="D2366" s="3"/>
      <c r="E2366" s="3"/>
      <c r="F2366" s="2"/>
      <c r="G2366" s="13">
        <f>IF($B2366="IN",$D2366,0)</f>
      </c>
      <c r="H2366" s="13">
        <f>IF($B2366="OUT",$D2366,0)</f>
      </c>
    </row>
    <row x14ac:dyDescent="0.25" r="2367" customHeight="1" ht="17.25">
      <c r="A2367" s="52"/>
      <c r="B2367" s="2"/>
      <c r="C2367" s="2"/>
      <c r="D2367" s="3"/>
      <c r="E2367" s="3"/>
      <c r="F2367" s="2"/>
      <c r="G2367" s="13">
        <f>IF($B2367="IN",$D2367,0)</f>
      </c>
      <c r="H2367" s="13">
        <f>IF($B2367="OUT",$D2367,0)</f>
      </c>
    </row>
    <row x14ac:dyDescent="0.25" r="2368" customHeight="1" ht="17.25">
      <c r="A2368" s="52"/>
      <c r="B2368" s="2"/>
      <c r="C2368" s="2"/>
      <c r="D2368" s="3"/>
      <c r="E2368" s="3"/>
      <c r="F2368" s="2"/>
      <c r="G2368" s="13">
        <f>IF($B2368="IN",$D2368,0)</f>
      </c>
      <c r="H2368" s="13">
        <f>IF($B2368="OUT",$D2368,0)</f>
      </c>
    </row>
    <row x14ac:dyDescent="0.25" r="2369" customHeight="1" ht="17.25">
      <c r="A2369" s="52"/>
      <c r="B2369" s="2"/>
      <c r="C2369" s="2"/>
      <c r="D2369" s="3"/>
      <c r="E2369" s="3"/>
      <c r="F2369" s="2"/>
      <c r="G2369" s="13">
        <f>IF($B2369="IN",$D2369,0)</f>
      </c>
      <c r="H2369" s="13">
        <f>IF($B2369="OUT",$D2369,0)</f>
      </c>
    </row>
    <row x14ac:dyDescent="0.25" r="2370" customHeight="1" ht="17.25">
      <c r="A2370" s="52"/>
      <c r="B2370" s="2"/>
      <c r="C2370" s="2"/>
      <c r="D2370" s="3"/>
      <c r="E2370" s="3"/>
      <c r="F2370" s="2"/>
      <c r="G2370" s="13">
        <f>IF($B2370="IN",$D2370,0)</f>
      </c>
      <c r="H2370" s="13">
        <f>IF($B2370="OUT",$D2370,0)</f>
      </c>
    </row>
    <row x14ac:dyDescent="0.25" r="2371" customHeight="1" ht="17.25">
      <c r="A2371" s="52"/>
      <c r="B2371" s="2"/>
      <c r="C2371" s="2"/>
      <c r="D2371" s="3"/>
      <c r="E2371" s="3"/>
      <c r="F2371" s="2"/>
      <c r="G2371" s="13">
        <f>IF($B2371="IN",$D2371,0)</f>
      </c>
      <c r="H2371" s="13">
        <f>IF($B2371="OUT",$D2371,0)</f>
      </c>
    </row>
    <row x14ac:dyDescent="0.25" r="2372" customHeight="1" ht="17.25">
      <c r="A2372" s="52"/>
      <c r="B2372" s="2"/>
      <c r="C2372" s="2"/>
      <c r="D2372" s="3"/>
      <c r="E2372" s="3"/>
      <c r="F2372" s="2"/>
      <c r="G2372" s="13">
        <f>IF($B2372="IN",$D2372,0)</f>
      </c>
      <c r="H2372" s="13">
        <f>IF($B2372="OUT",$D2372,0)</f>
      </c>
    </row>
    <row x14ac:dyDescent="0.25" r="2373" customHeight="1" ht="17.25">
      <c r="A2373" s="52"/>
      <c r="B2373" s="2"/>
      <c r="C2373" s="2"/>
      <c r="D2373" s="3"/>
      <c r="E2373" s="3"/>
      <c r="F2373" s="2"/>
      <c r="G2373" s="13">
        <f>IF($B2373="IN",$D2373,0)</f>
      </c>
      <c r="H2373" s="13">
        <f>IF($B2373="OUT",$D2373,0)</f>
      </c>
    </row>
    <row x14ac:dyDescent="0.25" r="2374" customHeight="1" ht="17.25">
      <c r="A2374" s="52"/>
      <c r="B2374" s="2"/>
      <c r="C2374" s="2"/>
      <c r="D2374" s="3"/>
      <c r="E2374" s="3"/>
      <c r="F2374" s="2"/>
      <c r="G2374" s="13">
        <f>IF($B2374="IN",$D2374,0)</f>
      </c>
      <c r="H2374" s="13">
        <f>IF($B2374="OUT",$D2374,0)</f>
      </c>
    </row>
    <row x14ac:dyDescent="0.25" r="2375" customHeight="1" ht="17.25">
      <c r="A2375" s="52"/>
      <c r="B2375" s="2"/>
      <c r="C2375" s="2"/>
      <c r="D2375" s="3"/>
      <c r="E2375" s="3"/>
      <c r="F2375" s="2"/>
      <c r="G2375" s="13">
        <f>IF($B2375="IN",$D2375,0)</f>
      </c>
      <c r="H2375" s="13">
        <f>IF($B2375="OUT",$D2375,0)</f>
      </c>
    </row>
    <row x14ac:dyDescent="0.25" r="2376" customHeight="1" ht="17.25">
      <c r="A2376" s="52"/>
      <c r="B2376" s="2"/>
      <c r="C2376" s="2"/>
      <c r="D2376" s="3"/>
      <c r="E2376" s="3"/>
      <c r="F2376" s="2"/>
      <c r="G2376" s="13">
        <f>IF($B2376="IN",$D2376,0)</f>
      </c>
      <c r="H2376" s="13">
        <f>IF($B2376="OUT",$D2376,0)</f>
      </c>
    </row>
    <row x14ac:dyDescent="0.25" r="2377" customHeight="1" ht="17.25">
      <c r="A2377" s="52"/>
      <c r="B2377" s="2"/>
      <c r="C2377" s="2"/>
      <c r="D2377" s="3"/>
      <c r="E2377" s="3"/>
      <c r="F2377" s="2"/>
      <c r="G2377" s="13">
        <f>IF($B2377="IN",$D2377,0)</f>
      </c>
      <c r="H2377" s="13">
        <f>IF($B2377="OUT",$D2377,0)</f>
      </c>
    </row>
    <row x14ac:dyDescent="0.25" r="2378" customHeight="1" ht="17.25">
      <c r="A2378" s="52"/>
      <c r="B2378" s="2"/>
      <c r="C2378" s="2"/>
      <c r="D2378" s="3"/>
      <c r="E2378" s="3"/>
      <c r="F2378" s="2"/>
      <c r="G2378" s="13">
        <f>IF($B2378="IN",$D2378,0)</f>
      </c>
      <c r="H2378" s="13">
        <f>IF($B2378="OUT",$D2378,0)</f>
      </c>
    </row>
    <row x14ac:dyDescent="0.25" r="2379" customHeight="1" ht="17.25">
      <c r="A2379" s="52"/>
      <c r="B2379" s="2"/>
      <c r="C2379" s="2"/>
      <c r="D2379" s="3"/>
      <c r="E2379" s="3"/>
      <c r="F2379" s="2"/>
      <c r="G2379" s="13">
        <f>IF($B2379="IN",$D2379,0)</f>
      </c>
      <c r="H2379" s="13">
        <f>IF($B2379="OUT",$D2379,0)</f>
      </c>
    </row>
    <row x14ac:dyDescent="0.25" r="2380" customHeight="1" ht="17.25">
      <c r="A2380" s="52"/>
      <c r="B2380" s="2"/>
      <c r="C2380" s="2"/>
      <c r="D2380" s="3"/>
      <c r="E2380" s="3"/>
      <c r="F2380" s="2"/>
      <c r="G2380" s="13">
        <f>IF($B2380="IN",$D2380,0)</f>
      </c>
      <c r="H2380" s="13">
        <f>IF($B2380="OUT",$D2380,0)</f>
      </c>
    </row>
    <row x14ac:dyDescent="0.25" r="2381" customHeight="1" ht="17.25">
      <c r="A2381" s="52"/>
      <c r="B2381" s="2"/>
      <c r="C2381" s="2"/>
      <c r="D2381" s="3"/>
      <c r="E2381" s="3"/>
      <c r="F2381" s="2"/>
      <c r="G2381" s="13">
        <f>IF($B2381="IN",$D2381,0)</f>
      </c>
      <c r="H2381" s="13">
        <f>IF($B2381="OUT",$D2381,0)</f>
      </c>
    </row>
    <row x14ac:dyDescent="0.25" r="2382" customHeight="1" ht="17.25">
      <c r="A2382" s="52"/>
      <c r="B2382" s="2"/>
      <c r="C2382" s="2"/>
      <c r="D2382" s="3"/>
      <c r="E2382" s="3"/>
      <c r="F2382" s="2"/>
      <c r="G2382" s="13">
        <f>IF($B2382="IN",$D2382,0)</f>
      </c>
      <c r="H2382" s="13">
        <f>IF($B2382="OUT",$D2382,0)</f>
      </c>
    </row>
    <row x14ac:dyDescent="0.25" r="2383" customHeight="1" ht="17.25">
      <c r="A2383" s="52"/>
      <c r="B2383" s="2"/>
      <c r="C2383" s="2"/>
      <c r="D2383" s="3"/>
      <c r="E2383" s="3"/>
      <c r="F2383" s="2"/>
      <c r="G2383" s="13">
        <f>IF($B2383="IN",$D2383,0)</f>
      </c>
      <c r="H2383" s="13">
        <f>IF($B2383="OUT",$D2383,0)</f>
      </c>
    </row>
    <row x14ac:dyDescent="0.25" r="2384" customHeight="1" ht="17.25">
      <c r="A2384" s="52"/>
      <c r="B2384" s="2"/>
      <c r="C2384" s="2"/>
      <c r="D2384" s="3"/>
      <c r="E2384" s="3"/>
      <c r="F2384" s="2"/>
      <c r="G2384" s="13">
        <f>IF($B2384="IN",$D2384,0)</f>
      </c>
      <c r="H2384" s="13">
        <f>IF($B2384="OUT",$D2384,0)</f>
      </c>
    </row>
    <row x14ac:dyDescent="0.25" r="2385" customHeight="1" ht="17.25">
      <c r="A2385" s="52"/>
      <c r="B2385" s="2"/>
      <c r="C2385" s="2"/>
      <c r="D2385" s="3"/>
      <c r="E2385" s="3"/>
      <c r="F2385" s="2"/>
      <c r="G2385" s="13">
        <f>IF($B2385="IN",$D2385,0)</f>
      </c>
      <c r="H2385" s="13">
        <f>IF($B2385="OUT",$D2385,0)</f>
      </c>
    </row>
    <row x14ac:dyDescent="0.25" r="2386" customHeight="1" ht="17.25">
      <c r="A2386" s="52"/>
      <c r="B2386" s="2"/>
      <c r="C2386" s="2"/>
      <c r="D2386" s="3"/>
      <c r="E2386" s="3"/>
      <c r="F2386" s="2"/>
      <c r="G2386" s="13">
        <f>IF($B2386="IN",$D2386,0)</f>
      </c>
      <c r="H2386" s="13">
        <f>IF($B2386="OUT",$D2386,0)</f>
      </c>
    </row>
    <row x14ac:dyDescent="0.25" r="2387" customHeight="1" ht="17.25">
      <c r="A2387" s="52"/>
      <c r="B2387" s="2"/>
      <c r="C2387" s="2"/>
      <c r="D2387" s="3"/>
      <c r="E2387" s="3"/>
      <c r="F2387" s="2"/>
      <c r="G2387" s="13">
        <f>IF($B2387="IN",$D2387,0)</f>
      </c>
      <c r="H2387" s="13">
        <f>IF($B2387="OUT",$D2387,0)</f>
      </c>
    </row>
    <row x14ac:dyDescent="0.25" r="2388" customHeight="1" ht="17.25">
      <c r="A2388" s="52"/>
      <c r="B2388" s="2"/>
      <c r="C2388" s="2"/>
      <c r="D2388" s="3"/>
      <c r="E2388" s="3"/>
      <c r="F2388" s="2"/>
      <c r="G2388" s="13">
        <f>IF($B2388="IN",$D2388,0)</f>
      </c>
      <c r="H2388" s="13">
        <f>IF($B2388="OUT",$D2388,0)</f>
      </c>
    </row>
    <row x14ac:dyDescent="0.25" r="2389" customHeight="1" ht="17.25">
      <c r="A2389" s="52"/>
      <c r="B2389" s="2"/>
      <c r="C2389" s="2"/>
      <c r="D2389" s="3"/>
      <c r="E2389" s="3"/>
      <c r="F2389" s="2"/>
      <c r="G2389" s="13">
        <f>IF($B2389="IN",$D2389,0)</f>
      </c>
      <c r="H2389" s="13">
        <f>IF($B2389="OUT",$D2389,0)</f>
      </c>
    </row>
    <row x14ac:dyDescent="0.25" r="2390" customHeight="1" ht="17.25">
      <c r="A2390" s="52"/>
      <c r="B2390" s="2"/>
      <c r="C2390" s="2"/>
      <c r="D2390" s="3"/>
      <c r="E2390" s="3"/>
      <c r="F2390" s="2"/>
      <c r="G2390" s="13">
        <f>IF($B2390="IN",$D2390,0)</f>
      </c>
      <c r="H2390" s="13">
        <f>IF($B2390="OUT",$D2390,0)</f>
      </c>
    </row>
    <row x14ac:dyDescent="0.25" r="2391" customHeight="1" ht="17.25">
      <c r="A2391" s="52"/>
      <c r="B2391" s="2"/>
      <c r="C2391" s="2"/>
      <c r="D2391" s="3"/>
      <c r="E2391" s="3"/>
      <c r="F2391" s="2"/>
      <c r="G2391" s="13">
        <f>IF($B2391="IN",$D2391,0)</f>
      </c>
      <c r="H2391" s="13">
        <f>IF($B2391="OUT",$D2391,0)</f>
      </c>
    </row>
    <row x14ac:dyDescent="0.25" r="2392" customHeight="1" ht="17.25">
      <c r="A2392" s="52"/>
      <c r="B2392" s="2"/>
      <c r="C2392" s="2"/>
      <c r="D2392" s="3"/>
      <c r="E2392" s="3"/>
      <c r="F2392" s="2"/>
      <c r="G2392" s="13">
        <f>IF($B2392="IN",$D2392,0)</f>
      </c>
      <c r="H2392" s="13">
        <f>IF($B2392="OUT",$D2392,0)</f>
      </c>
    </row>
    <row x14ac:dyDescent="0.25" r="2393" customHeight="1" ht="17.25">
      <c r="A2393" s="52"/>
      <c r="B2393" s="2"/>
      <c r="C2393" s="2"/>
      <c r="D2393" s="3"/>
      <c r="E2393" s="3"/>
      <c r="F2393" s="2"/>
      <c r="G2393" s="13">
        <f>IF($B2393="IN",$D2393,0)</f>
      </c>
      <c r="H2393" s="13">
        <f>IF($B2393="OUT",$D2393,0)</f>
      </c>
    </row>
    <row x14ac:dyDescent="0.25" r="2394" customHeight="1" ht="17.25">
      <c r="A2394" s="52"/>
      <c r="B2394" s="2"/>
      <c r="C2394" s="2"/>
      <c r="D2394" s="3"/>
      <c r="E2394" s="3"/>
      <c r="F2394" s="2"/>
      <c r="G2394" s="13">
        <f>IF($B2394="IN",$D2394,0)</f>
      </c>
      <c r="H2394" s="13">
        <f>IF($B2394="OUT",$D2394,0)</f>
      </c>
    </row>
    <row x14ac:dyDescent="0.25" r="2395" customHeight="1" ht="17.25">
      <c r="A2395" s="52"/>
      <c r="B2395" s="2"/>
      <c r="C2395" s="2"/>
      <c r="D2395" s="3"/>
      <c r="E2395" s="3"/>
      <c r="F2395" s="2"/>
      <c r="G2395" s="13">
        <f>IF($B2395="IN",$D2395,0)</f>
      </c>
      <c r="H2395" s="13">
        <f>IF($B2395="OUT",$D2395,0)</f>
      </c>
    </row>
    <row x14ac:dyDescent="0.25" r="2396" customHeight="1" ht="17.25">
      <c r="A2396" s="52"/>
      <c r="B2396" s="2"/>
      <c r="C2396" s="2"/>
      <c r="D2396" s="3"/>
      <c r="E2396" s="3"/>
      <c r="F2396" s="2"/>
      <c r="G2396" s="13">
        <f>IF($B2396="IN",$D2396,0)</f>
      </c>
      <c r="H2396" s="13">
        <f>IF($B2396="OUT",$D2396,0)</f>
      </c>
    </row>
    <row x14ac:dyDescent="0.25" r="2397" customHeight="1" ht="17.25">
      <c r="A2397" s="52"/>
      <c r="B2397" s="2"/>
      <c r="C2397" s="2"/>
      <c r="D2397" s="3"/>
      <c r="E2397" s="3"/>
      <c r="F2397" s="2"/>
      <c r="G2397" s="13">
        <f>IF($B2397="IN",$D2397,0)</f>
      </c>
      <c r="H2397" s="13">
        <f>IF($B2397="OUT",$D2397,0)</f>
      </c>
    </row>
    <row x14ac:dyDescent="0.25" r="2398" customHeight="1" ht="17.25">
      <c r="A2398" s="52"/>
      <c r="B2398" s="2"/>
      <c r="C2398" s="2"/>
      <c r="D2398" s="3"/>
      <c r="E2398" s="3"/>
      <c r="F2398" s="2"/>
      <c r="G2398" s="13">
        <f>IF($B2398="IN",$D2398,0)</f>
      </c>
      <c r="H2398" s="13">
        <f>IF($B2398="OUT",$D2398,0)</f>
      </c>
    </row>
    <row x14ac:dyDescent="0.25" r="2399" customHeight="1" ht="17.25">
      <c r="A2399" s="52"/>
      <c r="B2399" s="2"/>
      <c r="C2399" s="2"/>
      <c r="D2399" s="3"/>
      <c r="E2399" s="3"/>
      <c r="F2399" s="2"/>
      <c r="G2399" s="13">
        <f>IF($B2399="IN",$D2399,0)</f>
      </c>
      <c r="H2399" s="13">
        <f>IF($B2399="OUT",$D2399,0)</f>
      </c>
    </row>
    <row x14ac:dyDescent="0.25" r="2400" customHeight="1" ht="17.25">
      <c r="A2400" s="52"/>
      <c r="B2400" s="2"/>
      <c r="C2400" s="2"/>
      <c r="D2400" s="3"/>
      <c r="E2400" s="3"/>
      <c r="F2400" s="2"/>
      <c r="G2400" s="13">
        <f>IF($B2400="IN",$D2400,0)</f>
      </c>
      <c r="H2400" s="13">
        <f>IF($B2400="OUT",$D2400,0)</f>
      </c>
    </row>
    <row x14ac:dyDescent="0.25" r="2401" customHeight="1" ht="17.25">
      <c r="A2401" s="52"/>
      <c r="B2401" s="2"/>
      <c r="C2401" s="2"/>
      <c r="D2401" s="3"/>
      <c r="E2401" s="3"/>
      <c r="F2401" s="2"/>
      <c r="G2401" s="13">
        <f>IF($B2401="IN",$D2401,0)</f>
      </c>
      <c r="H2401" s="13">
        <f>IF($B2401="OUT",$D2401,0)</f>
      </c>
    </row>
    <row x14ac:dyDescent="0.25" r="2402" customHeight="1" ht="17.25">
      <c r="A2402" s="52"/>
      <c r="B2402" s="2"/>
      <c r="C2402" s="2"/>
      <c r="D2402" s="3"/>
      <c r="E2402" s="3"/>
      <c r="F2402" s="2"/>
      <c r="G2402" s="13">
        <f>IF($B2402="IN",$D2402,0)</f>
      </c>
      <c r="H2402" s="13">
        <f>IF($B2402="OUT",$D2402,0)</f>
      </c>
    </row>
    <row x14ac:dyDescent="0.25" r="2403" customHeight="1" ht="17.25">
      <c r="A2403" s="52"/>
      <c r="B2403" s="2"/>
      <c r="C2403" s="2"/>
      <c r="D2403" s="3"/>
      <c r="E2403" s="3"/>
      <c r="F2403" s="2"/>
      <c r="G2403" s="13">
        <f>IF($B2403="IN",$D2403,0)</f>
      </c>
      <c r="H2403" s="13">
        <f>IF($B2403="OUT",$D2403,0)</f>
      </c>
    </row>
    <row x14ac:dyDescent="0.25" r="2404" customHeight="1" ht="17.25">
      <c r="A2404" s="52"/>
      <c r="B2404" s="2"/>
      <c r="C2404" s="2"/>
      <c r="D2404" s="3"/>
      <c r="E2404" s="3"/>
      <c r="F2404" s="2"/>
      <c r="G2404" s="13">
        <f>IF($B2404="IN",$D2404,0)</f>
      </c>
      <c r="H2404" s="13">
        <f>IF($B2404="OUT",$D2404,0)</f>
      </c>
    </row>
    <row x14ac:dyDescent="0.25" r="2405" customHeight="1" ht="17.25">
      <c r="A2405" s="52"/>
      <c r="B2405" s="2"/>
      <c r="C2405" s="2"/>
      <c r="D2405" s="3"/>
      <c r="E2405" s="3"/>
      <c r="F2405" s="2"/>
      <c r="G2405" s="13">
        <f>IF($B2405="IN",$D2405,0)</f>
      </c>
      <c r="H2405" s="13">
        <f>IF($B2405="OUT",$D2405,0)</f>
      </c>
    </row>
    <row x14ac:dyDescent="0.25" r="2406" customHeight="1" ht="17.25">
      <c r="A2406" s="52"/>
      <c r="B2406" s="2"/>
      <c r="C2406" s="2"/>
      <c r="D2406" s="3"/>
      <c r="E2406" s="3"/>
      <c r="F2406" s="2"/>
      <c r="G2406" s="13">
        <f>IF($B2406="IN",$D2406,0)</f>
      </c>
      <c r="H2406" s="13">
        <f>IF($B2406="OUT",$D2406,0)</f>
      </c>
    </row>
    <row x14ac:dyDescent="0.25" r="2407" customHeight="1" ht="17.25">
      <c r="A2407" s="52"/>
      <c r="B2407" s="2"/>
      <c r="C2407" s="2"/>
      <c r="D2407" s="3"/>
      <c r="E2407" s="3"/>
      <c r="F2407" s="2"/>
      <c r="G2407" s="13">
        <f>IF($B2407="IN",$D2407,0)</f>
      </c>
      <c r="H2407" s="13">
        <f>IF($B2407="OUT",$D2407,0)</f>
      </c>
    </row>
    <row x14ac:dyDescent="0.25" r="2408" customHeight="1" ht="17.25">
      <c r="A2408" s="52"/>
      <c r="B2408" s="2"/>
      <c r="C2408" s="2"/>
      <c r="D2408" s="3"/>
      <c r="E2408" s="3"/>
      <c r="F2408" s="2"/>
      <c r="G2408" s="13">
        <f>IF($B2408="IN",$D2408,0)</f>
      </c>
      <c r="H2408" s="13">
        <f>IF($B2408="OUT",$D2408,0)</f>
      </c>
    </row>
    <row x14ac:dyDescent="0.25" r="2409" customHeight="1" ht="17.25">
      <c r="A2409" s="52"/>
      <c r="B2409" s="2"/>
      <c r="C2409" s="2"/>
      <c r="D2409" s="3"/>
      <c r="E2409" s="3"/>
      <c r="F2409" s="2"/>
      <c r="G2409" s="13">
        <f>IF($B2409="IN",$D2409,0)</f>
      </c>
      <c r="H2409" s="13">
        <f>IF($B2409="OUT",$D2409,0)</f>
      </c>
    </row>
    <row x14ac:dyDescent="0.25" r="2410" customHeight="1" ht="17.25">
      <c r="A2410" s="52"/>
      <c r="B2410" s="2"/>
      <c r="C2410" s="2"/>
      <c r="D2410" s="3"/>
      <c r="E2410" s="3"/>
      <c r="F2410" s="2"/>
      <c r="G2410" s="13">
        <f>IF($B2410="IN",$D2410,0)</f>
      </c>
      <c r="H2410" s="13">
        <f>IF($B2410="OUT",$D2410,0)</f>
      </c>
    </row>
    <row x14ac:dyDescent="0.25" r="2411" customHeight="1" ht="17.25">
      <c r="A2411" s="52"/>
      <c r="B2411" s="2"/>
      <c r="C2411" s="2"/>
      <c r="D2411" s="3"/>
      <c r="E2411" s="3"/>
      <c r="F2411" s="2"/>
      <c r="G2411" s="13">
        <f>IF($B2411="IN",$D2411,0)</f>
      </c>
      <c r="H2411" s="13">
        <f>IF($B2411="OUT",$D2411,0)</f>
      </c>
    </row>
    <row x14ac:dyDescent="0.25" r="2412" customHeight="1" ht="17.25">
      <c r="A2412" s="52"/>
      <c r="B2412" s="2"/>
      <c r="C2412" s="2"/>
      <c r="D2412" s="3"/>
      <c r="E2412" s="3"/>
      <c r="F2412" s="2"/>
      <c r="G2412" s="13">
        <f>IF($B2412="IN",$D2412,0)</f>
      </c>
      <c r="H2412" s="13">
        <f>IF($B2412="OUT",$D2412,0)</f>
      </c>
    </row>
    <row x14ac:dyDescent="0.25" r="2413" customHeight="1" ht="17.25">
      <c r="A2413" s="52"/>
      <c r="B2413" s="2"/>
      <c r="C2413" s="2"/>
      <c r="D2413" s="3"/>
      <c r="E2413" s="3"/>
      <c r="F2413" s="2"/>
      <c r="G2413" s="13">
        <f>IF($B2413="IN",$D2413,0)</f>
      </c>
      <c r="H2413" s="13">
        <f>IF($B2413="OUT",$D2413,0)</f>
      </c>
    </row>
    <row x14ac:dyDescent="0.25" r="2414" customHeight="1" ht="17.25">
      <c r="A2414" s="52"/>
      <c r="B2414" s="2"/>
      <c r="C2414" s="2"/>
      <c r="D2414" s="3"/>
      <c r="E2414" s="3"/>
      <c r="F2414" s="2"/>
      <c r="G2414" s="13">
        <f>IF($B2414="IN",$D2414,0)</f>
      </c>
      <c r="H2414" s="13">
        <f>IF($B2414="OUT",$D2414,0)</f>
      </c>
    </row>
    <row x14ac:dyDescent="0.25" r="2415" customHeight="1" ht="17.25">
      <c r="A2415" s="52"/>
      <c r="B2415" s="2"/>
      <c r="C2415" s="2"/>
      <c r="D2415" s="3"/>
      <c r="E2415" s="3"/>
      <c r="F2415" s="2"/>
      <c r="G2415" s="13">
        <f>IF($B2415="IN",$D2415,0)</f>
      </c>
      <c r="H2415" s="13">
        <f>IF($B2415="OUT",$D2415,0)</f>
      </c>
    </row>
    <row x14ac:dyDescent="0.25" r="2416" customHeight="1" ht="17.25">
      <c r="A2416" s="52"/>
      <c r="B2416" s="2"/>
      <c r="C2416" s="2"/>
      <c r="D2416" s="3"/>
      <c r="E2416" s="3"/>
      <c r="F2416" s="2"/>
      <c r="G2416" s="13">
        <f>IF($B2416="IN",$D2416,0)</f>
      </c>
      <c r="H2416" s="13">
        <f>IF($B2416="OUT",$D2416,0)</f>
      </c>
    </row>
    <row x14ac:dyDescent="0.25" r="2417" customHeight="1" ht="17.25">
      <c r="A2417" s="52"/>
      <c r="B2417" s="2"/>
      <c r="C2417" s="2"/>
      <c r="D2417" s="3"/>
      <c r="E2417" s="3"/>
      <c r="F2417" s="2"/>
      <c r="G2417" s="13">
        <f>IF($B2417="IN",$D2417,0)</f>
      </c>
      <c r="H2417" s="13">
        <f>IF($B2417="OUT",$D2417,0)</f>
      </c>
    </row>
    <row x14ac:dyDescent="0.25" r="2418" customHeight="1" ht="17.25">
      <c r="A2418" s="52"/>
      <c r="B2418" s="2"/>
      <c r="C2418" s="2"/>
      <c r="D2418" s="3"/>
      <c r="E2418" s="3"/>
      <c r="F2418" s="2"/>
      <c r="G2418" s="13">
        <f>IF($B2418="IN",$D2418,0)</f>
      </c>
      <c r="H2418" s="13">
        <f>IF($B2418="OUT",$D2418,0)</f>
      </c>
    </row>
    <row x14ac:dyDescent="0.25" r="2419" customHeight="1" ht="17.25">
      <c r="A2419" s="52"/>
      <c r="B2419" s="2"/>
      <c r="C2419" s="2"/>
      <c r="D2419" s="3"/>
      <c r="E2419" s="3"/>
      <c r="F2419" s="2"/>
      <c r="G2419" s="13">
        <f>IF($B2419="IN",$D2419,0)</f>
      </c>
      <c r="H2419" s="13">
        <f>IF($B2419="OUT",$D2419,0)</f>
      </c>
    </row>
    <row x14ac:dyDescent="0.25" r="2420" customHeight="1" ht="17.25">
      <c r="A2420" s="52"/>
      <c r="B2420" s="2"/>
      <c r="C2420" s="2"/>
      <c r="D2420" s="3"/>
      <c r="E2420" s="3"/>
      <c r="F2420" s="2"/>
      <c r="G2420" s="13">
        <f>IF($B2420="IN",$D2420,0)</f>
      </c>
      <c r="H2420" s="13">
        <f>IF($B2420="OUT",$D2420,0)</f>
      </c>
    </row>
    <row x14ac:dyDescent="0.25" r="2421" customHeight="1" ht="17.25">
      <c r="A2421" s="52"/>
      <c r="B2421" s="2"/>
      <c r="C2421" s="2"/>
      <c r="D2421" s="3"/>
      <c r="E2421" s="3"/>
      <c r="F2421" s="2"/>
      <c r="G2421" s="13">
        <f>IF($B2421="IN",$D2421,0)</f>
      </c>
      <c r="H2421" s="13">
        <f>IF($B2421="OUT",$D2421,0)</f>
      </c>
    </row>
    <row x14ac:dyDescent="0.25" r="2422" customHeight="1" ht="17.25">
      <c r="A2422" s="52"/>
      <c r="B2422" s="2"/>
      <c r="C2422" s="2"/>
      <c r="D2422" s="3"/>
      <c r="E2422" s="3"/>
      <c r="F2422" s="2"/>
      <c r="G2422" s="13">
        <f>IF($B2422="IN",$D2422,0)</f>
      </c>
      <c r="H2422" s="13">
        <f>IF($B2422="OUT",$D2422,0)</f>
      </c>
    </row>
    <row x14ac:dyDescent="0.25" r="2423" customHeight="1" ht="17.25">
      <c r="A2423" s="52"/>
      <c r="B2423" s="2"/>
      <c r="C2423" s="2"/>
      <c r="D2423" s="3"/>
      <c r="E2423" s="3"/>
      <c r="F2423" s="2"/>
      <c r="G2423" s="13">
        <f>IF($B2423="IN",$D2423,0)</f>
      </c>
      <c r="H2423" s="13">
        <f>IF($B2423="OUT",$D2423,0)</f>
      </c>
    </row>
    <row x14ac:dyDescent="0.25" r="2424" customHeight="1" ht="17.25">
      <c r="A2424" s="52"/>
      <c r="B2424" s="2"/>
      <c r="C2424" s="2"/>
      <c r="D2424" s="3"/>
      <c r="E2424" s="3"/>
      <c r="F2424" s="2"/>
      <c r="G2424" s="13">
        <f>IF($B2424="IN",$D2424,0)</f>
      </c>
      <c r="H2424" s="13">
        <f>IF($B2424="OUT",$D2424,0)</f>
      </c>
    </row>
    <row x14ac:dyDescent="0.25" r="2425" customHeight="1" ht="17.25">
      <c r="A2425" s="52"/>
      <c r="B2425" s="2"/>
      <c r="C2425" s="2"/>
      <c r="D2425" s="3"/>
      <c r="E2425" s="3"/>
      <c r="F2425" s="2"/>
      <c r="G2425" s="13">
        <f>IF($B2425="IN",$D2425,0)</f>
      </c>
      <c r="H2425" s="13">
        <f>IF($B2425="OUT",$D2425,0)</f>
      </c>
    </row>
    <row x14ac:dyDescent="0.25" r="2426" customHeight="1" ht="17.25">
      <c r="A2426" s="52"/>
      <c r="B2426" s="2"/>
      <c r="C2426" s="2"/>
      <c r="D2426" s="3"/>
      <c r="E2426" s="3"/>
      <c r="F2426" s="2"/>
      <c r="G2426" s="13">
        <f>IF($B2426="IN",$D2426,0)</f>
      </c>
      <c r="H2426" s="13">
        <f>IF($B2426="OUT",$D2426,0)</f>
      </c>
    </row>
    <row x14ac:dyDescent="0.25" r="2427" customHeight="1" ht="17.25">
      <c r="A2427" s="52"/>
      <c r="B2427" s="2"/>
      <c r="C2427" s="2"/>
      <c r="D2427" s="3"/>
      <c r="E2427" s="3"/>
      <c r="F2427" s="2"/>
      <c r="G2427" s="13">
        <f>IF($B2427="IN",$D2427,0)</f>
      </c>
      <c r="H2427" s="13">
        <f>IF($B2427="OUT",$D2427,0)</f>
      </c>
    </row>
    <row x14ac:dyDescent="0.25" r="2428" customHeight="1" ht="17.25">
      <c r="A2428" s="52"/>
      <c r="B2428" s="2"/>
      <c r="C2428" s="2"/>
      <c r="D2428" s="3"/>
      <c r="E2428" s="3"/>
      <c r="F2428" s="2"/>
      <c r="G2428" s="13">
        <f>IF($B2428="IN",$D2428,0)</f>
      </c>
      <c r="H2428" s="13">
        <f>IF($B2428="OUT",$D2428,0)</f>
      </c>
    </row>
    <row x14ac:dyDescent="0.25" r="2429" customHeight="1" ht="17.25">
      <c r="A2429" s="52"/>
      <c r="B2429" s="2"/>
      <c r="C2429" s="2"/>
      <c r="D2429" s="3"/>
      <c r="E2429" s="3"/>
      <c r="F2429" s="2"/>
      <c r="G2429" s="13">
        <f>IF($B2429="IN",$D2429,0)</f>
      </c>
      <c r="H2429" s="13">
        <f>IF($B2429="OUT",$D2429,0)</f>
      </c>
    </row>
    <row x14ac:dyDescent="0.25" r="2430" customHeight="1" ht="17.25">
      <c r="A2430" s="52"/>
      <c r="B2430" s="2"/>
      <c r="C2430" s="2"/>
      <c r="D2430" s="3"/>
      <c r="E2430" s="3"/>
      <c r="F2430" s="2"/>
      <c r="G2430" s="13">
        <f>IF($B2430="IN",$D2430,0)</f>
      </c>
      <c r="H2430" s="13">
        <f>IF($B2430="OUT",$D2430,0)</f>
      </c>
    </row>
    <row x14ac:dyDescent="0.25" r="2431" customHeight="1" ht="17.25">
      <c r="A2431" s="52"/>
      <c r="B2431" s="2"/>
      <c r="C2431" s="2"/>
      <c r="D2431" s="3"/>
      <c r="E2431" s="3"/>
      <c r="F2431" s="2"/>
      <c r="G2431" s="13">
        <f>IF($B2431="IN",$D2431,0)</f>
      </c>
      <c r="H2431" s="13">
        <f>IF($B2431="OUT",$D2431,0)</f>
      </c>
    </row>
    <row x14ac:dyDescent="0.25" r="2432" customHeight="1" ht="17.25">
      <c r="A2432" s="52"/>
      <c r="B2432" s="2"/>
      <c r="C2432" s="2"/>
      <c r="D2432" s="3"/>
      <c r="E2432" s="3"/>
      <c r="F2432" s="2"/>
      <c r="G2432" s="13">
        <f>IF($B2432="IN",$D2432,0)</f>
      </c>
      <c r="H2432" s="13">
        <f>IF($B2432="OUT",$D2432,0)</f>
      </c>
    </row>
    <row x14ac:dyDescent="0.25" r="2433" customHeight="1" ht="17.25">
      <c r="A2433" s="52"/>
      <c r="B2433" s="2"/>
      <c r="C2433" s="2"/>
      <c r="D2433" s="3"/>
      <c r="E2433" s="3"/>
      <c r="F2433" s="2"/>
      <c r="G2433" s="13">
        <f>IF($B2433="IN",$D2433,0)</f>
      </c>
      <c r="H2433" s="13">
        <f>IF($B2433="OUT",$D2433,0)</f>
      </c>
    </row>
    <row x14ac:dyDescent="0.25" r="2434" customHeight="1" ht="17.25">
      <c r="A2434" s="52"/>
      <c r="B2434" s="2"/>
      <c r="C2434" s="2"/>
      <c r="D2434" s="3"/>
      <c r="E2434" s="3"/>
      <c r="F2434" s="2"/>
      <c r="G2434" s="13">
        <f>IF($B2434="IN",$D2434,0)</f>
      </c>
      <c r="H2434" s="13">
        <f>IF($B2434="OUT",$D2434,0)</f>
      </c>
    </row>
    <row x14ac:dyDescent="0.25" r="2435" customHeight="1" ht="17.25">
      <c r="A2435" s="52"/>
      <c r="B2435" s="2"/>
      <c r="C2435" s="2"/>
      <c r="D2435" s="3"/>
      <c r="E2435" s="3"/>
      <c r="F2435" s="2"/>
      <c r="G2435" s="13">
        <f>IF($B2435="IN",$D2435,0)</f>
      </c>
      <c r="H2435" s="13">
        <f>IF($B2435="OUT",$D2435,0)</f>
      </c>
    </row>
    <row x14ac:dyDescent="0.25" r="2436" customHeight="1" ht="17.25">
      <c r="A2436" s="52"/>
      <c r="B2436" s="2"/>
      <c r="C2436" s="2"/>
      <c r="D2436" s="3"/>
      <c r="E2436" s="3"/>
      <c r="F2436" s="2"/>
      <c r="G2436" s="13">
        <f>IF($B2436="IN",$D2436,0)</f>
      </c>
      <c r="H2436" s="13">
        <f>IF($B2436="OUT",$D2436,0)</f>
      </c>
    </row>
    <row x14ac:dyDescent="0.25" r="2437" customHeight="1" ht="17.25">
      <c r="A2437" s="52"/>
      <c r="B2437" s="2"/>
      <c r="C2437" s="2"/>
      <c r="D2437" s="3"/>
      <c r="E2437" s="3"/>
      <c r="F2437" s="2"/>
      <c r="G2437" s="13">
        <f>IF($B2437="IN",$D2437,0)</f>
      </c>
      <c r="H2437" s="13">
        <f>IF($B2437="OUT",$D2437,0)</f>
      </c>
    </row>
    <row x14ac:dyDescent="0.25" r="2438" customHeight="1" ht="17.25">
      <c r="A2438" s="52"/>
      <c r="B2438" s="2"/>
      <c r="C2438" s="2"/>
      <c r="D2438" s="3"/>
      <c r="E2438" s="3"/>
      <c r="F2438" s="2"/>
      <c r="G2438" s="13">
        <f>IF($B2438="IN",$D2438,0)</f>
      </c>
      <c r="H2438" s="13">
        <f>IF($B2438="OUT",$D2438,0)</f>
      </c>
    </row>
    <row x14ac:dyDescent="0.25" r="2439" customHeight="1" ht="17.25">
      <c r="A2439" s="52"/>
      <c r="B2439" s="2"/>
      <c r="C2439" s="2"/>
      <c r="D2439" s="3"/>
      <c r="E2439" s="3"/>
      <c r="F2439" s="2"/>
      <c r="G2439" s="13">
        <f>IF($B2439="IN",$D2439,0)</f>
      </c>
      <c r="H2439" s="13">
        <f>IF($B2439="OUT",$D2439,0)</f>
      </c>
    </row>
    <row x14ac:dyDescent="0.25" r="2440" customHeight="1" ht="17.25">
      <c r="A2440" s="52"/>
      <c r="B2440" s="2"/>
      <c r="C2440" s="2"/>
      <c r="D2440" s="3"/>
      <c r="E2440" s="3"/>
      <c r="F2440" s="2"/>
      <c r="G2440" s="13">
        <f>IF($B2440="IN",$D2440,0)</f>
      </c>
      <c r="H2440" s="13">
        <f>IF($B2440="OUT",$D2440,0)</f>
      </c>
    </row>
    <row x14ac:dyDescent="0.25" r="2441" customHeight="1" ht="17.25">
      <c r="A2441" s="52"/>
      <c r="B2441" s="2"/>
      <c r="C2441" s="2"/>
      <c r="D2441" s="3"/>
      <c r="E2441" s="3"/>
      <c r="F2441" s="2"/>
      <c r="G2441" s="13">
        <f>IF($B2441="IN",$D2441,0)</f>
      </c>
      <c r="H2441" s="13">
        <f>IF($B2441="OUT",$D2441,0)</f>
      </c>
    </row>
    <row x14ac:dyDescent="0.25" r="2442" customHeight="1" ht="17.25">
      <c r="A2442" s="52"/>
      <c r="B2442" s="2"/>
      <c r="C2442" s="2"/>
      <c r="D2442" s="3"/>
      <c r="E2442" s="3"/>
      <c r="F2442" s="2"/>
      <c r="G2442" s="13">
        <f>IF($B2442="IN",$D2442,0)</f>
      </c>
      <c r="H2442" s="13">
        <f>IF($B2442="OUT",$D2442,0)</f>
      </c>
    </row>
    <row x14ac:dyDescent="0.25" r="2443" customHeight="1" ht="17.25">
      <c r="A2443" s="52"/>
      <c r="B2443" s="2"/>
      <c r="C2443" s="2"/>
      <c r="D2443" s="3"/>
      <c r="E2443" s="3"/>
      <c r="F2443" s="2"/>
      <c r="G2443" s="13">
        <f>IF($B2443="IN",$D2443,0)</f>
      </c>
      <c r="H2443" s="13">
        <f>IF($B2443="OUT",$D2443,0)</f>
      </c>
    </row>
    <row x14ac:dyDescent="0.25" r="2444" customHeight="1" ht="17.25">
      <c r="A2444" s="52"/>
      <c r="B2444" s="2"/>
      <c r="C2444" s="2"/>
      <c r="D2444" s="3"/>
      <c r="E2444" s="3"/>
      <c r="F2444" s="2"/>
      <c r="G2444" s="13">
        <f>IF($B2444="IN",$D2444,0)</f>
      </c>
      <c r="H2444" s="13">
        <f>IF($B2444="OUT",$D2444,0)</f>
      </c>
    </row>
    <row x14ac:dyDescent="0.25" r="2445" customHeight="1" ht="17.25">
      <c r="A2445" s="52"/>
      <c r="B2445" s="2"/>
      <c r="C2445" s="2"/>
      <c r="D2445" s="3"/>
      <c r="E2445" s="3"/>
      <c r="F2445" s="2"/>
      <c r="G2445" s="13">
        <f>IF($B2445="IN",$D2445,0)</f>
      </c>
      <c r="H2445" s="13">
        <f>IF($B2445="OUT",$D2445,0)</f>
      </c>
    </row>
    <row x14ac:dyDescent="0.25" r="2446" customHeight="1" ht="17.25">
      <c r="A2446" s="52"/>
      <c r="B2446" s="2"/>
      <c r="C2446" s="2"/>
      <c r="D2446" s="3"/>
      <c r="E2446" s="3"/>
      <c r="F2446" s="2"/>
      <c r="G2446" s="13">
        <f>IF($B2446="IN",$D2446,0)</f>
      </c>
      <c r="H2446" s="13">
        <f>IF($B2446="OUT",$D2446,0)</f>
      </c>
    </row>
    <row x14ac:dyDescent="0.25" r="2447" customHeight="1" ht="17.25">
      <c r="A2447" s="52"/>
      <c r="B2447" s="2"/>
      <c r="C2447" s="2"/>
      <c r="D2447" s="3"/>
      <c r="E2447" s="3"/>
      <c r="F2447" s="2"/>
      <c r="G2447" s="13">
        <f>IF($B2447="IN",$D2447,0)</f>
      </c>
      <c r="H2447" s="13">
        <f>IF($B2447="OUT",$D2447,0)</f>
      </c>
    </row>
    <row x14ac:dyDescent="0.25" r="2448" customHeight="1" ht="17.25">
      <c r="A2448" s="52"/>
      <c r="B2448" s="2"/>
      <c r="C2448" s="2"/>
      <c r="D2448" s="3"/>
      <c r="E2448" s="3"/>
      <c r="F2448" s="2"/>
      <c r="G2448" s="13">
        <f>IF($B2448="IN",$D2448,0)</f>
      </c>
      <c r="H2448" s="13">
        <f>IF($B2448="OUT",$D2448,0)</f>
      </c>
    </row>
    <row x14ac:dyDescent="0.25" r="2449" customHeight="1" ht="17.25">
      <c r="A2449" s="52"/>
      <c r="B2449" s="2"/>
      <c r="C2449" s="2"/>
      <c r="D2449" s="3"/>
      <c r="E2449" s="3"/>
      <c r="F2449" s="2"/>
      <c r="G2449" s="13">
        <f>IF($B2449="IN",$D2449,0)</f>
      </c>
      <c r="H2449" s="13">
        <f>IF($B2449="OUT",$D2449,0)</f>
      </c>
    </row>
    <row x14ac:dyDescent="0.25" r="2450" customHeight="1" ht="17.25">
      <c r="A2450" s="52"/>
      <c r="B2450" s="2"/>
      <c r="C2450" s="2"/>
      <c r="D2450" s="3"/>
      <c r="E2450" s="3"/>
      <c r="F2450" s="2"/>
      <c r="G2450" s="13">
        <f>IF($B2450="IN",$D2450,0)</f>
      </c>
      <c r="H2450" s="13">
        <f>IF($B2450="OUT",$D2450,0)</f>
      </c>
    </row>
    <row x14ac:dyDescent="0.25" r="2451" customHeight="1" ht="17.25">
      <c r="A2451" s="52"/>
      <c r="B2451" s="2"/>
      <c r="C2451" s="2"/>
      <c r="D2451" s="3"/>
      <c r="E2451" s="3"/>
      <c r="F2451" s="2"/>
      <c r="G2451" s="13">
        <f>IF($B2451="IN",$D2451,0)</f>
      </c>
      <c r="H2451" s="13">
        <f>IF($B2451="OUT",$D2451,0)</f>
      </c>
    </row>
    <row x14ac:dyDescent="0.25" r="2452" customHeight="1" ht="17.25">
      <c r="A2452" s="52"/>
      <c r="B2452" s="2"/>
      <c r="C2452" s="2"/>
      <c r="D2452" s="3"/>
      <c r="E2452" s="3"/>
      <c r="F2452" s="2"/>
      <c r="G2452" s="13">
        <f>IF($B2452="IN",$D2452,0)</f>
      </c>
      <c r="H2452" s="13">
        <f>IF($B2452="OUT",$D2452,0)</f>
      </c>
    </row>
    <row x14ac:dyDescent="0.25" r="2453" customHeight="1" ht="17.25">
      <c r="A2453" s="52"/>
      <c r="B2453" s="2"/>
      <c r="C2453" s="2"/>
      <c r="D2453" s="3"/>
      <c r="E2453" s="3"/>
      <c r="F2453" s="2"/>
      <c r="G2453" s="13">
        <f>IF($B2453="IN",$D2453,0)</f>
      </c>
      <c r="H2453" s="13">
        <f>IF($B2453="OUT",$D2453,0)</f>
      </c>
    </row>
    <row x14ac:dyDescent="0.25" r="2454" customHeight="1" ht="17.25">
      <c r="A2454" s="52"/>
      <c r="B2454" s="2"/>
      <c r="C2454" s="2"/>
      <c r="D2454" s="3"/>
      <c r="E2454" s="3"/>
      <c r="F2454" s="2"/>
      <c r="G2454" s="13">
        <f>IF($B2454="IN",$D2454,0)</f>
      </c>
      <c r="H2454" s="13">
        <f>IF($B2454="OUT",$D2454,0)</f>
      </c>
    </row>
    <row x14ac:dyDescent="0.25" r="2455" customHeight="1" ht="17.25">
      <c r="A2455" s="52"/>
      <c r="B2455" s="2"/>
      <c r="C2455" s="2"/>
      <c r="D2455" s="3"/>
      <c r="E2455" s="3"/>
      <c r="F2455" s="2"/>
      <c r="G2455" s="13">
        <f>IF($B2455="IN",$D2455,0)</f>
      </c>
      <c r="H2455" s="13">
        <f>IF($B2455="OUT",$D2455,0)</f>
      </c>
    </row>
    <row x14ac:dyDescent="0.25" r="2456" customHeight="1" ht="17.25">
      <c r="A2456" s="52"/>
      <c r="B2456" s="2"/>
      <c r="C2456" s="2"/>
      <c r="D2456" s="3"/>
      <c r="E2456" s="3"/>
      <c r="F2456" s="2"/>
      <c r="G2456" s="13">
        <f>IF($B2456="IN",$D2456,0)</f>
      </c>
      <c r="H2456" s="13">
        <f>IF($B2456="OUT",$D2456,0)</f>
      </c>
    </row>
    <row x14ac:dyDescent="0.25" r="2457" customHeight="1" ht="17.25">
      <c r="A2457" s="52"/>
      <c r="B2457" s="2"/>
      <c r="C2457" s="2"/>
      <c r="D2457" s="3"/>
      <c r="E2457" s="3"/>
      <c r="F2457" s="2"/>
      <c r="G2457" s="13">
        <f>IF($B2457="IN",$D2457,0)</f>
      </c>
      <c r="H2457" s="13">
        <f>IF($B2457="OUT",$D2457,0)</f>
      </c>
    </row>
    <row x14ac:dyDescent="0.25" r="2458" customHeight="1" ht="17.25">
      <c r="A2458" s="52"/>
      <c r="B2458" s="2"/>
      <c r="C2458" s="2"/>
      <c r="D2458" s="3"/>
      <c r="E2458" s="3"/>
      <c r="F2458" s="2"/>
      <c r="G2458" s="13">
        <f>IF($B2458="IN",$D2458,0)</f>
      </c>
      <c r="H2458" s="13">
        <f>IF($B2458="OUT",$D2458,0)</f>
      </c>
    </row>
    <row x14ac:dyDescent="0.25" r="2459" customHeight="1" ht="17.25">
      <c r="A2459" s="52"/>
      <c r="B2459" s="2"/>
      <c r="C2459" s="2"/>
      <c r="D2459" s="3"/>
      <c r="E2459" s="3"/>
      <c r="F2459" s="2"/>
      <c r="G2459" s="13">
        <f>IF($B2459="IN",$D2459,0)</f>
      </c>
      <c r="H2459" s="13">
        <f>IF($B2459="OUT",$D2459,0)</f>
      </c>
    </row>
    <row x14ac:dyDescent="0.25" r="2460" customHeight="1" ht="17.25">
      <c r="A2460" s="52"/>
      <c r="B2460" s="2"/>
      <c r="C2460" s="2"/>
      <c r="D2460" s="3"/>
      <c r="E2460" s="3"/>
      <c r="F2460" s="2"/>
      <c r="G2460" s="13">
        <f>IF($B2460="IN",$D2460,0)</f>
      </c>
      <c r="H2460" s="13">
        <f>IF($B2460="OUT",$D2460,0)</f>
      </c>
    </row>
    <row x14ac:dyDescent="0.25" r="2461" customHeight="1" ht="17.25">
      <c r="A2461" s="52"/>
      <c r="B2461" s="2"/>
      <c r="C2461" s="2"/>
      <c r="D2461" s="3"/>
      <c r="E2461" s="3"/>
      <c r="F2461" s="2"/>
      <c r="G2461" s="13">
        <f>IF($B2461="IN",$D2461,0)</f>
      </c>
      <c r="H2461" s="13">
        <f>IF($B2461="OUT",$D2461,0)</f>
      </c>
    </row>
    <row x14ac:dyDescent="0.25" r="2462" customHeight="1" ht="17.25">
      <c r="A2462" s="52"/>
      <c r="B2462" s="2"/>
      <c r="C2462" s="2"/>
      <c r="D2462" s="3"/>
      <c r="E2462" s="3"/>
      <c r="F2462" s="2"/>
      <c r="G2462" s="13">
        <f>IF($B2462="IN",$D2462,0)</f>
      </c>
      <c r="H2462" s="13">
        <f>IF($B2462="OUT",$D2462,0)</f>
      </c>
    </row>
    <row x14ac:dyDescent="0.25" r="2463" customHeight="1" ht="17.25">
      <c r="A2463" s="52"/>
      <c r="B2463" s="2"/>
      <c r="C2463" s="2"/>
      <c r="D2463" s="3"/>
      <c r="E2463" s="3"/>
      <c r="F2463" s="2"/>
      <c r="G2463" s="13">
        <f>IF($B2463="IN",$D2463,0)</f>
      </c>
      <c r="H2463" s="13">
        <f>IF($B2463="OUT",$D2463,0)</f>
      </c>
    </row>
    <row x14ac:dyDescent="0.25" r="2464" customHeight="1" ht="17.25">
      <c r="A2464" s="52"/>
      <c r="B2464" s="2"/>
      <c r="C2464" s="2"/>
      <c r="D2464" s="3"/>
      <c r="E2464" s="3"/>
      <c r="F2464" s="2"/>
      <c r="G2464" s="13">
        <f>IF($B2464="IN",$D2464,0)</f>
      </c>
      <c r="H2464" s="13">
        <f>IF($B2464="OUT",$D2464,0)</f>
      </c>
    </row>
    <row x14ac:dyDescent="0.25" r="2465" customHeight="1" ht="17.25">
      <c r="A2465" s="52"/>
      <c r="B2465" s="2"/>
      <c r="C2465" s="2"/>
      <c r="D2465" s="3"/>
      <c r="E2465" s="3"/>
      <c r="F2465" s="2"/>
      <c r="G2465" s="13">
        <f>IF($B2465="IN",$D2465,0)</f>
      </c>
      <c r="H2465" s="13">
        <f>IF($B2465="OUT",$D2465,0)</f>
      </c>
    </row>
    <row x14ac:dyDescent="0.25" r="2466" customHeight="1" ht="17.25">
      <c r="A2466" s="52"/>
      <c r="B2466" s="2"/>
      <c r="C2466" s="2"/>
      <c r="D2466" s="3"/>
      <c r="E2466" s="3"/>
      <c r="F2466" s="2"/>
      <c r="G2466" s="13">
        <f>IF($B2466="IN",$D2466,0)</f>
      </c>
      <c r="H2466" s="13">
        <f>IF($B2466="OUT",$D2466,0)</f>
      </c>
    </row>
    <row x14ac:dyDescent="0.25" r="2467" customHeight="1" ht="17.25">
      <c r="A2467" s="52"/>
      <c r="B2467" s="2"/>
      <c r="C2467" s="2"/>
      <c r="D2467" s="3"/>
      <c r="E2467" s="3"/>
      <c r="F2467" s="2"/>
      <c r="G2467" s="13">
        <f>IF($B2467="IN",$D2467,0)</f>
      </c>
      <c r="H2467" s="13">
        <f>IF($B2467="OUT",$D2467,0)</f>
      </c>
    </row>
    <row x14ac:dyDescent="0.25" r="2468" customHeight="1" ht="17.25">
      <c r="A2468" s="52"/>
      <c r="B2468" s="2"/>
      <c r="C2468" s="2"/>
      <c r="D2468" s="3"/>
      <c r="E2468" s="3"/>
      <c r="F2468" s="2"/>
      <c r="G2468" s="13">
        <f>IF($B2468="IN",$D2468,0)</f>
      </c>
      <c r="H2468" s="13">
        <f>IF($B2468="OUT",$D2468,0)</f>
      </c>
    </row>
    <row x14ac:dyDescent="0.25" r="2469" customHeight="1" ht="17.25">
      <c r="A2469" s="52"/>
      <c r="B2469" s="2"/>
      <c r="C2469" s="2"/>
      <c r="D2469" s="3"/>
      <c r="E2469" s="3"/>
      <c r="F2469" s="2"/>
      <c r="G2469" s="13">
        <f>IF($B2469="IN",$D2469,0)</f>
      </c>
      <c r="H2469" s="13">
        <f>IF($B2469="OUT",$D2469,0)</f>
      </c>
    </row>
    <row x14ac:dyDescent="0.25" r="2470" customHeight="1" ht="17.25">
      <c r="A2470" s="52"/>
      <c r="B2470" s="2"/>
      <c r="C2470" s="2"/>
      <c r="D2470" s="3"/>
      <c r="E2470" s="3"/>
      <c r="F2470" s="2"/>
      <c r="G2470" s="13">
        <f>IF($B2470="IN",$D2470,0)</f>
      </c>
      <c r="H2470" s="13">
        <f>IF($B2470="OUT",$D2470,0)</f>
      </c>
    </row>
    <row x14ac:dyDescent="0.25" r="2471" customHeight="1" ht="17.25">
      <c r="A2471" s="52"/>
      <c r="B2471" s="2"/>
      <c r="C2471" s="2"/>
      <c r="D2471" s="3"/>
      <c r="E2471" s="3"/>
      <c r="F2471" s="2"/>
      <c r="G2471" s="13">
        <f>IF($B2471="IN",$D2471,0)</f>
      </c>
      <c r="H2471" s="13">
        <f>IF($B2471="OUT",$D2471,0)</f>
      </c>
    </row>
    <row x14ac:dyDescent="0.25" r="2472" customHeight="1" ht="17.25">
      <c r="A2472" s="52"/>
      <c r="B2472" s="2"/>
      <c r="C2472" s="2"/>
      <c r="D2472" s="3"/>
      <c r="E2472" s="3"/>
      <c r="F2472" s="2"/>
      <c r="G2472" s="13">
        <f>IF($B2472="IN",$D2472,0)</f>
      </c>
      <c r="H2472" s="13">
        <f>IF($B2472="OUT",$D2472,0)</f>
      </c>
    </row>
    <row x14ac:dyDescent="0.25" r="2473" customHeight="1" ht="17.25">
      <c r="A2473" s="52"/>
      <c r="B2473" s="2"/>
      <c r="C2473" s="2"/>
      <c r="D2473" s="3"/>
      <c r="E2473" s="3"/>
      <c r="F2473" s="2"/>
      <c r="G2473" s="13">
        <f>IF($B2473="IN",$D2473,0)</f>
      </c>
      <c r="H2473" s="13">
        <f>IF($B2473="OUT",$D2473,0)</f>
      </c>
    </row>
    <row x14ac:dyDescent="0.25" r="2474" customHeight="1" ht="17.25">
      <c r="A2474" s="52"/>
      <c r="B2474" s="2"/>
      <c r="C2474" s="2"/>
      <c r="D2474" s="3"/>
      <c r="E2474" s="3"/>
      <c r="F2474" s="2"/>
      <c r="G2474" s="13">
        <f>IF($B2474="IN",$D2474,0)</f>
      </c>
      <c r="H2474" s="13">
        <f>IF($B2474="OUT",$D2474,0)</f>
      </c>
    </row>
    <row x14ac:dyDescent="0.25" r="2475" customHeight="1" ht="17.25">
      <c r="A2475" s="52"/>
      <c r="B2475" s="2"/>
      <c r="C2475" s="2"/>
      <c r="D2475" s="3"/>
      <c r="E2475" s="3"/>
      <c r="F2475" s="2"/>
      <c r="G2475" s="13">
        <f>IF($B2475="IN",$D2475,0)</f>
      </c>
      <c r="H2475" s="13">
        <f>IF($B2475="OUT",$D2475,0)</f>
      </c>
    </row>
    <row x14ac:dyDescent="0.25" r="2476" customHeight="1" ht="17.25">
      <c r="A2476" s="52"/>
      <c r="B2476" s="2"/>
      <c r="C2476" s="2"/>
      <c r="D2476" s="3"/>
      <c r="E2476" s="3"/>
      <c r="F2476" s="2"/>
      <c r="G2476" s="13">
        <f>IF($B2476="IN",$D2476,0)</f>
      </c>
      <c r="H2476" s="13">
        <f>IF($B2476="OUT",$D2476,0)</f>
      </c>
    </row>
    <row x14ac:dyDescent="0.25" r="2477" customHeight="1" ht="17.25">
      <c r="A2477" s="52"/>
      <c r="B2477" s="2"/>
      <c r="C2477" s="2"/>
      <c r="D2477" s="3"/>
      <c r="E2477" s="3"/>
      <c r="F2477" s="2"/>
      <c r="G2477" s="13">
        <f>IF($B2477="IN",$D2477,0)</f>
      </c>
      <c r="H2477" s="13">
        <f>IF($B2477="OUT",$D2477,0)</f>
      </c>
    </row>
    <row x14ac:dyDescent="0.25" r="2478" customHeight="1" ht="17.25">
      <c r="A2478" s="52"/>
      <c r="B2478" s="2"/>
      <c r="C2478" s="2"/>
      <c r="D2478" s="3"/>
      <c r="E2478" s="3"/>
      <c r="F2478" s="2"/>
      <c r="G2478" s="13">
        <f>IF($B2478="IN",$D2478,0)</f>
      </c>
      <c r="H2478" s="13">
        <f>IF($B2478="OUT",$D2478,0)</f>
      </c>
    </row>
    <row x14ac:dyDescent="0.25" r="2479" customHeight="1" ht="17.25">
      <c r="A2479" s="52"/>
      <c r="B2479" s="2"/>
      <c r="C2479" s="2"/>
      <c r="D2479" s="3"/>
      <c r="E2479" s="3"/>
      <c r="F2479" s="2"/>
      <c r="G2479" s="13">
        <f>IF($B2479="IN",$D2479,0)</f>
      </c>
      <c r="H2479" s="13">
        <f>IF($B2479="OUT",$D2479,0)</f>
      </c>
    </row>
    <row x14ac:dyDescent="0.25" r="2480" customHeight="1" ht="17.25">
      <c r="A2480" s="52"/>
      <c r="B2480" s="2"/>
      <c r="C2480" s="2"/>
      <c r="D2480" s="3"/>
      <c r="E2480" s="3"/>
      <c r="F2480" s="2"/>
      <c r="G2480" s="13">
        <f>IF($B2480="IN",$D2480,0)</f>
      </c>
      <c r="H2480" s="13">
        <f>IF($B2480="OUT",$D2480,0)</f>
      </c>
    </row>
    <row x14ac:dyDescent="0.25" r="2481" customHeight="1" ht="17.25">
      <c r="A2481" s="52"/>
      <c r="B2481" s="2"/>
      <c r="C2481" s="2"/>
      <c r="D2481" s="3"/>
      <c r="E2481" s="3"/>
      <c r="F2481" s="2"/>
      <c r="G2481" s="13">
        <f>IF($B2481="IN",$D2481,0)</f>
      </c>
      <c r="H2481" s="13">
        <f>IF($B2481="OUT",$D2481,0)</f>
      </c>
    </row>
    <row x14ac:dyDescent="0.25" r="2482" customHeight="1" ht="17.25">
      <c r="A2482" s="52"/>
      <c r="B2482" s="2"/>
      <c r="C2482" s="2"/>
      <c r="D2482" s="3"/>
      <c r="E2482" s="3"/>
      <c r="F2482" s="2"/>
      <c r="G2482" s="13">
        <f>IF($B2482="IN",$D2482,0)</f>
      </c>
      <c r="H2482" s="13">
        <f>IF($B2482="OUT",$D2482,0)</f>
      </c>
    </row>
    <row x14ac:dyDescent="0.25" r="2483" customHeight="1" ht="17.25">
      <c r="A2483" s="52"/>
      <c r="B2483" s="2"/>
      <c r="C2483" s="2"/>
      <c r="D2483" s="3"/>
      <c r="E2483" s="3"/>
      <c r="F2483" s="2"/>
      <c r="G2483" s="13">
        <f>IF($B2483="IN",$D2483,0)</f>
      </c>
      <c r="H2483" s="13">
        <f>IF($B2483="OUT",$D2483,0)</f>
      </c>
    </row>
    <row x14ac:dyDescent="0.25" r="2484" customHeight="1" ht="17.25">
      <c r="A2484" s="52"/>
      <c r="B2484" s="2"/>
      <c r="C2484" s="2"/>
      <c r="D2484" s="3"/>
      <c r="E2484" s="3"/>
      <c r="F2484" s="2"/>
      <c r="G2484" s="13">
        <f>IF($B2484="IN",$D2484,0)</f>
      </c>
      <c r="H2484" s="13">
        <f>IF($B2484="OUT",$D2484,0)</f>
      </c>
    </row>
    <row x14ac:dyDescent="0.25" r="2485" customHeight="1" ht="17.25">
      <c r="A2485" s="52"/>
      <c r="B2485" s="2"/>
      <c r="C2485" s="2"/>
      <c r="D2485" s="3"/>
      <c r="E2485" s="3"/>
      <c r="F2485" s="2"/>
      <c r="G2485" s="13">
        <f>IF($B2485="IN",$D2485,0)</f>
      </c>
      <c r="H2485" s="13">
        <f>IF($B2485="OUT",$D2485,0)</f>
      </c>
    </row>
    <row x14ac:dyDescent="0.25" r="2486" customHeight="1" ht="17.25">
      <c r="A2486" s="52"/>
      <c r="B2486" s="2"/>
      <c r="C2486" s="2"/>
      <c r="D2486" s="3"/>
      <c r="E2486" s="3"/>
      <c r="F2486" s="2"/>
      <c r="G2486" s="13">
        <f>IF($B2486="IN",$D2486,0)</f>
      </c>
      <c r="H2486" s="13">
        <f>IF($B2486="OUT",$D2486,0)</f>
      </c>
    </row>
    <row x14ac:dyDescent="0.25" r="2487" customHeight="1" ht="17.25">
      <c r="A2487" s="52"/>
      <c r="B2487" s="2"/>
      <c r="C2487" s="2"/>
      <c r="D2487" s="3"/>
      <c r="E2487" s="3"/>
      <c r="F2487" s="2"/>
      <c r="G2487" s="13">
        <f>IF($B2487="IN",$D2487,0)</f>
      </c>
      <c r="H2487" s="13">
        <f>IF($B2487="OUT",$D2487,0)</f>
      </c>
    </row>
    <row x14ac:dyDescent="0.25" r="2488" customHeight="1" ht="17.25">
      <c r="A2488" s="52"/>
      <c r="B2488" s="2"/>
      <c r="C2488" s="2"/>
      <c r="D2488" s="3"/>
      <c r="E2488" s="3"/>
      <c r="F2488" s="2"/>
      <c r="G2488" s="13">
        <f>IF($B2488="IN",$D2488,0)</f>
      </c>
      <c r="H2488" s="13">
        <f>IF($B2488="OUT",$D2488,0)</f>
      </c>
    </row>
    <row x14ac:dyDescent="0.25" r="2489" customHeight="1" ht="17.25">
      <c r="A2489" s="52"/>
      <c r="B2489" s="2"/>
      <c r="C2489" s="2"/>
      <c r="D2489" s="3"/>
      <c r="E2489" s="3"/>
      <c r="F2489" s="2"/>
      <c r="G2489" s="13">
        <f>IF($B2489="IN",$D2489,0)</f>
      </c>
      <c r="H2489" s="13">
        <f>IF($B2489="OUT",$D2489,0)</f>
      </c>
    </row>
    <row x14ac:dyDescent="0.25" r="2490" customHeight="1" ht="17.25">
      <c r="A2490" s="52"/>
      <c r="B2490" s="2"/>
      <c r="C2490" s="2"/>
      <c r="D2490" s="3"/>
      <c r="E2490" s="3"/>
      <c r="F2490" s="2"/>
      <c r="G2490" s="13">
        <f>IF($B2490="IN",$D2490,0)</f>
      </c>
      <c r="H2490" s="13">
        <f>IF($B2490="OUT",$D2490,0)</f>
      </c>
    </row>
    <row x14ac:dyDescent="0.25" r="2491" customHeight="1" ht="17.25">
      <c r="A2491" s="52"/>
      <c r="B2491" s="2"/>
      <c r="C2491" s="2"/>
      <c r="D2491" s="3"/>
      <c r="E2491" s="3"/>
      <c r="F2491" s="2"/>
      <c r="G2491" s="13">
        <f>IF($B2491="IN",$D2491,0)</f>
      </c>
      <c r="H2491" s="13">
        <f>IF($B2491="OUT",$D2491,0)</f>
      </c>
    </row>
    <row x14ac:dyDescent="0.25" r="2492" customHeight="1" ht="17.25">
      <c r="A2492" s="52"/>
      <c r="B2492" s="2"/>
      <c r="C2492" s="2"/>
      <c r="D2492" s="3"/>
      <c r="E2492" s="3"/>
      <c r="F2492" s="2"/>
      <c r="G2492" s="13">
        <f>IF($B2492="IN",$D2492,0)</f>
      </c>
      <c r="H2492" s="13">
        <f>IF($B2492="OUT",$D2492,0)</f>
      </c>
    </row>
    <row x14ac:dyDescent="0.25" r="2493" customHeight="1" ht="17.25">
      <c r="A2493" s="52"/>
      <c r="B2493" s="2"/>
      <c r="C2493" s="2"/>
      <c r="D2493" s="3"/>
      <c r="E2493" s="3"/>
      <c r="F2493" s="2"/>
      <c r="G2493" s="13">
        <f>IF($B2493="IN",$D2493,0)</f>
      </c>
      <c r="H2493" s="13">
        <f>IF($B2493="OUT",$D2493,0)</f>
      </c>
    </row>
    <row x14ac:dyDescent="0.25" r="2494" customHeight="1" ht="17.25">
      <c r="A2494" s="52"/>
      <c r="B2494" s="2"/>
      <c r="C2494" s="2"/>
      <c r="D2494" s="3"/>
      <c r="E2494" s="3"/>
      <c r="F2494" s="2"/>
      <c r="G2494" s="13">
        <f>IF($B2494="IN",$D2494,0)</f>
      </c>
      <c r="H2494" s="13">
        <f>IF($B2494="OUT",$D2494,0)</f>
      </c>
    </row>
    <row x14ac:dyDescent="0.25" r="2495" customHeight="1" ht="17.25">
      <c r="A2495" s="52"/>
      <c r="B2495" s="2"/>
      <c r="C2495" s="2"/>
      <c r="D2495" s="3"/>
      <c r="E2495" s="3"/>
      <c r="F2495" s="2"/>
      <c r="G2495" s="13">
        <f>IF($B2495="IN",$D2495,0)</f>
      </c>
      <c r="H2495" s="13">
        <f>IF($B2495="OUT",$D2495,0)</f>
      </c>
    </row>
    <row x14ac:dyDescent="0.25" r="2496" customHeight="1" ht="17.25">
      <c r="A2496" s="52"/>
      <c r="B2496" s="2"/>
      <c r="C2496" s="2"/>
      <c r="D2496" s="3"/>
      <c r="E2496" s="3"/>
      <c r="F2496" s="2"/>
      <c r="G2496" s="13">
        <f>IF($B2496="IN",$D2496,0)</f>
      </c>
      <c r="H2496" s="13">
        <f>IF($B2496="OUT",$D2496,0)</f>
      </c>
    </row>
    <row x14ac:dyDescent="0.25" r="2497" customHeight="1" ht="17.25">
      <c r="A2497" s="52"/>
      <c r="B2497" s="2"/>
      <c r="C2497" s="2"/>
      <c r="D2497" s="3"/>
      <c r="E2497" s="3"/>
      <c r="F2497" s="2"/>
      <c r="G2497" s="13">
        <f>IF($B2497="IN",$D2497,0)</f>
      </c>
      <c r="H2497" s="13">
        <f>IF($B2497="OUT",$D2497,0)</f>
      </c>
    </row>
    <row x14ac:dyDescent="0.25" r="2498" customHeight="1" ht="17.25">
      <c r="A2498" s="52"/>
      <c r="B2498" s="2"/>
      <c r="C2498" s="2"/>
      <c r="D2498" s="3"/>
      <c r="E2498" s="3"/>
      <c r="F2498" s="2"/>
      <c r="G2498" s="13">
        <f>IF($B2498="IN",$D2498,0)</f>
      </c>
      <c r="H2498" s="13">
        <f>IF($B2498="OUT",$D2498,0)</f>
      </c>
    </row>
    <row x14ac:dyDescent="0.25" r="2499" customHeight="1" ht="17.25">
      <c r="A2499" s="52"/>
      <c r="B2499" s="2"/>
      <c r="C2499" s="2"/>
      <c r="D2499" s="3"/>
      <c r="E2499" s="3"/>
      <c r="F2499" s="2"/>
      <c r="G2499" s="13">
        <f>IF($B2499="IN",$D2499,0)</f>
      </c>
      <c r="H2499" s="13">
        <f>IF($B2499="OUT",$D2499,0)</f>
      </c>
    </row>
    <row x14ac:dyDescent="0.25" r="2500" customHeight="1" ht="17.25">
      <c r="A2500" s="52"/>
      <c r="B2500" s="2"/>
      <c r="C2500" s="2"/>
      <c r="D2500" s="3"/>
      <c r="E2500" s="3"/>
      <c r="F2500" s="2"/>
      <c r="G2500" s="13">
        <f>IF($B2500="IN",$D2500,0)</f>
      </c>
      <c r="H2500" s="13">
        <f>IF($B2500="OUT",$D2500,0)</f>
      </c>
    </row>
    <row x14ac:dyDescent="0.25" r="2501" customHeight="1" ht="17.25">
      <c r="A2501" s="52"/>
      <c r="B2501" s="2"/>
      <c r="C2501" s="2"/>
      <c r="D2501" s="3"/>
      <c r="E2501" s="3"/>
      <c r="F2501" s="2"/>
      <c r="G2501" s="13">
        <f>IF($B2501="IN",$D2501,0)</f>
      </c>
      <c r="H2501" s="13">
        <f>IF($B2501="OUT",$D2501,0)</f>
      </c>
    </row>
    <row x14ac:dyDescent="0.25" r="2502" customHeight="1" ht="17.25">
      <c r="A2502" s="52"/>
      <c r="B2502" s="2"/>
      <c r="C2502" s="2"/>
      <c r="D2502" s="3"/>
      <c r="E2502" s="3"/>
      <c r="F2502" s="2"/>
      <c r="G2502" s="13">
        <f>IF($B2502="IN",$D2502,0)</f>
      </c>
      <c r="H2502" s="13">
        <f>IF($B2502="OUT",$D2502,0)</f>
      </c>
    </row>
    <row x14ac:dyDescent="0.25" r="2503" customHeight="1" ht="17.25">
      <c r="A2503" s="52"/>
      <c r="B2503" s="2"/>
      <c r="C2503" s="2"/>
      <c r="D2503" s="3"/>
      <c r="E2503" s="3"/>
      <c r="F2503" s="2"/>
      <c r="G2503" s="13">
        <f>IF($B2503="IN",$D2503,0)</f>
      </c>
      <c r="H2503" s="13">
        <f>IF($B2503="OUT",$D2503,0)</f>
      </c>
    </row>
    <row x14ac:dyDescent="0.25" r="2504" customHeight="1" ht="17.25">
      <c r="A2504" s="52"/>
      <c r="B2504" s="2"/>
      <c r="C2504" s="2"/>
      <c r="D2504" s="3"/>
      <c r="E2504" s="3"/>
      <c r="F2504" s="2"/>
      <c r="G2504" s="13">
        <f>IF($B2504="IN",$D2504,0)</f>
      </c>
      <c r="H2504" s="13">
        <f>IF($B2504="OUT",$D2504,0)</f>
      </c>
    </row>
    <row x14ac:dyDescent="0.25" r="2505" customHeight="1" ht="17.25">
      <c r="A2505" s="52"/>
      <c r="B2505" s="2"/>
      <c r="C2505" s="2"/>
      <c r="D2505" s="3"/>
      <c r="E2505" s="3"/>
      <c r="F2505" s="2"/>
      <c r="G2505" s="13">
        <f>IF($B2505="IN",$D2505,0)</f>
      </c>
      <c r="H2505" s="13">
        <f>IF($B2505="OUT",$D2505,0)</f>
      </c>
    </row>
    <row x14ac:dyDescent="0.25" r="2506" customHeight="1" ht="17.25">
      <c r="A2506" s="52"/>
      <c r="B2506" s="2"/>
      <c r="C2506" s="2"/>
      <c r="D2506" s="3"/>
      <c r="E2506" s="3"/>
      <c r="F2506" s="2"/>
      <c r="G2506" s="13">
        <f>IF($B2506="IN",$D2506,0)</f>
      </c>
      <c r="H2506" s="13">
        <f>IF($B2506="OUT",$D2506,0)</f>
      </c>
    </row>
    <row x14ac:dyDescent="0.25" r="2507" customHeight="1" ht="17.25">
      <c r="A2507" s="52"/>
      <c r="B2507" s="2"/>
      <c r="C2507" s="2"/>
      <c r="D2507" s="3"/>
      <c r="E2507" s="3"/>
      <c r="F2507" s="2"/>
      <c r="G2507" s="13">
        <f>IF($B2507="IN",$D2507,0)</f>
      </c>
      <c r="H2507" s="13">
        <f>IF($B2507="OUT",$D2507,0)</f>
      </c>
    </row>
    <row x14ac:dyDescent="0.25" r="2508" customHeight="1" ht="17.25">
      <c r="A2508" s="52"/>
      <c r="B2508" s="2"/>
      <c r="C2508" s="2"/>
      <c r="D2508" s="3"/>
      <c r="E2508" s="3"/>
      <c r="F2508" s="2"/>
      <c r="G2508" s="13">
        <f>IF($B2508="IN",$D2508,0)</f>
      </c>
      <c r="H2508" s="13">
        <f>IF($B2508="OUT",$D2508,0)</f>
      </c>
    </row>
    <row x14ac:dyDescent="0.25" r="2509" customHeight="1" ht="17.25">
      <c r="A2509" s="52"/>
      <c r="B2509" s="2"/>
      <c r="C2509" s="2"/>
      <c r="D2509" s="3"/>
      <c r="E2509" s="3"/>
      <c r="F2509" s="2"/>
      <c r="G2509" s="13">
        <f>IF($B2509="IN",$D2509,0)</f>
      </c>
      <c r="H2509" s="13">
        <f>IF($B2509="OUT",$D2509,0)</f>
      </c>
    </row>
    <row x14ac:dyDescent="0.25" r="2510" customHeight="1" ht="17.25">
      <c r="A2510" s="52"/>
      <c r="B2510" s="2"/>
      <c r="C2510" s="2"/>
      <c r="D2510" s="3"/>
      <c r="E2510" s="3"/>
      <c r="F2510" s="2"/>
      <c r="G2510" s="13">
        <f>IF($B2510="IN",$D2510,0)</f>
      </c>
      <c r="H2510" s="13">
        <f>IF($B2510="OUT",$D2510,0)</f>
      </c>
    </row>
    <row x14ac:dyDescent="0.25" r="2511" customHeight="1" ht="17.25">
      <c r="A2511" s="52"/>
      <c r="B2511" s="2"/>
      <c r="C2511" s="2"/>
      <c r="D2511" s="3"/>
      <c r="E2511" s="3"/>
      <c r="F2511" s="2"/>
      <c r="G2511" s="13">
        <f>IF($B2511="IN",$D2511,0)</f>
      </c>
      <c r="H2511" s="13">
        <f>IF($B2511="OUT",$D2511,0)</f>
      </c>
    </row>
    <row x14ac:dyDescent="0.25" r="2512" customHeight="1" ht="17.25">
      <c r="A2512" s="52"/>
      <c r="B2512" s="2"/>
      <c r="C2512" s="2"/>
      <c r="D2512" s="3"/>
      <c r="E2512" s="3"/>
      <c r="F2512" s="2"/>
      <c r="G2512" s="13">
        <f>IF($B2512="IN",$D2512,0)</f>
      </c>
      <c r="H2512" s="13">
        <f>IF($B2512="OUT",$D2512,0)</f>
      </c>
    </row>
    <row x14ac:dyDescent="0.25" r="2513" customHeight="1" ht="17.25">
      <c r="A2513" s="52"/>
      <c r="B2513" s="2"/>
      <c r="C2513" s="2"/>
      <c r="D2513" s="3"/>
      <c r="E2513" s="3"/>
      <c r="F2513" s="2"/>
      <c r="G2513" s="13">
        <f>IF($B2513="IN",$D2513,0)</f>
      </c>
      <c r="H2513" s="13">
        <f>IF($B2513="OUT",$D2513,0)</f>
      </c>
    </row>
    <row x14ac:dyDescent="0.25" r="2514" customHeight="1" ht="17.25">
      <c r="A2514" s="52"/>
      <c r="B2514" s="2"/>
      <c r="C2514" s="2"/>
      <c r="D2514" s="3"/>
      <c r="E2514" s="3"/>
      <c r="F2514" s="2"/>
      <c r="G2514" s="13">
        <f>IF($B2514="IN",$D2514,0)</f>
      </c>
      <c r="H2514" s="13">
        <f>IF($B2514="OUT",$D2514,0)</f>
      </c>
    </row>
    <row x14ac:dyDescent="0.25" r="2515" customHeight="1" ht="17.25">
      <c r="A2515" s="52"/>
      <c r="B2515" s="2"/>
      <c r="C2515" s="2"/>
      <c r="D2515" s="3"/>
      <c r="E2515" s="3"/>
      <c r="F2515" s="2"/>
      <c r="G2515" s="13">
        <f>IF($B2515="IN",$D2515,0)</f>
      </c>
      <c r="H2515" s="13">
        <f>IF($B2515="OUT",$D2515,0)</f>
      </c>
    </row>
    <row x14ac:dyDescent="0.25" r="2516" customHeight="1" ht="17.25">
      <c r="A2516" s="52"/>
      <c r="B2516" s="2"/>
      <c r="C2516" s="2"/>
      <c r="D2516" s="3"/>
      <c r="E2516" s="3"/>
      <c r="F2516" s="2"/>
      <c r="G2516" s="13">
        <f>IF($B2516="IN",$D2516,0)</f>
      </c>
      <c r="H2516" s="13">
        <f>IF($B2516="OUT",$D2516,0)</f>
      </c>
    </row>
    <row x14ac:dyDescent="0.25" r="2517" customHeight="1" ht="17.25">
      <c r="A2517" s="52"/>
      <c r="B2517" s="2"/>
      <c r="C2517" s="2"/>
      <c r="D2517" s="3"/>
      <c r="E2517" s="3"/>
      <c r="F2517" s="2"/>
      <c r="G2517" s="13">
        <f>IF($B2517="IN",$D2517,0)</f>
      </c>
      <c r="H2517" s="13">
        <f>IF($B2517="OUT",$D2517,0)</f>
      </c>
    </row>
    <row x14ac:dyDescent="0.25" r="2518" customHeight="1" ht="17.25">
      <c r="A2518" s="52"/>
      <c r="B2518" s="2"/>
      <c r="C2518" s="2"/>
      <c r="D2518" s="3"/>
      <c r="E2518" s="3"/>
      <c r="F2518" s="2"/>
      <c r="G2518" s="13">
        <f>IF($B2518="IN",$D2518,0)</f>
      </c>
      <c r="H2518" s="13">
        <f>IF($B2518="OUT",$D2518,0)</f>
      </c>
    </row>
    <row x14ac:dyDescent="0.25" r="2519" customHeight="1" ht="17.25">
      <c r="A2519" s="52"/>
      <c r="B2519" s="2"/>
      <c r="C2519" s="2"/>
      <c r="D2519" s="3"/>
      <c r="E2519" s="3"/>
      <c r="F2519" s="2"/>
      <c r="G2519" s="13">
        <f>IF($B2519="IN",$D2519,0)</f>
      </c>
      <c r="H2519" s="13">
        <f>IF($B2519="OUT",$D2519,0)</f>
      </c>
    </row>
    <row x14ac:dyDescent="0.25" r="2520" customHeight="1" ht="17.25">
      <c r="A2520" s="52"/>
      <c r="B2520" s="2"/>
      <c r="C2520" s="2"/>
      <c r="D2520" s="3"/>
      <c r="E2520" s="3"/>
      <c r="F2520" s="2"/>
      <c r="G2520" s="13">
        <f>IF($B2520="IN",$D2520,0)</f>
      </c>
      <c r="H2520" s="13">
        <f>IF($B2520="OUT",$D2520,0)</f>
      </c>
    </row>
    <row x14ac:dyDescent="0.25" r="2521" customHeight="1" ht="17.25">
      <c r="A2521" s="52"/>
      <c r="B2521" s="2"/>
      <c r="C2521" s="2"/>
      <c r="D2521" s="3"/>
      <c r="E2521" s="3"/>
      <c r="F2521" s="2"/>
      <c r="G2521" s="13">
        <f>IF($B2521="IN",$D2521,0)</f>
      </c>
      <c r="H2521" s="13">
        <f>IF($B2521="OUT",$D2521,0)</f>
      </c>
    </row>
    <row x14ac:dyDescent="0.25" r="2522" customHeight="1" ht="17.25">
      <c r="A2522" s="52"/>
      <c r="B2522" s="2"/>
      <c r="C2522" s="2"/>
      <c r="D2522" s="3"/>
      <c r="E2522" s="3"/>
      <c r="F2522" s="2"/>
      <c r="G2522" s="13">
        <f>IF($B2522="IN",$D2522,0)</f>
      </c>
      <c r="H2522" s="13">
        <f>IF($B2522="OUT",$D2522,0)</f>
      </c>
    </row>
    <row x14ac:dyDescent="0.25" r="2523" customHeight="1" ht="17.25">
      <c r="A2523" s="52"/>
      <c r="B2523" s="2"/>
      <c r="C2523" s="2"/>
      <c r="D2523" s="3"/>
      <c r="E2523" s="3"/>
      <c r="F2523" s="2"/>
      <c r="G2523" s="13">
        <f>IF($B2523="IN",$D2523,0)</f>
      </c>
      <c r="H2523" s="13">
        <f>IF($B2523="OUT",$D2523,0)</f>
      </c>
    </row>
    <row x14ac:dyDescent="0.25" r="2524" customHeight="1" ht="17.25">
      <c r="A2524" s="52"/>
      <c r="B2524" s="2"/>
      <c r="C2524" s="2"/>
      <c r="D2524" s="3"/>
      <c r="E2524" s="3"/>
      <c r="F2524" s="2"/>
      <c r="G2524" s="13">
        <f>IF($B2524="IN",$D2524,0)</f>
      </c>
      <c r="H2524" s="13">
        <f>IF($B2524="OUT",$D2524,0)</f>
      </c>
    </row>
    <row x14ac:dyDescent="0.25" r="2525" customHeight="1" ht="17.25">
      <c r="A2525" s="52"/>
      <c r="B2525" s="2"/>
      <c r="C2525" s="2"/>
      <c r="D2525" s="3"/>
      <c r="E2525" s="3"/>
      <c r="F2525" s="2"/>
      <c r="G2525" s="13">
        <f>IF($B2525="IN",$D2525,0)</f>
      </c>
      <c r="H2525" s="13">
        <f>IF($B2525="OUT",$D2525,0)</f>
      </c>
    </row>
    <row x14ac:dyDescent="0.25" r="2526" customHeight="1" ht="17.25">
      <c r="A2526" s="52"/>
      <c r="B2526" s="2"/>
      <c r="C2526" s="2"/>
      <c r="D2526" s="3"/>
      <c r="E2526" s="3"/>
      <c r="F2526" s="2"/>
      <c r="G2526" s="13">
        <f>IF($B2526="IN",$D2526,0)</f>
      </c>
      <c r="H2526" s="13">
        <f>IF($B2526="OUT",$D2526,0)</f>
      </c>
    </row>
    <row x14ac:dyDescent="0.25" r="2527" customHeight="1" ht="17.25">
      <c r="A2527" s="52"/>
      <c r="B2527" s="2"/>
      <c r="C2527" s="2"/>
      <c r="D2527" s="3"/>
      <c r="E2527" s="3"/>
      <c r="F2527" s="2"/>
      <c r="G2527" s="13">
        <f>IF($B2527="IN",$D2527,0)</f>
      </c>
      <c r="H2527" s="13">
        <f>IF($B2527="OUT",$D2527,0)</f>
      </c>
    </row>
    <row x14ac:dyDescent="0.25" r="2528" customHeight="1" ht="17.25">
      <c r="A2528" s="52"/>
      <c r="B2528" s="2"/>
      <c r="C2528" s="2"/>
      <c r="D2528" s="3"/>
      <c r="E2528" s="3"/>
      <c r="F2528" s="2"/>
      <c r="G2528" s="13">
        <f>IF($B2528="IN",$D2528,0)</f>
      </c>
      <c r="H2528" s="13">
        <f>IF($B2528="OUT",$D2528,0)</f>
      </c>
    </row>
    <row x14ac:dyDescent="0.25" r="2529" customHeight="1" ht="17.25">
      <c r="A2529" s="52"/>
      <c r="B2529" s="2"/>
      <c r="C2529" s="2"/>
      <c r="D2529" s="3"/>
      <c r="E2529" s="3"/>
      <c r="F2529" s="2"/>
      <c r="G2529" s="13">
        <f>IF($B2529="IN",$D2529,0)</f>
      </c>
      <c r="H2529" s="13">
        <f>IF($B2529="OUT",$D2529,0)</f>
      </c>
    </row>
    <row x14ac:dyDescent="0.25" r="2530" customHeight="1" ht="17.25">
      <c r="A2530" s="52"/>
      <c r="B2530" s="2"/>
      <c r="C2530" s="2"/>
      <c r="D2530" s="3"/>
      <c r="E2530" s="3"/>
      <c r="F2530" s="2"/>
      <c r="G2530" s="13">
        <f>IF($B2530="IN",$D2530,0)</f>
      </c>
      <c r="H2530" s="13">
        <f>IF($B2530="OUT",$D2530,0)</f>
      </c>
    </row>
    <row x14ac:dyDescent="0.25" r="2531" customHeight="1" ht="17.25">
      <c r="A2531" s="52"/>
      <c r="B2531" s="2"/>
      <c r="C2531" s="2"/>
      <c r="D2531" s="3"/>
      <c r="E2531" s="3"/>
      <c r="F2531" s="2"/>
      <c r="G2531" s="13">
        <f>IF($B2531="IN",$D2531,0)</f>
      </c>
      <c r="H2531" s="13">
        <f>IF($B2531="OUT",$D2531,0)</f>
      </c>
    </row>
    <row x14ac:dyDescent="0.25" r="2532" customHeight="1" ht="17.25">
      <c r="A2532" s="52"/>
      <c r="B2532" s="2"/>
      <c r="C2532" s="2"/>
      <c r="D2532" s="3"/>
      <c r="E2532" s="3"/>
      <c r="F2532" s="2"/>
      <c r="G2532" s="13">
        <f>IF($B2532="IN",$D2532,0)</f>
      </c>
      <c r="H2532" s="13">
        <f>IF($B2532="OUT",$D2532,0)</f>
      </c>
    </row>
    <row x14ac:dyDescent="0.25" r="2533" customHeight="1" ht="17.25">
      <c r="A2533" s="52"/>
      <c r="B2533" s="2"/>
      <c r="C2533" s="2"/>
      <c r="D2533" s="3"/>
      <c r="E2533" s="3"/>
      <c r="F2533" s="2"/>
      <c r="G2533" s="13">
        <f>IF($B2533="IN",$D2533,0)</f>
      </c>
      <c r="H2533" s="13">
        <f>IF($B2533="OUT",$D2533,0)</f>
      </c>
    </row>
    <row x14ac:dyDescent="0.25" r="2534" customHeight="1" ht="17.25">
      <c r="A2534" s="52"/>
      <c r="B2534" s="2"/>
      <c r="C2534" s="2"/>
      <c r="D2534" s="3"/>
      <c r="E2534" s="3"/>
      <c r="F2534" s="2"/>
      <c r="G2534" s="13">
        <f>IF($B2534="IN",$D2534,0)</f>
      </c>
      <c r="H2534" s="13">
        <f>IF($B2534="OUT",$D2534,0)</f>
      </c>
    </row>
    <row x14ac:dyDescent="0.25" r="2535" customHeight="1" ht="17.25">
      <c r="A2535" s="52"/>
      <c r="B2535" s="2"/>
      <c r="C2535" s="2"/>
      <c r="D2535" s="3"/>
      <c r="E2535" s="3"/>
      <c r="F2535" s="2"/>
      <c r="G2535" s="13">
        <f>IF($B2535="IN",$D2535,0)</f>
      </c>
      <c r="H2535" s="13">
        <f>IF($B2535="OUT",$D2535,0)</f>
      </c>
    </row>
    <row x14ac:dyDescent="0.25" r="2536" customHeight="1" ht="17.25">
      <c r="A2536" s="52"/>
      <c r="B2536" s="2"/>
      <c r="C2536" s="2"/>
      <c r="D2536" s="3"/>
      <c r="E2536" s="3"/>
      <c r="F2536" s="2"/>
      <c r="G2536" s="13">
        <f>IF($B2536="IN",$D2536,0)</f>
      </c>
      <c r="H2536" s="13">
        <f>IF($B2536="OUT",$D2536,0)</f>
      </c>
    </row>
    <row x14ac:dyDescent="0.25" r="2537" customHeight="1" ht="17.25">
      <c r="A2537" s="52"/>
      <c r="B2537" s="2"/>
      <c r="C2537" s="2"/>
      <c r="D2537" s="3"/>
      <c r="E2537" s="3"/>
      <c r="F2537" s="2"/>
      <c r="G2537" s="13">
        <f>IF($B2537="IN",$D2537,0)</f>
      </c>
      <c r="H2537" s="13">
        <f>IF($B2537="OUT",$D2537,0)</f>
      </c>
    </row>
    <row x14ac:dyDescent="0.25" r="2538" customHeight="1" ht="17.25">
      <c r="A2538" s="52"/>
      <c r="B2538" s="2"/>
      <c r="C2538" s="2"/>
      <c r="D2538" s="3"/>
      <c r="E2538" s="3"/>
      <c r="F2538" s="2"/>
      <c r="G2538" s="13">
        <f>IF($B2538="IN",$D2538,0)</f>
      </c>
      <c r="H2538" s="13">
        <f>IF($B2538="OUT",$D2538,0)</f>
      </c>
    </row>
    <row x14ac:dyDescent="0.25" r="2539" customHeight="1" ht="17.25">
      <c r="A2539" s="52"/>
      <c r="B2539" s="2"/>
      <c r="C2539" s="2"/>
      <c r="D2539" s="3"/>
      <c r="E2539" s="3"/>
      <c r="F2539" s="2"/>
      <c r="G2539" s="13">
        <f>IF($B2539="IN",$D2539,0)</f>
      </c>
      <c r="H2539" s="13">
        <f>IF($B2539="OUT",$D2539,0)</f>
      </c>
    </row>
    <row x14ac:dyDescent="0.25" r="2540" customHeight="1" ht="17.25">
      <c r="A2540" s="52"/>
      <c r="B2540" s="2"/>
      <c r="C2540" s="2"/>
      <c r="D2540" s="3"/>
      <c r="E2540" s="3"/>
      <c r="F2540" s="2"/>
      <c r="G2540" s="13">
        <f>IF($B2540="IN",$D2540,0)</f>
      </c>
      <c r="H2540" s="13">
        <f>IF($B2540="OUT",$D2540,0)</f>
      </c>
    </row>
    <row x14ac:dyDescent="0.25" r="2541" customHeight="1" ht="17.25">
      <c r="A2541" s="52"/>
      <c r="B2541" s="2"/>
      <c r="C2541" s="2"/>
      <c r="D2541" s="3"/>
      <c r="E2541" s="3"/>
      <c r="F2541" s="2"/>
      <c r="G2541" s="13">
        <f>IF($B2541="IN",$D2541,0)</f>
      </c>
      <c r="H2541" s="13">
        <f>IF($B2541="OUT",$D2541,0)</f>
      </c>
    </row>
    <row x14ac:dyDescent="0.25" r="2542" customHeight="1" ht="17.25">
      <c r="A2542" s="52"/>
      <c r="B2542" s="2"/>
      <c r="C2542" s="2"/>
      <c r="D2542" s="3"/>
      <c r="E2542" s="3"/>
      <c r="F2542" s="2"/>
      <c r="G2542" s="13">
        <f>IF($B2542="IN",$D2542,0)</f>
      </c>
      <c r="H2542" s="13">
        <f>IF($B2542="OUT",$D2542,0)</f>
      </c>
    </row>
    <row x14ac:dyDescent="0.25" r="2543" customHeight="1" ht="17.25">
      <c r="A2543" s="52"/>
      <c r="B2543" s="2"/>
      <c r="C2543" s="2"/>
      <c r="D2543" s="3"/>
      <c r="E2543" s="3"/>
      <c r="F2543" s="2"/>
      <c r="G2543" s="13">
        <f>IF($B2543="IN",$D2543,0)</f>
      </c>
      <c r="H2543" s="13">
        <f>IF($B2543="OUT",$D2543,0)</f>
      </c>
    </row>
    <row x14ac:dyDescent="0.25" r="2544" customHeight="1" ht="17.25">
      <c r="A2544" s="52"/>
      <c r="B2544" s="2"/>
      <c r="C2544" s="2"/>
      <c r="D2544" s="3"/>
      <c r="E2544" s="3"/>
      <c r="F2544" s="2"/>
      <c r="G2544" s="13">
        <f>IF($B2544="IN",$D2544,0)</f>
      </c>
      <c r="H2544" s="13">
        <f>IF($B2544="OUT",$D2544,0)</f>
      </c>
    </row>
    <row x14ac:dyDescent="0.25" r="2545" customHeight="1" ht="17.25">
      <c r="A2545" s="52"/>
      <c r="B2545" s="2"/>
      <c r="C2545" s="2"/>
      <c r="D2545" s="3"/>
      <c r="E2545" s="3"/>
      <c r="F2545" s="2"/>
      <c r="G2545" s="13">
        <f>IF($B2545="IN",$D2545,0)</f>
      </c>
      <c r="H2545" s="13">
        <f>IF($B2545="OUT",$D2545,0)</f>
      </c>
    </row>
    <row x14ac:dyDescent="0.25" r="2546" customHeight="1" ht="17.25">
      <c r="A2546" s="52"/>
      <c r="B2546" s="2"/>
      <c r="C2546" s="2"/>
      <c r="D2546" s="3"/>
      <c r="E2546" s="3"/>
      <c r="F2546" s="2"/>
      <c r="G2546" s="13">
        <f>IF($B2546="IN",$D2546,0)</f>
      </c>
      <c r="H2546" s="13">
        <f>IF($B2546="OUT",$D2546,0)</f>
      </c>
    </row>
    <row x14ac:dyDescent="0.25" r="2547" customHeight="1" ht="17.25">
      <c r="A2547" s="52"/>
      <c r="B2547" s="2"/>
      <c r="C2547" s="2"/>
      <c r="D2547" s="3"/>
      <c r="E2547" s="3"/>
      <c r="F2547" s="2"/>
      <c r="G2547" s="13">
        <f>IF($B2547="IN",$D2547,0)</f>
      </c>
      <c r="H2547" s="13">
        <f>IF($B2547="OUT",$D2547,0)</f>
      </c>
    </row>
    <row x14ac:dyDescent="0.25" r="2548" customHeight="1" ht="17.25">
      <c r="A2548" s="52"/>
      <c r="B2548" s="2"/>
      <c r="C2548" s="2"/>
      <c r="D2548" s="3"/>
      <c r="E2548" s="3"/>
      <c r="F2548" s="2"/>
      <c r="G2548" s="13">
        <f>IF($B2548="IN",$D2548,0)</f>
      </c>
      <c r="H2548" s="13">
        <f>IF($B2548="OUT",$D2548,0)</f>
      </c>
    </row>
    <row x14ac:dyDescent="0.25" r="2549" customHeight="1" ht="17.25">
      <c r="A2549" s="52"/>
      <c r="B2549" s="2"/>
      <c r="C2549" s="2"/>
      <c r="D2549" s="3"/>
      <c r="E2549" s="3"/>
      <c r="F2549" s="2"/>
      <c r="G2549" s="13">
        <f>IF($B2549="IN",$D2549,0)</f>
      </c>
      <c r="H2549" s="13">
        <f>IF($B2549="OUT",$D2549,0)</f>
      </c>
    </row>
    <row x14ac:dyDescent="0.25" r="2550" customHeight="1" ht="17.25">
      <c r="A2550" s="52"/>
      <c r="B2550" s="2"/>
      <c r="C2550" s="2"/>
      <c r="D2550" s="3"/>
      <c r="E2550" s="3"/>
      <c r="F2550" s="2"/>
      <c r="G2550" s="13">
        <f>IF($B2550="IN",$D2550,0)</f>
      </c>
      <c r="H2550" s="13">
        <f>IF($B2550="OUT",$D2550,0)</f>
      </c>
    </row>
    <row x14ac:dyDescent="0.25" r="2551" customHeight="1" ht="17.25">
      <c r="A2551" s="52"/>
      <c r="B2551" s="2"/>
      <c r="C2551" s="2"/>
      <c r="D2551" s="3"/>
      <c r="E2551" s="3"/>
      <c r="F2551" s="2"/>
      <c r="G2551" s="13">
        <f>IF($B2551="IN",$D2551,0)</f>
      </c>
      <c r="H2551" s="13">
        <f>IF($B2551="OUT",$D2551,0)</f>
      </c>
    </row>
    <row x14ac:dyDescent="0.25" r="2552" customHeight="1" ht="17.25">
      <c r="A2552" s="52"/>
      <c r="B2552" s="2"/>
      <c r="C2552" s="2"/>
      <c r="D2552" s="3"/>
      <c r="E2552" s="3"/>
      <c r="F2552" s="2"/>
      <c r="G2552" s="13">
        <f>IF($B2552="IN",$D2552,0)</f>
      </c>
      <c r="H2552" s="13">
        <f>IF($B2552="OUT",$D2552,0)</f>
      </c>
    </row>
    <row x14ac:dyDescent="0.25" r="2553" customHeight="1" ht="17.25">
      <c r="A2553" s="52"/>
      <c r="B2553" s="2"/>
      <c r="C2553" s="2"/>
      <c r="D2553" s="3"/>
      <c r="E2553" s="3"/>
      <c r="F2553" s="2"/>
      <c r="G2553" s="13">
        <f>IF($B2553="IN",$D2553,0)</f>
      </c>
      <c r="H2553" s="13">
        <f>IF($B2553="OUT",$D2553,0)</f>
      </c>
    </row>
    <row x14ac:dyDescent="0.25" r="2554" customHeight="1" ht="17.25">
      <c r="A2554" s="52"/>
      <c r="B2554" s="2"/>
      <c r="C2554" s="2"/>
      <c r="D2554" s="3"/>
      <c r="E2554" s="3"/>
      <c r="F2554" s="2"/>
      <c r="G2554" s="13">
        <f>IF($B2554="IN",$D2554,0)</f>
      </c>
      <c r="H2554" s="13">
        <f>IF($B2554="OUT",$D2554,0)</f>
      </c>
    </row>
    <row x14ac:dyDescent="0.25" r="2555" customHeight="1" ht="17.25">
      <c r="A2555" s="52"/>
      <c r="B2555" s="2"/>
      <c r="C2555" s="2"/>
      <c r="D2555" s="3"/>
      <c r="E2555" s="3"/>
      <c r="F2555" s="2"/>
      <c r="G2555" s="13">
        <f>IF($B2555="IN",$D2555,0)</f>
      </c>
      <c r="H2555" s="13">
        <f>IF($B2555="OUT",$D2555,0)</f>
      </c>
    </row>
    <row x14ac:dyDescent="0.25" r="2556" customHeight="1" ht="17.25">
      <c r="A2556" s="52"/>
      <c r="B2556" s="2"/>
      <c r="C2556" s="2"/>
      <c r="D2556" s="3"/>
      <c r="E2556" s="3"/>
      <c r="F2556" s="2"/>
      <c r="G2556" s="13">
        <f>IF($B2556="IN",$D2556,0)</f>
      </c>
      <c r="H2556" s="13">
        <f>IF($B2556="OUT",$D2556,0)</f>
      </c>
    </row>
    <row x14ac:dyDescent="0.25" r="2557" customHeight="1" ht="17.25">
      <c r="A2557" s="52"/>
      <c r="B2557" s="2"/>
      <c r="C2557" s="2"/>
      <c r="D2557" s="3"/>
      <c r="E2557" s="3"/>
      <c r="F2557" s="2"/>
      <c r="G2557" s="13">
        <f>IF($B2557="IN",$D2557,0)</f>
      </c>
      <c r="H2557" s="13">
        <f>IF($B2557="OUT",$D2557,0)</f>
      </c>
    </row>
    <row x14ac:dyDescent="0.25" r="2558" customHeight="1" ht="17.25">
      <c r="A2558" s="52"/>
      <c r="B2558" s="2"/>
      <c r="C2558" s="2"/>
      <c r="D2558" s="3"/>
      <c r="E2558" s="3"/>
      <c r="F2558" s="2"/>
      <c r="G2558" s="13">
        <f>IF($B2558="IN",$D2558,0)</f>
      </c>
      <c r="H2558" s="13">
        <f>IF($B2558="OUT",$D2558,0)</f>
      </c>
    </row>
    <row x14ac:dyDescent="0.25" r="2559" customHeight="1" ht="17.25">
      <c r="A2559" s="52"/>
      <c r="B2559" s="2"/>
      <c r="C2559" s="2"/>
      <c r="D2559" s="3"/>
      <c r="E2559" s="3"/>
      <c r="F2559" s="2"/>
      <c r="G2559" s="13">
        <f>IF($B2559="IN",$D2559,0)</f>
      </c>
      <c r="H2559" s="13">
        <f>IF($B2559="OUT",$D2559,0)</f>
      </c>
    </row>
    <row x14ac:dyDescent="0.25" r="2560" customHeight="1" ht="17.25">
      <c r="A2560" s="52"/>
      <c r="B2560" s="2"/>
      <c r="C2560" s="2"/>
      <c r="D2560" s="3"/>
      <c r="E2560" s="3"/>
      <c r="F2560" s="2"/>
      <c r="G2560" s="13">
        <f>IF($B2560="IN",$D2560,0)</f>
      </c>
      <c r="H2560" s="13">
        <f>IF($B2560="OUT",$D2560,0)</f>
      </c>
    </row>
    <row x14ac:dyDescent="0.25" r="2561" customHeight="1" ht="17.25">
      <c r="A2561" s="52"/>
      <c r="B2561" s="2"/>
      <c r="C2561" s="2"/>
      <c r="D2561" s="3"/>
      <c r="E2561" s="3"/>
      <c r="F2561" s="2"/>
      <c r="G2561" s="13">
        <f>IF($B2561="IN",$D2561,0)</f>
      </c>
      <c r="H2561" s="13">
        <f>IF($B2561="OUT",$D2561,0)</f>
      </c>
    </row>
    <row x14ac:dyDescent="0.25" r="2562" customHeight="1" ht="17.25">
      <c r="A2562" s="52"/>
      <c r="B2562" s="2"/>
      <c r="C2562" s="2"/>
      <c r="D2562" s="3"/>
      <c r="E2562" s="3"/>
      <c r="F2562" s="2"/>
      <c r="G2562" s="13">
        <f>IF($B2562="IN",$D2562,0)</f>
      </c>
      <c r="H2562" s="13">
        <f>IF($B2562="OUT",$D2562,0)</f>
      </c>
    </row>
    <row x14ac:dyDescent="0.25" r="2563" customHeight="1" ht="17.25">
      <c r="A2563" s="52"/>
      <c r="B2563" s="2"/>
      <c r="C2563" s="2"/>
      <c r="D2563" s="3"/>
      <c r="E2563" s="3"/>
      <c r="F2563" s="2"/>
      <c r="G2563" s="13">
        <f>IF($B2563="IN",$D2563,0)</f>
      </c>
      <c r="H2563" s="13">
        <f>IF($B2563="OUT",$D2563,0)</f>
      </c>
    </row>
    <row x14ac:dyDescent="0.25" r="2564" customHeight="1" ht="17.25">
      <c r="A2564" s="52"/>
      <c r="B2564" s="2"/>
      <c r="C2564" s="2"/>
      <c r="D2564" s="3"/>
      <c r="E2564" s="3"/>
      <c r="F2564" s="2"/>
      <c r="G2564" s="13">
        <f>IF($B2564="IN",$D2564,0)</f>
      </c>
      <c r="H2564" s="13">
        <f>IF($B2564="OUT",$D2564,0)</f>
      </c>
    </row>
    <row x14ac:dyDescent="0.25" r="2565" customHeight="1" ht="17.25">
      <c r="A2565" s="52"/>
      <c r="B2565" s="2"/>
      <c r="C2565" s="2"/>
      <c r="D2565" s="3"/>
      <c r="E2565" s="3"/>
      <c r="F2565" s="2"/>
      <c r="G2565" s="13">
        <f>IF($B2565="IN",$D2565,0)</f>
      </c>
      <c r="H2565" s="13">
        <f>IF($B2565="OUT",$D2565,0)</f>
      </c>
    </row>
    <row x14ac:dyDescent="0.25" r="2566" customHeight="1" ht="17.25">
      <c r="A2566" s="52"/>
      <c r="B2566" s="2"/>
      <c r="C2566" s="2"/>
      <c r="D2566" s="3"/>
      <c r="E2566" s="3"/>
      <c r="F2566" s="2"/>
      <c r="G2566" s="13">
        <f>IF($B2566="IN",$D2566,0)</f>
      </c>
      <c r="H2566" s="13">
        <f>IF($B2566="OUT",$D2566,0)</f>
      </c>
    </row>
    <row x14ac:dyDescent="0.25" r="2567" customHeight="1" ht="17.25">
      <c r="A2567" s="52"/>
      <c r="B2567" s="2"/>
      <c r="C2567" s="2"/>
      <c r="D2567" s="3"/>
      <c r="E2567" s="3"/>
      <c r="F2567" s="2"/>
      <c r="G2567" s="13">
        <f>IF($B2567="IN",$D2567,0)</f>
      </c>
      <c r="H2567" s="13">
        <f>IF($B2567="OUT",$D2567,0)</f>
      </c>
    </row>
    <row x14ac:dyDescent="0.25" r="2568" customHeight="1" ht="17.25">
      <c r="A2568" s="52"/>
      <c r="B2568" s="2"/>
      <c r="C2568" s="2"/>
      <c r="D2568" s="3"/>
      <c r="E2568" s="3"/>
      <c r="F2568" s="2"/>
      <c r="G2568" s="13">
        <f>IF($B2568="IN",$D2568,0)</f>
      </c>
      <c r="H2568" s="13">
        <f>IF($B2568="OUT",$D2568,0)</f>
      </c>
    </row>
    <row x14ac:dyDescent="0.25" r="2569" customHeight="1" ht="17.25">
      <c r="A2569" s="52"/>
      <c r="B2569" s="2"/>
      <c r="C2569" s="2"/>
      <c r="D2569" s="3"/>
      <c r="E2569" s="3"/>
      <c r="F2569" s="2"/>
      <c r="G2569" s="13">
        <f>IF($B2569="IN",$D2569,0)</f>
      </c>
      <c r="H2569" s="13">
        <f>IF($B2569="OUT",$D2569,0)</f>
      </c>
    </row>
    <row x14ac:dyDescent="0.25" r="2570" customHeight="1" ht="17.25">
      <c r="A2570" s="52"/>
      <c r="B2570" s="2"/>
      <c r="C2570" s="2"/>
      <c r="D2570" s="3"/>
      <c r="E2570" s="3"/>
      <c r="F2570" s="2"/>
      <c r="G2570" s="13">
        <f>IF($B2570="IN",$D2570,0)</f>
      </c>
      <c r="H2570" s="13">
        <f>IF($B2570="OUT",$D2570,0)</f>
      </c>
    </row>
    <row x14ac:dyDescent="0.25" r="2571" customHeight="1" ht="17.25">
      <c r="A2571" s="52"/>
      <c r="B2571" s="2"/>
      <c r="C2571" s="2"/>
      <c r="D2571" s="3"/>
      <c r="E2571" s="3"/>
      <c r="F2571" s="2"/>
      <c r="G2571" s="13">
        <f>IF($B2571="IN",$D2571,0)</f>
      </c>
      <c r="H2571" s="13">
        <f>IF($B2571="OUT",$D2571,0)</f>
      </c>
    </row>
    <row x14ac:dyDescent="0.25" r="2572" customHeight="1" ht="17.25">
      <c r="A2572" s="52"/>
      <c r="B2572" s="2"/>
      <c r="C2572" s="2"/>
      <c r="D2572" s="3"/>
      <c r="E2572" s="3"/>
      <c r="F2572" s="2"/>
      <c r="G2572" s="13">
        <f>IF($B2572="IN",$D2572,0)</f>
      </c>
      <c r="H2572" s="13">
        <f>IF($B2572="OUT",$D2572,0)</f>
      </c>
    </row>
    <row x14ac:dyDescent="0.25" r="2573" customHeight="1" ht="17.25">
      <c r="A2573" s="52"/>
      <c r="B2573" s="2"/>
      <c r="C2573" s="2"/>
      <c r="D2573" s="3"/>
      <c r="E2573" s="3"/>
      <c r="F2573" s="2"/>
      <c r="G2573" s="13">
        <f>IF($B2573="IN",$D2573,0)</f>
      </c>
      <c r="H2573" s="13">
        <f>IF($B2573="OUT",$D2573,0)</f>
      </c>
    </row>
    <row x14ac:dyDescent="0.25" r="2574" customHeight="1" ht="17.25">
      <c r="A2574" s="52"/>
      <c r="B2574" s="2"/>
      <c r="C2574" s="2"/>
      <c r="D2574" s="3"/>
      <c r="E2574" s="3"/>
      <c r="F2574" s="2"/>
      <c r="G2574" s="13">
        <f>IF($B2574="IN",$D2574,0)</f>
      </c>
      <c r="H2574" s="13">
        <f>IF($B2574="OUT",$D2574,0)</f>
      </c>
    </row>
    <row x14ac:dyDescent="0.25" r="2575" customHeight="1" ht="17.25">
      <c r="A2575" s="52"/>
      <c r="B2575" s="2"/>
      <c r="C2575" s="2"/>
      <c r="D2575" s="3"/>
      <c r="E2575" s="3"/>
      <c r="F2575" s="2"/>
      <c r="G2575" s="13">
        <f>IF($B2575="IN",$D2575,0)</f>
      </c>
      <c r="H2575" s="13">
        <f>IF($B2575="OUT",$D2575,0)</f>
      </c>
    </row>
    <row x14ac:dyDescent="0.25" r="2576" customHeight="1" ht="17.25">
      <c r="A2576" s="52"/>
      <c r="B2576" s="2"/>
      <c r="C2576" s="2"/>
      <c r="D2576" s="3"/>
      <c r="E2576" s="3"/>
      <c r="F2576" s="2"/>
      <c r="G2576" s="13">
        <f>IF($B2576="IN",$D2576,0)</f>
      </c>
      <c r="H2576" s="13">
        <f>IF($B2576="OUT",$D2576,0)</f>
      </c>
    </row>
    <row x14ac:dyDescent="0.25" r="2577" customHeight="1" ht="17.25">
      <c r="A2577" s="52"/>
      <c r="B2577" s="2"/>
      <c r="C2577" s="2"/>
      <c r="D2577" s="3"/>
      <c r="E2577" s="3"/>
      <c r="F2577" s="2"/>
      <c r="G2577" s="13">
        <f>IF($B2577="IN",$D2577,0)</f>
      </c>
      <c r="H2577" s="13">
        <f>IF($B2577="OUT",$D2577,0)</f>
      </c>
    </row>
    <row x14ac:dyDescent="0.25" r="2578" customHeight="1" ht="17.25">
      <c r="A2578" s="52"/>
      <c r="B2578" s="2"/>
      <c r="C2578" s="2"/>
      <c r="D2578" s="3"/>
      <c r="E2578" s="3"/>
      <c r="F2578" s="2"/>
      <c r="G2578" s="13">
        <f>IF($B2578="IN",$D2578,0)</f>
      </c>
      <c r="H2578" s="13">
        <f>IF($B2578="OUT",$D2578,0)</f>
      </c>
    </row>
    <row x14ac:dyDescent="0.25" r="2579" customHeight="1" ht="17.25">
      <c r="A2579" s="52"/>
      <c r="B2579" s="2"/>
      <c r="C2579" s="2"/>
      <c r="D2579" s="3"/>
      <c r="E2579" s="3"/>
      <c r="F2579" s="2"/>
      <c r="G2579" s="13">
        <f>IF($B2579="IN",$D2579,0)</f>
      </c>
      <c r="H2579" s="13">
        <f>IF($B2579="OUT",$D2579,0)</f>
      </c>
    </row>
    <row x14ac:dyDescent="0.25" r="2580" customHeight="1" ht="17.25">
      <c r="A2580" s="52"/>
      <c r="B2580" s="2"/>
      <c r="C2580" s="2"/>
      <c r="D2580" s="3"/>
      <c r="E2580" s="3"/>
      <c r="F2580" s="2"/>
      <c r="G2580" s="13">
        <f>IF($B2580="IN",$D2580,0)</f>
      </c>
      <c r="H2580" s="13">
        <f>IF($B2580="OUT",$D2580,0)</f>
      </c>
    </row>
    <row x14ac:dyDescent="0.25" r="2581" customHeight="1" ht="17.25">
      <c r="A2581" s="52"/>
      <c r="B2581" s="2"/>
      <c r="C2581" s="2"/>
      <c r="D2581" s="3"/>
      <c r="E2581" s="3"/>
      <c r="F2581" s="2"/>
      <c r="G2581" s="13">
        <f>IF($B2581="IN",$D2581,0)</f>
      </c>
      <c r="H2581" s="13">
        <f>IF($B2581="OUT",$D2581,0)</f>
      </c>
    </row>
    <row x14ac:dyDescent="0.25" r="2582" customHeight="1" ht="17.25">
      <c r="A2582" s="52"/>
      <c r="B2582" s="2"/>
      <c r="C2582" s="2"/>
      <c r="D2582" s="3"/>
      <c r="E2582" s="3"/>
      <c r="F2582" s="2"/>
      <c r="G2582" s="13">
        <f>IF($B2582="IN",$D2582,0)</f>
      </c>
      <c r="H2582" s="13">
        <f>IF($B2582="OUT",$D2582,0)</f>
      </c>
    </row>
    <row x14ac:dyDescent="0.25" r="2583" customHeight="1" ht="17.25">
      <c r="A2583" s="52"/>
      <c r="B2583" s="2"/>
      <c r="C2583" s="2"/>
      <c r="D2583" s="3"/>
      <c r="E2583" s="3"/>
      <c r="F2583" s="2"/>
      <c r="G2583" s="13">
        <f>IF($B2583="IN",$D2583,0)</f>
      </c>
      <c r="H2583" s="13">
        <f>IF($B2583="OUT",$D2583,0)</f>
      </c>
    </row>
    <row x14ac:dyDescent="0.25" r="2584" customHeight="1" ht="17.25">
      <c r="A2584" s="52"/>
      <c r="B2584" s="2"/>
      <c r="C2584" s="2"/>
      <c r="D2584" s="3"/>
      <c r="E2584" s="3"/>
      <c r="F2584" s="2"/>
      <c r="G2584" s="13">
        <f>IF($B2584="IN",$D2584,0)</f>
      </c>
      <c r="H2584" s="13">
        <f>IF($B2584="OUT",$D2584,0)</f>
      </c>
    </row>
    <row x14ac:dyDescent="0.25" r="2585" customHeight="1" ht="17.25">
      <c r="A2585" s="52"/>
      <c r="B2585" s="2"/>
      <c r="C2585" s="2"/>
      <c r="D2585" s="3"/>
      <c r="E2585" s="3"/>
      <c r="F2585" s="2"/>
      <c r="G2585" s="13">
        <f>IF($B2585="IN",$D2585,0)</f>
      </c>
      <c r="H2585" s="13">
        <f>IF($B2585="OUT",$D2585,0)</f>
      </c>
    </row>
    <row x14ac:dyDescent="0.25" r="2586" customHeight="1" ht="17.25">
      <c r="A2586" s="52"/>
      <c r="B2586" s="2"/>
      <c r="C2586" s="2"/>
      <c r="D2586" s="3"/>
      <c r="E2586" s="3"/>
      <c r="F2586" s="2"/>
      <c r="G2586" s="13">
        <f>IF($B2586="IN",$D2586,0)</f>
      </c>
      <c r="H2586" s="13">
        <f>IF($B2586="OUT",$D2586,0)</f>
      </c>
    </row>
    <row x14ac:dyDescent="0.25" r="2587" customHeight="1" ht="17.25">
      <c r="A2587" s="52"/>
      <c r="B2587" s="2"/>
      <c r="C2587" s="2"/>
      <c r="D2587" s="3"/>
      <c r="E2587" s="3"/>
      <c r="F2587" s="2"/>
      <c r="G2587" s="13">
        <f>IF($B2587="IN",$D2587,0)</f>
      </c>
      <c r="H2587" s="13">
        <f>IF($B2587="OUT",$D2587,0)</f>
      </c>
    </row>
    <row x14ac:dyDescent="0.25" r="2588" customHeight="1" ht="17.25">
      <c r="A2588" s="52"/>
      <c r="B2588" s="2"/>
      <c r="C2588" s="2"/>
      <c r="D2588" s="3"/>
      <c r="E2588" s="3"/>
      <c r="F2588" s="2"/>
      <c r="G2588" s="13">
        <f>IF($B2588="IN",$D2588,0)</f>
      </c>
      <c r="H2588" s="13">
        <f>IF($B2588="OUT",$D2588,0)</f>
      </c>
    </row>
    <row x14ac:dyDescent="0.25" r="2589" customHeight="1" ht="17.25">
      <c r="A2589" s="52"/>
      <c r="B2589" s="2"/>
      <c r="C2589" s="2"/>
      <c r="D2589" s="3"/>
      <c r="E2589" s="3"/>
      <c r="F2589" s="2"/>
      <c r="G2589" s="13">
        <f>IF($B2589="IN",$D2589,0)</f>
      </c>
      <c r="H2589" s="13">
        <f>IF($B2589="OUT",$D2589,0)</f>
      </c>
    </row>
    <row x14ac:dyDescent="0.25" r="2590" customHeight="1" ht="17.25">
      <c r="A2590" s="52"/>
      <c r="B2590" s="2"/>
      <c r="C2590" s="2"/>
      <c r="D2590" s="3"/>
      <c r="E2590" s="3"/>
      <c r="F2590" s="2"/>
      <c r="G2590" s="13">
        <f>IF($B2590="IN",$D2590,0)</f>
      </c>
      <c r="H2590" s="13">
        <f>IF($B2590="OUT",$D2590,0)</f>
      </c>
    </row>
    <row x14ac:dyDescent="0.25" r="2591" customHeight="1" ht="17.25">
      <c r="A2591" s="52"/>
      <c r="B2591" s="2"/>
      <c r="C2591" s="2"/>
      <c r="D2591" s="3"/>
      <c r="E2591" s="3"/>
      <c r="F2591" s="2"/>
      <c r="G2591" s="13">
        <f>IF($B2591="IN",$D2591,0)</f>
      </c>
      <c r="H2591" s="13">
        <f>IF($B2591="OUT",$D2591,0)</f>
      </c>
    </row>
    <row x14ac:dyDescent="0.25" r="2592" customHeight="1" ht="17.25">
      <c r="A2592" s="52"/>
      <c r="B2592" s="2"/>
      <c r="C2592" s="2"/>
      <c r="D2592" s="3"/>
      <c r="E2592" s="3"/>
      <c r="F2592" s="2"/>
      <c r="G2592" s="13">
        <f>IF($B2592="IN",$D2592,0)</f>
      </c>
      <c r="H2592" s="13">
        <f>IF($B2592="OUT",$D2592,0)</f>
      </c>
    </row>
    <row x14ac:dyDescent="0.25" r="2593" customHeight="1" ht="17.25">
      <c r="A2593" s="52"/>
      <c r="B2593" s="2"/>
      <c r="C2593" s="2"/>
      <c r="D2593" s="3"/>
      <c r="E2593" s="3"/>
      <c r="F2593" s="2"/>
      <c r="G2593" s="13">
        <f>IF($B2593="IN",$D2593,0)</f>
      </c>
      <c r="H2593" s="13">
        <f>IF($B2593="OUT",$D2593,0)</f>
      </c>
    </row>
    <row x14ac:dyDescent="0.25" r="2594" customHeight="1" ht="17.25">
      <c r="A2594" s="52"/>
      <c r="B2594" s="2"/>
      <c r="C2594" s="2"/>
      <c r="D2594" s="3"/>
      <c r="E2594" s="3"/>
      <c r="F2594" s="2"/>
      <c r="G2594" s="13">
        <f>IF($B2594="IN",$D2594,0)</f>
      </c>
      <c r="H2594" s="13">
        <f>IF($B2594="OUT",$D2594,0)</f>
      </c>
    </row>
    <row x14ac:dyDescent="0.25" r="2595" customHeight="1" ht="17.25">
      <c r="A2595" s="52"/>
      <c r="B2595" s="2"/>
      <c r="C2595" s="2"/>
      <c r="D2595" s="3"/>
      <c r="E2595" s="3"/>
      <c r="F2595" s="2"/>
      <c r="G2595" s="13">
        <f>IF($B2595="IN",$D2595,0)</f>
      </c>
      <c r="H2595" s="13">
        <f>IF($B2595="OUT",$D2595,0)</f>
      </c>
    </row>
    <row x14ac:dyDescent="0.25" r="2596" customHeight="1" ht="17.25">
      <c r="A2596" s="52"/>
      <c r="B2596" s="2"/>
      <c r="C2596" s="2"/>
      <c r="D2596" s="3"/>
      <c r="E2596" s="3"/>
      <c r="F2596" s="2"/>
      <c r="G2596" s="13">
        <f>IF($B2596="IN",$D2596,0)</f>
      </c>
      <c r="H2596" s="13">
        <f>IF($B2596="OUT",$D2596,0)</f>
      </c>
    </row>
    <row x14ac:dyDescent="0.25" r="2597" customHeight="1" ht="17.25">
      <c r="A2597" s="52"/>
      <c r="B2597" s="2"/>
      <c r="C2597" s="2"/>
      <c r="D2597" s="3"/>
      <c r="E2597" s="3"/>
      <c r="F2597" s="2"/>
      <c r="G2597" s="13">
        <f>IF($B2597="IN",$D2597,0)</f>
      </c>
      <c r="H2597" s="13">
        <f>IF($B2597="OUT",$D2597,0)</f>
      </c>
    </row>
    <row x14ac:dyDescent="0.25" r="2598" customHeight="1" ht="17.25">
      <c r="A2598" s="52"/>
      <c r="B2598" s="2"/>
      <c r="C2598" s="2"/>
      <c r="D2598" s="3"/>
      <c r="E2598" s="3"/>
      <c r="F2598" s="2"/>
      <c r="G2598" s="13">
        <f>IF($B2598="IN",$D2598,0)</f>
      </c>
      <c r="H2598" s="13">
        <f>IF($B2598="OUT",$D2598,0)</f>
      </c>
    </row>
    <row x14ac:dyDescent="0.25" r="2599" customHeight="1" ht="17.25">
      <c r="A2599" s="52"/>
      <c r="B2599" s="2"/>
      <c r="C2599" s="2"/>
      <c r="D2599" s="3"/>
      <c r="E2599" s="3"/>
      <c r="F2599" s="2"/>
      <c r="G2599" s="13">
        <f>IF($B2599="IN",$D2599,0)</f>
      </c>
      <c r="H2599" s="13">
        <f>IF($B2599="OUT",$D2599,0)</f>
      </c>
    </row>
    <row x14ac:dyDescent="0.25" r="2600" customHeight="1" ht="17.25">
      <c r="A2600" s="52"/>
      <c r="B2600" s="2"/>
      <c r="C2600" s="2"/>
      <c r="D2600" s="3"/>
      <c r="E2600" s="3"/>
      <c r="F2600" s="2"/>
      <c r="G2600" s="13">
        <f>IF($B2600="IN",$D2600,0)</f>
      </c>
      <c r="H2600" s="13">
        <f>IF($B2600="OUT",$D2600,0)</f>
      </c>
    </row>
    <row x14ac:dyDescent="0.25" r="2601" customHeight="1" ht="17.25">
      <c r="A2601" s="52"/>
      <c r="B2601" s="2"/>
      <c r="C2601" s="2"/>
      <c r="D2601" s="3"/>
      <c r="E2601" s="3"/>
      <c r="F2601" s="2"/>
      <c r="G2601" s="13">
        <f>IF($B2601="IN",$D2601,0)</f>
      </c>
      <c r="H2601" s="13">
        <f>IF($B2601="OUT",$D2601,0)</f>
      </c>
    </row>
    <row x14ac:dyDescent="0.25" r="2602" customHeight="1" ht="17.25">
      <c r="A2602" s="52"/>
      <c r="B2602" s="2"/>
      <c r="C2602" s="2"/>
      <c r="D2602" s="3"/>
      <c r="E2602" s="3"/>
      <c r="F2602" s="2"/>
      <c r="G2602" s="13">
        <f>IF($B2602="IN",$D2602,0)</f>
      </c>
      <c r="H2602" s="13">
        <f>IF($B2602="OUT",$D2602,0)</f>
      </c>
    </row>
    <row x14ac:dyDescent="0.25" r="2603" customHeight="1" ht="17.25">
      <c r="A2603" s="52"/>
      <c r="B2603" s="2"/>
      <c r="C2603" s="2"/>
      <c r="D2603" s="3"/>
      <c r="E2603" s="3"/>
      <c r="F2603" s="2"/>
      <c r="G2603" s="13">
        <f>IF($B2603="IN",$D2603,0)</f>
      </c>
      <c r="H2603" s="13">
        <f>IF($B2603="OUT",$D2603,0)</f>
      </c>
    </row>
    <row x14ac:dyDescent="0.25" r="2604" customHeight="1" ht="17.25">
      <c r="A2604" s="52"/>
      <c r="B2604" s="2"/>
      <c r="C2604" s="2"/>
      <c r="D2604" s="3"/>
      <c r="E2604" s="3"/>
      <c r="F2604" s="2"/>
      <c r="G2604" s="13">
        <f>IF($B2604="IN",$D2604,0)</f>
      </c>
      <c r="H2604" s="13">
        <f>IF($B2604="OUT",$D2604,0)</f>
      </c>
    </row>
    <row x14ac:dyDescent="0.25" r="2605" customHeight="1" ht="17.25">
      <c r="A2605" s="52"/>
      <c r="B2605" s="2"/>
      <c r="C2605" s="2"/>
      <c r="D2605" s="3"/>
      <c r="E2605" s="3"/>
      <c r="F2605" s="2"/>
      <c r="G2605" s="13">
        <f>IF($B2605="IN",$D2605,0)</f>
      </c>
      <c r="H2605" s="13">
        <f>IF($B2605="OUT",$D2605,0)</f>
      </c>
    </row>
    <row x14ac:dyDescent="0.25" r="2606" customHeight="1" ht="17.25">
      <c r="A2606" s="52"/>
      <c r="B2606" s="2"/>
      <c r="C2606" s="2"/>
      <c r="D2606" s="3"/>
      <c r="E2606" s="3"/>
      <c r="F2606" s="2"/>
      <c r="G2606" s="13">
        <f>IF($B2606="IN",$D2606,0)</f>
      </c>
      <c r="H2606" s="13">
        <f>IF($B2606="OUT",$D2606,0)</f>
      </c>
    </row>
    <row x14ac:dyDescent="0.25" r="2607" customHeight="1" ht="17.25">
      <c r="A2607" s="52"/>
      <c r="B2607" s="2"/>
      <c r="C2607" s="2"/>
      <c r="D2607" s="3"/>
      <c r="E2607" s="3"/>
      <c r="F2607" s="2"/>
      <c r="G2607" s="13">
        <f>IF($B2607="IN",$D2607,0)</f>
      </c>
      <c r="H2607" s="13">
        <f>IF($B2607="OUT",$D2607,0)</f>
      </c>
    </row>
    <row x14ac:dyDescent="0.25" r="2608" customHeight="1" ht="17.25">
      <c r="A2608" s="52"/>
      <c r="B2608" s="2"/>
      <c r="C2608" s="2"/>
      <c r="D2608" s="3"/>
      <c r="E2608" s="3"/>
      <c r="F2608" s="2"/>
      <c r="G2608" s="13">
        <f>IF($B2608="IN",$D2608,0)</f>
      </c>
      <c r="H2608" s="13">
        <f>IF($B2608="OUT",$D2608,0)</f>
      </c>
    </row>
    <row x14ac:dyDescent="0.25" r="2609" customHeight="1" ht="17.25">
      <c r="A2609" s="52"/>
      <c r="B2609" s="2"/>
      <c r="C2609" s="2"/>
      <c r="D2609" s="3"/>
      <c r="E2609" s="3"/>
      <c r="F2609" s="2"/>
      <c r="G2609" s="13">
        <f>IF($B2609="IN",$D2609,0)</f>
      </c>
      <c r="H2609" s="13">
        <f>IF($B2609="OUT",$D2609,0)</f>
      </c>
    </row>
    <row x14ac:dyDescent="0.25" r="2610" customHeight="1" ht="17.25">
      <c r="A2610" s="52"/>
      <c r="B2610" s="2"/>
      <c r="C2610" s="2"/>
      <c r="D2610" s="3"/>
      <c r="E2610" s="3"/>
      <c r="F2610" s="2"/>
      <c r="G2610" s="13">
        <f>IF($B2610="IN",$D2610,0)</f>
      </c>
      <c r="H2610" s="13">
        <f>IF($B2610="OUT",$D2610,0)</f>
      </c>
    </row>
    <row x14ac:dyDescent="0.25" r="2611" customHeight="1" ht="17.25">
      <c r="A2611" s="52"/>
      <c r="B2611" s="2"/>
      <c r="C2611" s="2"/>
      <c r="D2611" s="3"/>
      <c r="E2611" s="3"/>
      <c r="F2611" s="2"/>
      <c r="G2611" s="13">
        <f>IF($B2611="IN",$D2611,0)</f>
      </c>
      <c r="H2611" s="13">
        <f>IF($B2611="OUT",$D2611,0)</f>
      </c>
    </row>
    <row x14ac:dyDescent="0.25" r="2612" customHeight="1" ht="17.25">
      <c r="A2612" s="52"/>
      <c r="B2612" s="2"/>
      <c r="C2612" s="2"/>
      <c r="D2612" s="3"/>
      <c r="E2612" s="3"/>
      <c r="F2612" s="2"/>
      <c r="G2612" s="13">
        <f>IF($B2612="IN",$D2612,0)</f>
      </c>
      <c r="H2612" s="13">
        <f>IF($B2612="OUT",$D2612,0)</f>
      </c>
    </row>
    <row x14ac:dyDescent="0.25" r="2613" customHeight="1" ht="17.25">
      <c r="A2613" s="52"/>
      <c r="B2613" s="2"/>
      <c r="C2613" s="2"/>
      <c r="D2613" s="3"/>
      <c r="E2613" s="3"/>
      <c r="F2613" s="2"/>
      <c r="G2613" s="13">
        <f>IF($B2613="IN",$D2613,0)</f>
      </c>
      <c r="H2613" s="13">
        <f>IF($B2613="OUT",$D2613,0)</f>
      </c>
    </row>
    <row x14ac:dyDescent="0.25" r="2614" customHeight="1" ht="17.25">
      <c r="A2614" s="52"/>
      <c r="B2614" s="2"/>
      <c r="C2614" s="2"/>
      <c r="D2614" s="3"/>
      <c r="E2614" s="3"/>
      <c r="F2614" s="2"/>
      <c r="G2614" s="13">
        <f>IF($B2614="IN",$D2614,0)</f>
      </c>
      <c r="H2614" s="13">
        <f>IF($B2614="OUT",$D2614,0)</f>
      </c>
    </row>
    <row x14ac:dyDescent="0.25" r="2615" customHeight="1" ht="17.25">
      <c r="A2615" s="52"/>
      <c r="B2615" s="2"/>
      <c r="C2615" s="2"/>
      <c r="D2615" s="3"/>
      <c r="E2615" s="3"/>
      <c r="F2615" s="2"/>
      <c r="G2615" s="13">
        <f>IF($B2615="IN",$D2615,0)</f>
      </c>
      <c r="H2615" s="13">
        <f>IF($B2615="OUT",$D2615,0)</f>
      </c>
    </row>
    <row x14ac:dyDescent="0.25" r="2616" customHeight="1" ht="17.25">
      <c r="A2616" s="52"/>
      <c r="B2616" s="2"/>
      <c r="C2616" s="2"/>
      <c r="D2616" s="3"/>
      <c r="E2616" s="3"/>
      <c r="F2616" s="2"/>
      <c r="G2616" s="13">
        <f>IF($B2616="IN",$D2616,0)</f>
      </c>
      <c r="H2616" s="13">
        <f>IF($B2616="OUT",$D2616,0)</f>
      </c>
    </row>
    <row x14ac:dyDescent="0.25" r="2617" customHeight="1" ht="17.25">
      <c r="A2617" s="52"/>
      <c r="B2617" s="2"/>
      <c r="C2617" s="2"/>
      <c r="D2617" s="3"/>
      <c r="E2617" s="3"/>
      <c r="F2617" s="2"/>
      <c r="G2617" s="13">
        <f>IF($B2617="IN",$D2617,0)</f>
      </c>
      <c r="H2617" s="13">
        <f>IF($B2617="OUT",$D2617,0)</f>
      </c>
    </row>
    <row x14ac:dyDescent="0.25" r="2618" customHeight="1" ht="17.25">
      <c r="A2618" s="52"/>
      <c r="B2618" s="2"/>
      <c r="C2618" s="2"/>
      <c r="D2618" s="3"/>
      <c r="E2618" s="3"/>
      <c r="F2618" s="2"/>
      <c r="G2618" s="13">
        <f>IF($B2618="IN",$D2618,0)</f>
      </c>
      <c r="H2618" s="13">
        <f>IF($B2618="OUT",$D2618,0)</f>
      </c>
    </row>
    <row x14ac:dyDescent="0.25" r="2619" customHeight="1" ht="17.25">
      <c r="A2619" s="52"/>
      <c r="B2619" s="2"/>
      <c r="C2619" s="2"/>
      <c r="D2619" s="3"/>
      <c r="E2619" s="3"/>
      <c r="F2619" s="2"/>
      <c r="G2619" s="13">
        <f>IF($B2619="IN",$D2619,0)</f>
      </c>
      <c r="H2619" s="13">
        <f>IF($B2619="OUT",$D2619,0)</f>
      </c>
    </row>
    <row x14ac:dyDescent="0.25" r="2620" customHeight="1" ht="17.25">
      <c r="A2620" s="52"/>
      <c r="B2620" s="2"/>
      <c r="C2620" s="2"/>
      <c r="D2620" s="3"/>
      <c r="E2620" s="3"/>
      <c r="F2620" s="2"/>
      <c r="G2620" s="13">
        <f>IF($B2620="IN",$D2620,0)</f>
      </c>
      <c r="H2620" s="13">
        <f>IF($B2620="OUT",$D2620,0)</f>
      </c>
    </row>
    <row x14ac:dyDescent="0.25" r="2621" customHeight="1" ht="17.25">
      <c r="A2621" s="52"/>
      <c r="B2621" s="2"/>
      <c r="C2621" s="2"/>
      <c r="D2621" s="3"/>
      <c r="E2621" s="3"/>
      <c r="F2621" s="2"/>
      <c r="G2621" s="13">
        <f>IF($B2621="IN",$D2621,0)</f>
      </c>
      <c r="H2621" s="13">
        <f>IF($B2621="OUT",$D2621,0)</f>
      </c>
    </row>
    <row x14ac:dyDescent="0.25" r="2622" customHeight="1" ht="17.25">
      <c r="A2622" s="52"/>
      <c r="B2622" s="2"/>
      <c r="C2622" s="2"/>
      <c r="D2622" s="3"/>
      <c r="E2622" s="3"/>
      <c r="F2622" s="2"/>
      <c r="G2622" s="13">
        <f>IF($B2622="IN",$D2622,0)</f>
      </c>
      <c r="H2622" s="13">
        <f>IF($B2622="OUT",$D2622,0)</f>
      </c>
    </row>
    <row x14ac:dyDescent="0.25" r="2623" customHeight="1" ht="17.25">
      <c r="A2623" s="52"/>
      <c r="B2623" s="2"/>
      <c r="C2623" s="2"/>
      <c r="D2623" s="3"/>
      <c r="E2623" s="3"/>
      <c r="F2623" s="2"/>
      <c r="G2623" s="13">
        <f>IF($B2623="IN",$D2623,0)</f>
      </c>
      <c r="H2623" s="13">
        <f>IF($B2623="OUT",$D2623,0)</f>
      </c>
    </row>
    <row x14ac:dyDescent="0.25" r="2624" customHeight="1" ht="17.25">
      <c r="A2624" s="52"/>
      <c r="B2624" s="2"/>
      <c r="C2624" s="2"/>
      <c r="D2624" s="3"/>
      <c r="E2624" s="3"/>
      <c r="F2624" s="2"/>
      <c r="G2624" s="13">
        <f>IF($B2624="IN",$D2624,0)</f>
      </c>
      <c r="H2624" s="13">
        <f>IF($B2624="OUT",$D2624,0)</f>
      </c>
    </row>
    <row x14ac:dyDescent="0.25" r="2625" customHeight="1" ht="17.25">
      <c r="A2625" s="52"/>
      <c r="B2625" s="2"/>
      <c r="C2625" s="2"/>
      <c r="D2625" s="3"/>
      <c r="E2625" s="3"/>
      <c r="F2625" s="2"/>
      <c r="G2625" s="13">
        <f>IF($B2625="IN",$D2625,0)</f>
      </c>
      <c r="H2625" s="13">
        <f>IF($B2625="OUT",$D2625,0)</f>
      </c>
    </row>
    <row x14ac:dyDescent="0.25" r="2626" customHeight="1" ht="17.25">
      <c r="A2626" s="52"/>
      <c r="B2626" s="2"/>
      <c r="C2626" s="2"/>
      <c r="D2626" s="3"/>
      <c r="E2626" s="3"/>
      <c r="F2626" s="2"/>
      <c r="G2626" s="13">
        <f>IF($B2626="IN",$D2626,0)</f>
      </c>
      <c r="H2626" s="13">
        <f>IF($B2626="OUT",$D2626,0)</f>
      </c>
    </row>
    <row x14ac:dyDescent="0.25" r="2627" customHeight="1" ht="17.25">
      <c r="A2627" s="52"/>
      <c r="B2627" s="2"/>
      <c r="C2627" s="2"/>
      <c r="D2627" s="3"/>
      <c r="E2627" s="3"/>
      <c r="F2627" s="2"/>
      <c r="G2627" s="13">
        <f>IF($B2627="IN",$D2627,0)</f>
      </c>
      <c r="H2627" s="13">
        <f>IF($B2627="OUT",$D2627,0)</f>
      </c>
    </row>
    <row x14ac:dyDescent="0.25" r="2628" customHeight="1" ht="17.25">
      <c r="A2628" s="52"/>
      <c r="B2628" s="2"/>
      <c r="C2628" s="2"/>
      <c r="D2628" s="3"/>
      <c r="E2628" s="3"/>
      <c r="F2628" s="2"/>
      <c r="G2628" s="13">
        <f>IF($B2628="IN",$D2628,0)</f>
      </c>
      <c r="H2628" s="13">
        <f>IF($B2628="OUT",$D2628,0)</f>
      </c>
    </row>
    <row x14ac:dyDescent="0.25" r="2629" customHeight="1" ht="17.25">
      <c r="A2629" s="52"/>
      <c r="B2629" s="2"/>
      <c r="C2629" s="2"/>
      <c r="D2629" s="3"/>
      <c r="E2629" s="3"/>
      <c r="F2629" s="2"/>
      <c r="G2629" s="13">
        <f>IF($B2629="IN",$D2629,0)</f>
      </c>
      <c r="H2629" s="13">
        <f>IF($B2629="OUT",$D2629,0)</f>
      </c>
    </row>
    <row x14ac:dyDescent="0.25" r="2630" customHeight="1" ht="17.25">
      <c r="A2630" s="52"/>
      <c r="B2630" s="2"/>
      <c r="C2630" s="2"/>
      <c r="D2630" s="3"/>
      <c r="E2630" s="3"/>
      <c r="F2630" s="2"/>
      <c r="G2630" s="13">
        <f>IF($B2630="IN",$D2630,0)</f>
      </c>
      <c r="H2630" s="13">
        <f>IF($B2630="OUT",$D2630,0)</f>
      </c>
    </row>
    <row x14ac:dyDescent="0.25" r="2631" customHeight="1" ht="17.25">
      <c r="A2631" s="52"/>
      <c r="B2631" s="2"/>
      <c r="C2631" s="2"/>
      <c r="D2631" s="3"/>
      <c r="E2631" s="3"/>
      <c r="F2631" s="2"/>
      <c r="G2631" s="13">
        <f>IF($B2631="IN",$D2631,0)</f>
      </c>
      <c r="H2631" s="13">
        <f>IF($B2631="OUT",$D2631,0)</f>
      </c>
    </row>
    <row x14ac:dyDescent="0.25" r="2632" customHeight="1" ht="17.25">
      <c r="A2632" s="52"/>
      <c r="B2632" s="2"/>
      <c r="C2632" s="2"/>
      <c r="D2632" s="3"/>
      <c r="E2632" s="3"/>
      <c r="F2632" s="2"/>
      <c r="G2632" s="13">
        <f>IF($B2632="IN",$D2632,0)</f>
      </c>
      <c r="H2632" s="13">
        <f>IF($B2632="OUT",$D2632,0)</f>
      </c>
    </row>
    <row x14ac:dyDescent="0.25" r="2633" customHeight="1" ht="17.25">
      <c r="A2633" s="52"/>
      <c r="B2633" s="2"/>
      <c r="C2633" s="2"/>
      <c r="D2633" s="3"/>
      <c r="E2633" s="3"/>
      <c r="F2633" s="2"/>
      <c r="G2633" s="13">
        <f>IF($B2633="IN",$D2633,0)</f>
      </c>
      <c r="H2633" s="13">
        <f>IF($B2633="OUT",$D2633,0)</f>
      </c>
    </row>
    <row x14ac:dyDescent="0.25" r="2634" customHeight="1" ht="17.25">
      <c r="A2634" s="52"/>
      <c r="B2634" s="2"/>
      <c r="C2634" s="2"/>
      <c r="D2634" s="3"/>
      <c r="E2634" s="3"/>
      <c r="F2634" s="2"/>
      <c r="G2634" s="13">
        <f>IF($B2634="IN",$D2634,0)</f>
      </c>
      <c r="H2634" s="13">
        <f>IF($B2634="OUT",$D2634,0)</f>
      </c>
    </row>
    <row x14ac:dyDescent="0.25" r="2635" customHeight="1" ht="17.25">
      <c r="A2635" s="52"/>
      <c r="B2635" s="2"/>
      <c r="C2635" s="2"/>
      <c r="D2635" s="3"/>
      <c r="E2635" s="3"/>
      <c r="F2635" s="2"/>
      <c r="G2635" s="13">
        <f>IF($B2635="IN",$D2635,0)</f>
      </c>
      <c r="H2635" s="13">
        <f>IF($B2635="OUT",$D2635,0)</f>
      </c>
    </row>
    <row x14ac:dyDescent="0.25" r="2636" customHeight="1" ht="17.25">
      <c r="A2636" s="52"/>
      <c r="B2636" s="2"/>
      <c r="C2636" s="2"/>
      <c r="D2636" s="3"/>
      <c r="E2636" s="3"/>
      <c r="F2636" s="2"/>
      <c r="G2636" s="13">
        <f>IF($B2636="IN",$D2636,0)</f>
      </c>
      <c r="H2636" s="13">
        <f>IF($B2636="OUT",$D2636,0)</f>
      </c>
    </row>
    <row x14ac:dyDescent="0.25" r="2637" customHeight="1" ht="17.25">
      <c r="A2637" s="52"/>
      <c r="B2637" s="2"/>
      <c r="C2637" s="2"/>
      <c r="D2637" s="3"/>
      <c r="E2637" s="3"/>
      <c r="F2637" s="2"/>
      <c r="G2637" s="13">
        <f>IF($B2637="IN",$D2637,0)</f>
      </c>
      <c r="H2637" s="13">
        <f>IF($B2637="OUT",$D2637,0)</f>
      </c>
    </row>
    <row x14ac:dyDescent="0.25" r="2638" customHeight="1" ht="17.25">
      <c r="A2638" s="52"/>
      <c r="B2638" s="2"/>
      <c r="C2638" s="2"/>
      <c r="D2638" s="3"/>
      <c r="E2638" s="3"/>
      <c r="F2638" s="2"/>
      <c r="G2638" s="13">
        <f>IF($B2638="IN",$D2638,0)</f>
      </c>
      <c r="H2638" s="13">
        <f>IF($B2638="OUT",$D2638,0)</f>
      </c>
    </row>
    <row x14ac:dyDescent="0.25" r="2639" customHeight="1" ht="17.25">
      <c r="A2639" s="52"/>
      <c r="B2639" s="2"/>
      <c r="C2639" s="2"/>
      <c r="D2639" s="3"/>
      <c r="E2639" s="3"/>
      <c r="F2639" s="2"/>
      <c r="G2639" s="13">
        <f>IF($B2639="IN",$D2639,0)</f>
      </c>
      <c r="H2639" s="13">
        <f>IF($B2639="OUT",$D2639,0)</f>
      </c>
    </row>
    <row x14ac:dyDescent="0.25" r="2640" customHeight="1" ht="17.25">
      <c r="A2640" s="52"/>
      <c r="B2640" s="2"/>
      <c r="C2640" s="2"/>
      <c r="D2640" s="3"/>
      <c r="E2640" s="3"/>
      <c r="F2640" s="2"/>
      <c r="G2640" s="13">
        <f>IF($B2640="IN",$D2640,0)</f>
      </c>
      <c r="H2640" s="13">
        <f>IF($B2640="OUT",$D2640,0)</f>
      </c>
    </row>
    <row x14ac:dyDescent="0.25" r="2641" customHeight="1" ht="17.25">
      <c r="A2641" s="52"/>
      <c r="B2641" s="2"/>
      <c r="C2641" s="2"/>
      <c r="D2641" s="3"/>
      <c r="E2641" s="3"/>
      <c r="F2641" s="2"/>
      <c r="G2641" s="13">
        <f>IF($B2641="IN",$D2641,0)</f>
      </c>
      <c r="H2641" s="13">
        <f>IF($B2641="OUT",$D2641,0)</f>
      </c>
    </row>
    <row x14ac:dyDescent="0.25" r="2642" customHeight="1" ht="17.25">
      <c r="A2642" s="52"/>
      <c r="B2642" s="2"/>
      <c r="C2642" s="2"/>
      <c r="D2642" s="3"/>
      <c r="E2642" s="3"/>
      <c r="F2642" s="2"/>
      <c r="G2642" s="13">
        <f>IF($B2642="IN",$D2642,0)</f>
      </c>
      <c r="H2642" s="13">
        <f>IF($B2642="OUT",$D2642,0)</f>
      </c>
    </row>
    <row x14ac:dyDescent="0.25" r="2643" customHeight="1" ht="17.25">
      <c r="A2643" s="52"/>
      <c r="B2643" s="2"/>
      <c r="C2643" s="2"/>
      <c r="D2643" s="3"/>
      <c r="E2643" s="3"/>
      <c r="F2643" s="2"/>
      <c r="G2643" s="13">
        <f>IF($B2643="IN",$D2643,0)</f>
      </c>
      <c r="H2643" s="13">
        <f>IF($B2643="OUT",$D2643,0)</f>
      </c>
    </row>
    <row x14ac:dyDescent="0.25" r="2644" customHeight="1" ht="17.25">
      <c r="A2644" s="52"/>
      <c r="B2644" s="2"/>
      <c r="C2644" s="2"/>
      <c r="D2644" s="3"/>
      <c r="E2644" s="3"/>
      <c r="F2644" s="2"/>
      <c r="G2644" s="13">
        <f>IF($B2644="IN",$D2644,0)</f>
      </c>
      <c r="H2644" s="13">
        <f>IF($B2644="OUT",$D2644,0)</f>
      </c>
    </row>
    <row x14ac:dyDescent="0.25" r="2645" customHeight="1" ht="17.25">
      <c r="A2645" s="52"/>
      <c r="B2645" s="2"/>
      <c r="C2645" s="2"/>
      <c r="D2645" s="3"/>
      <c r="E2645" s="3"/>
      <c r="F2645" s="2"/>
      <c r="G2645" s="13">
        <f>IF($B2645="IN",$D2645,0)</f>
      </c>
      <c r="H2645" s="13">
        <f>IF($B2645="OUT",$D2645,0)</f>
      </c>
    </row>
    <row x14ac:dyDescent="0.25" r="2646" customHeight="1" ht="17.25">
      <c r="A2646" s="52"/>
      <c r="B2646" s="2"/>
      <c r="C2646" s="2"/>
      <c r="D2646" s="3"/>
      <c r="E2646" s="3"/>
      <c r="F2646" s="2"/>
      <c r="G2646" s="13">
        <f>IF($B2646="IN",$D2646,0)</f>
      </c>
      <c r="H2646" s="13">
        <f>IF($B2646="OUT",$D2646,0)</f>
      </c>
    </row>
    <row x14ac:dyDescent="0.25" r="2647" customHeight="1" ht="17.25">
      <c r="A2647" s="52"/>
      <c r="B2647" s="2"/>
      <c r="C2647" s="2"/>
      <c r="D2647" s="3"/>
      <c r="E2647" s="3"/>
      <c r="F2647" s="2"/>
      <c r="G2647" s="13">
        <f>IF($B2647="IN",$D2647,0)</f>
      </c>
      <c r="H2647" s="13">
        <f>IF($B2647="OUT",$D2647,0)</f>
      </c>
    </row>
    <row x14ac:dyDescent="0.25" r="2648" customHeight="1" ht="17.25">
      <c r="A2648" s="52"/>
      <c r="B2648" s="2"/>
      <c r="C2648" s="2"/>
      <c r="D2648" s="3"/>
      <c r="E2648" s="3"/>
      <c r="F2648" s="2"/>
      <c r="G2648" s="13">
        <f>IF($B2648="IN",$D2648,0)</f>
      </c>
      <c r="H2648" s="13">
        <f>IF($B2648="OUT",$D2648,0)</f>
      </c>
    </row>
    <row x14ac:dyDescent="0.25" r="2649" customHeight="1" ht="17.25">
      <c r="A2649" s="52"/>
      <c r="B2649" s="2"/>
      <c r="C2649" s="2"/>
      <c r="D2649" s="3"/>
      <c r="E2649" s="3"/>
      <c r="F2649" s="2"/>
      <c r="G2649" s="13">
        <f>IF($B2649="IN",$D2649,0)</f>
      </c>
      <c r="H2649" s="13">
        <f>IF($B2649="OUT",$D2649,0)</f>
      </c>
    </row>
    <row x14ac:dyDescent="0.25" r="2650" customHeight="1" ht="17.25">
      <c r="A2650" s="52"/>
      <c r="B2650" s="2"/>
      <c r="C2650" s="2"/>
      <c r="D2650" s="3"/>
      <c r="E2650" s="3"/>
      <c r="F2650" s="2"/>
      <c r="G2650" s="13">
        <f>IF($B2650="IN",$D2650,0)</f>
      </c>
      <c r="H2650" s="13">
        <f>IF($B2650="OUT",$D2650,0)</f>
      </c>
    </row>
    <row x14ac:dyDescent="0.25" r="2651" customHeight="1" ht="17.25">
      <c r="A2651" s="52"/>
      <c r="B2651" s="2"/>
      <c r="C2651" s="2"/>
      <c r="D2651" s="3"/>
      <c r="E2651" s="3"/>
      <c r="F2651" s="2"/>
      <c r="G2651" s="13">
        <f>IF($B2651="IN",$D2651,0)</f>
      </c>
      <c r="H2651" s="13">
        <f>IF($B2651="OUT",$D2651,0)</f>
      </c>
    </row>
    <row x14ac:dyDescent="0.25" r="2652" customHeight="1" ht="17.25">
      <c r="A2652" s="52"/>
      <c r="B2652" s="2"/>
      <c r="C2652" s="2"/>
      <c r="D2652" s="3"/>
      <c r="E2652" s="3"/>
      <c r="F2652" s="2"/>
      <c r="G2652" s="13">
        <f>IF($B2652="IN",$D2652,0)</f>
      </c>
      <c r="H2652" s="13">
        <f>IF($B2652="OUT",$D2652,0)</f>
      </c>
    </row>
    <row x14ac:dyDescent="0.25" r="2653" customHeight="1" ht="17.25">
      <c r="A2653" s="52"/>
      <c r="B2653" s="2"/>
      <c r="C2653" s="2"/>
      <c r="D2653" s="3"/>
      <c r="E2653" s="3"/>
      <c r="F2653" s="2"/>
      <c r="G2653" s="13">
        <f>IF($B2653="IN",$D2653,0)</f>
      </c>
      <c r="H2653" s="13">
        <f>IF($B2653="OUT",$D2653,0)</f>
      </c>
    </row>
    <row x14ac:dyDescent="0.25" r="2654" customHeight="1" ht="17.25">
      <c r="A2654" s="52"/>
      <c r="B2654" s="2"/>
      <c r="C2654" s="2"/>
      <c r="D2654" s="3"/>
      <c r="E2654" s="3"/>
      <c r="F2654" s="2"/>
      <c r="G2654" s="13">
        <f>IF($B2654="IN",$D2654,0)</f>
      </c>
      <c r="H2654" s="13">
        <f>IF($B2654="OUT",$D2654,0)</f>
      </c>
    </row>
    <row x14ac:dyDescent="0.25" r="2655" customHeight="1" ht="17.25">
      <c r="A2655" s="52"/>
      <c r="B2655" s="2"/>
      <c r="C2655" s="2"/>
      <c r="D2655" s="3"/>
      <c r="E2655" s="3"/>
      <c r="F2655" s="2"/>
      <c r="G2655" s="13">
        <f>IF($B2655="IN",$D2655,0)</f>
      </c>
      <c r="H2655" s="13">
        <f>IF($B2655="OUT",$D2655,0)</f>
      </c>
    </row>
    <row x14ac:dyDescent="0.25" r="2656" customHeight="1" ht="17.25">
      <c r="A2656" s="52"/>
      <c r="B2656" s="2"/>
      <c r="C2656" s="2"/>
      <c r="D2656" s="3"/>
      <c r="E2656" s="3"/>
      <c r="F2656" s="2"/>
      <c r="G2656" s="13">
        <f>IF($B2656="IN",$D2656,0)</f>
      </c>
      <c r="H2656" s="13">
        <f>IF($B2656="OUT",$D2656,0)</f>
      </c>
    </row>
    <row x14ac:dyDescent="0.25" r="2657" customHeight="1" ht="17.25">
      <c r="A2657" s="52"/>
      <c r="B2657" s="2"/>
      <c r="C2657" s="2"/>
      <c r="D2657" s="3"/>
      <c r="E2657" s="3"/>
      <c r="F2657" s="2"/>
      <c r="G2657" s="13">
        <f>IF($B2657="IN",$D2657,0)</f>
      </c>
      <c r="H2657" s="13">
        <f>IF($B2657="OUT",$D2657,0)</f>
      </c>
    </row>
    <row x14ac:dyDescent="0.25" r="2658" customHeight="1" ht="17.25">
      <c r="A2658" s="52"/>
      <c r="B2658" s="2"/>
      <c r="C2658" s="2"/>
      <c r="D2658" s="3"/>
      <c r="E2658" s="3"/>
      <c r="F2658" s="2"/>
      <c r="G2658" s="13">
        <f>IF($B2658="IN",$D2658,0)</f>
      </c>
      <c r="H2658" s="13">
        <f>IF($B2658="OUT",$D2658,0)</f>
      </c>
    </row>
    <row x14ac:dyDescent="0.25" r="2659" customHeight="1" ht="17.25">
      <c r="A2659" s="52"/>
      <c r="B2659" s="2"/>
      <c r="C2659" s="2"/>
      <c r="D2659" s="3"/>
      <c r="E2659" s="3"/>
      <c r="F2659" s="2"/>
      <c r="G2659" s="13">
        <f>IF($B2659="IN",$D2659,0)</f>
      </c>
      <c r="H2659" s="13">
        <f>IF($B2659="OUT",$D2659,0)</f>
      </c>
    </row>
    <row x14ac:dyDescent="0.25" r="2660" customHeight="1" ht="17.25">
      <c r="A2660" s="52"/>
      <c r="B2660" s="2"/>
      <c r="C2660" s="2"/>
      <c r="D2660" s="3"/>
      <c r="E2660" s="3"/>
      <c r="F2660" s="2"/>
      <c r="G2660" s="13">
        <f>IF($B2660="IN",$D2660,0)</f>
      </c>
      <c r="H2660" s="13">
        <f>IF($B2660="OUT",$D2660,0)</f>
      </c>
    </row>
    <row x14ac:dyDescent="0.25" r="2661" customHeight="1" ht="17.25">
      <c r="A2661" s="52"/>
      <c r="B2661" s="2"/>
      <c r="C2661" s="2"/>
      <c r="D2661" s="3"/>
      <c r="E2661" s="3"/>
      <c r="F2661" s="2"/>
      <c r="G2661" s="13">
        <f>IF($B2661="IN",$D2661,0)</f>
      </c>
      <c r="H2661" s="13">
        <f>IF($B2661="OUT",$D2661,0)</f>
      </c>
    </row>
    <row x14ac:dyDescent="0.25" r="2662" customHeight="1" ht="17.25">
      <c r="A2662" s="52"/>
      <c r="B2662" s="2"/>
      <c r="C2662" s="2"/>
      <c r="D2662" s="3"/>
      <c r="E2662" s="3"/>
      <c r="F2662" s="2"/>
      <c r="G2662" s="13">
        <f>IF($B2662="IN",$D2662,0)</f>
      </c>
      <c r="H2662" s="13">
        <f>IF($B2662="OUT",$D2662,0)</f>
      </c>
    </row>
    <row x14ac:dyDescent="0.25" r="2663" customHeight="1" ht="17.25">
      <c r="A2663" s="52"/>
      <c r="B2663" s="2"/>
      <c r="C2663" s="2"/>
      <c r="D2663" s="3"/>
      <c r="E2663" s="3"/>
      <c r="F2663" s="2"/>
      <c r="G2663" s="13">
        <f>IF($B2663="IN",$D2663,0)</f>
      </c>
      <c r="H2663" s="13">
        <f>IF($B2663="OUT",$D2663,0)</f>
      </c>
    </row>
    <row x14ac:dyDescent="0.25" r="2664" customHeight="1" ht="17.25">
      <c r="A2664" s="52"/>
      <c r="B2664" s="2"/>
      <c r="C2664" s="2"/>
      <c r="D2664" s="3"/>
      <c r="E2664" s="3"/>
      <c r="F2664" s="2"/>
      <c r="G2664" s="13">
        <f>IF($B2664="IN",$D2664,0)</f>
      </c>
      <c r="H2664" s="13">
        <f>IF($B2664="OUT",$D2664,0)</f>
      </c>
    </row>
    <row x14ac:dyDescent="0.25" r="2665" customHeight="1" ht="17.25">
      <c r="A2665" s="52"/>
      <c r="B2665" s="2"/>
      <c r="C2665" s="2"/>
      <c r="D2665" s="3"/>
      <c r="E2665" s="3"/>
      <c r="F2665" s="2"/>
      <c r="G2665" s="13">
        <f>IF($B2665="IN",$D2665,0)</f>
      </c>
      <c r="H2665" s="13">
        <f>IF($B2665="OUT",$D2665,0)</f>
      </c>
    </row>
    <row x14ac:dyDescent="0.25" r="2666" customHeight="1" ht="17.25">
      <c r="A2666" s="52"/>
      <c r="B2666" s="2"/>
      <c r="C2666" s="2"/>
      <c r="D2666" s="3"/>
      <c r="E2666" s="3"/>
      <c r="F2666" s="2"/>
      <c r="G2666" s="13">
        <f>IF($B2666="IN",$D2666,0)</f>
      </c>
      <c r="H2666" s="13">
        <f>IF($B2666="OUT",$D2666,0)</f>
      </c>
    </row>
    <row x14ac:dyDescent="0.25" r="2667" customHeight="1" ht="17.25">
      <c r="A2667" s="52"/>
      <c r="B2667" s="2"/>
      <c r="C2667" s="2"/>
      <c r="D2667" s="3"/>
      <c r="E2667" s="3"/>
      <c r="F2667" s="2"/>
      <c r="G2667" s="13">
        <f>IF($B2667="IN",$D2667,0)</f>
      </c>
      <c r="H2667" s="13">
        <f>IF($B2667="OUT",$D2667,0)</f>
      </c>
    </row>
    <row x14ac:dyDescent="0.25" r="2668" customHeight="1" ht="17.25">
      <c r="A2668" s="52"/>
      <c r="B2668" s="2"/>
      <c r="C2668" s="2"/>
      <c r="D2668" s="3"/>
      <c r="E2668" s="3"/>
      <c r="F2668" s="2"/>
      <c r="G2668" s="13">
        <f>IF($B2668="IN",$D2668,0)</f>
      </c>
      <c r="H2668" s="13">
        <f>IF($B2668="OUT",$D2668,0)</f>
      </c>
    </row>
    <row x14ac:dyDescent="0.25" r="2669" customHeight="1" ht="17.25">
      <c r="A2669" s="52"/>
      <c r="B2669" s="2"/>
      <c r="C2669" s="2"/>
      <c r="D2669" s="3"/>
      <c r="E2669" s="3"/>
      <c r="F2669" s="2"/>
      <c r="G2669" s="13">
        <f>IF($B2669="IN",$D2669,0)</f>
      </c>
      <c r="H2669" s="13">
        <f>IF($B2669="OUT",$D2669,0)</f>
      </c>
    </row>
    <row x14ac:dyDescent="0.25" r="2670" customHeight="1" ht="17.25">
      <c r="A2670" s="52"/>
      <c r="B2670" s="2"/>
      <c r="C2670" s="2"/>
      <c r="D2670" s="3"/>
      <c r="E2670" s="3"/>
      <c r="F2670" s="2"/>
      <c r="G2670" s="13">
        <f>IF($B2670="IN",$D2670,0)</f>
      </c>
      <c r="H2670" s="13">
        <f>IF($B2670="OUT",$D2670,0)</f>
      </c>
    </row>
    <row x14ac:dyDescent="0.25" r="2671" customHeight="1" ht="17.25">
      <c r="A2671" s="52"/>
      <c r="B2671" s="2"/>
      <c r="C2671" s="2"/>
      <c r="D2671" s="3"/>
      <c r="E2671" s="3"/>
      <c r="F2671" s="2"/>
      <c r="G2671" s="13">
        <f>IF($B2671="IN",$D2671,0)</f>
      </c>
      <c r="H2671" s="13">
        <f>IF($B2671="OUT",$D2671,0)</f>
      </c>
    </row>
    <row x14ac:dyDescent="0.25" r="2672" customHeight="1" ht="17.25">
      <c r="A2672" s="52"/>
      <c r="B2672" s="2"/>
      <c r="C2672" s="2"/>
      <c r="D2672" s="3"/>
      <c r="E2672" s="3"/>
      <c r="F2672" s="2"/>
      <c r="G2672" s="13">
        <f>IF($B2672="IN",$D2672,0)</f>
      </c>
      <c r="H2672" s="13">
        <f>IF($B2672="OUT",$D2672,0)</f>
      </c>
    </row>
    <row x14ac:dyDescent="0.25" r="2673" customHeight="1" ht="17.25">
      <c r="A2673" s="52"/>
      <c r="B2673" s="2"/>
      <c r="C2673" s="2"/>
      <c r="D2673" s="3"/>
      <c r="E2673" s="3"/>
      <c r="F2673" s="2"/>
      <c r="G2673" s="13">
        <f>IF($B2673="IN",$D2673,0)</f>
      </c>
      <c r="H2673" s="13">
        <f>IF($B2673="OUT",$D2673,0)</f>
      </c>
    </row>
    <row x14ac:dyDescent="0.25" r="2674" customHeight="1" ht="17.25">
      <c r="A2674" s="52"/>
      <c r="B2674" s="2"/>
      <c r="C2674" s="2"/>
      <c r="D2674" s="3"/>
      <c r="E2674" s="3"/>
      <c r="F2674" s="2"/>
      <c r="G2674" s="13">
        <f>IF($B2674="IN",$D2674,0)</f>
      </c>
      <c r="H2674" s="13">
        <f>IF($B2674="OUT",$D2674,0)</f>
      </c>
    </row>
    <row x14ac:dyDescent="0.25" r="2675" customHeight="1" ht="17.25">
      <c r="A2675" s="52"/>
      <c r="B2675" s="2"/>
      <c r="C2675" s="2"/>
      <c r="D2675" s="3"/>
      <c r="E2675" s="3"/>
      <c r="F2675" s="2"/>
      <c r="G2675" s="13">
        <f>IF($B2675="IN",$D2675,0)</f>
      </c>
      <c r="H2675" s="13">
        <f>IF($B2675="OUT",$D2675,0)</f>
      </c>
    </row>
    <row x14ac:dyDescent="0.25" r="2676" customHeight="1" ht="17.25">
      <c r="A2676" s="52"/>
      <c r="B2676" s="2"/>
      <c r="C2676" s="2"/>
      <c r="D2676" s="3"/>
      <c r="E2676" s="3"/>
      <c r="F2676" s="2"/>
      <c r="G2676" s="13">
        <f>IF($B2676="IN",$D2676,0)</f>
      </c>
      <c r="H2676" s="13">
        <f>IF($B2676="OUT",$D2676,0)</f>
      </c>
    </row>
    <row x14ac:dyDescent="0.25" r="2677" customHeight="1" ht="17.25">
      <c r="A2677" s="52"/>
      <c r="B2677" s="2"/>
      <c r="C2677" s="2"/>
      <c r="D2677" s="3"/>
      <c r="E2677" s="3"/>
      <c r="F2677" s="2"/>
      <c r="G2677" s="13">
        <f>IF($B2677="IN",$D2677,0)</f>
      </c>
      <c r="H2677" s="13">
        <f>IF($B2677="OUT",$D2677,0)</f>
      </c>
    </row>
    <row x14ac:dyDescent="0.25" r="2678" customHeight="1" ht="17.25">
      <c r="A2678" s="52"/>
      <c r="B2678" s="2"/>
      <c r="C2678" s="2"/>
      <c r="D2678" s="3"/>
      <c r="E2678" s="3"/>
      <c r="F2678" s="2"/>
      <c r="G2678" s="13">
        <f>IF($B2678="IN",$D2678,0)</f>
      </c>
      <c r="H2678" s="13">
        <f>IF($B2678="OUT",$D2678,0)</f>
      </c>
    </row>
    <row x14ac:dyDescent="0.25" r="2679" customHeight="1" ht="17.25">
      <c r="A2679" s="52"/>
      <c r="B2679" s="2"/>
      <c r="C2679" s="2"/>
      <c r="D2679" s="3"/>
      <c r="E2679" s="3"/>
      <c r="F2679" s="2"/>
      <c r="G2679" s="13">
        <f>IF($B2679="IN",$D2679,0)</f>
      </c>
      <c r="H2679" s="13">
        <f>IF($B2679="OUT",$D2679,0)</f>
      </c>
    </row>
    <row x14ac:dyDescent="0.25" r="2680" customHeight="1" ht="17.25">
      <c r="A2680" s="52"/>
      <c r="B2680" s="2"/>
      <c r="C2680" s="2"/>
      <c r="D2680" s="3"/>
      <c r="E2680" s="3"/>
      <c r="F2680" s="2"/>
      <c r="G2680" s="13">
        <f>IF($B2680="IN",$D2680,0)</f>
      </c>
      <c r="H2680" s="13">
        <f>IF($B2680="OUT",$D2680,0)</f>
      </c>
    </row>
    <row x14ac:dyDescent="0.25" r="2681" customHeight="1" ht="17.25">
      <c r="A2681" s="52"/>
      <c r="B2681" s="2"/>
      <c r="C2681" s="2"/>
      <c r="D2681" s="3"/>
      <c r="E2681" s="3"/>
      <c r="F2681" s="2"/>
      <c r="G2681" s="13">
        <f>IF($B2681="IN",$D2681,0)</f>
      </c>
      <c r="H2681" s="13">
        <f>IF($B2681="OUT",$D2681,0)</f>
      </c>
    </row>
    <row x14ac:dyDescent="0.25" r="2682" customHeight="1" ht="17.25">
      <c r="A2682" s="52"/>
      <c r="B2682" s="2"/>
      <c r="C2682" s="2"/>
      <c r="D2682" s="3"/>
      <c r="E2682" s="3"/>
      <c r="F2682" s="2"/>
      <c r="G2682" s="13">
        <f>IF($B2682="IN",$D2682,0)</f>
      </c>
      <c r="H2682" s="13">
        <f>IF($B2682="OUT",$D2682,0)</f>
      </c>
    </row>
    <row x14ac:dyDescent="0.25" r="2683" customHeight="1" ht="17.25">
      <c r="A2683" s="52"/>
      <c r="B2683" s="2"/>
      <c r="C2683" s="2"/>
      <c r="D2683" s="3"/>
      <c r="E2683" s="3"/>
      <c r="F2683" s="2"/>
      <c r="G2683" s="13">
        <f>IF($B2683="IN",$D2683,0)</f>
      </c>
      <c r="H2683" s="13">
        <f>IF($B2683="OUT",$D2683,0)</f>
      </c>
    </row>
    <row x14ac:dyDescent="0.25" r="2684" customHeight="1" ht="17.25">
      <c r="A2684" s="52"/>
      <c r="B2684" s="2"/>
      <c r="C2684" s="2"/>
      <c r="D2684" s="3"/>
      <c r="E2684" s="3"/>
      <c r="F2684" s="2"/>
      <c r="G2684" s="13">
        <f>IF($B2684="IN",$D2684,0)</f>
      </c>
      <c r="H2684" s="13">
        <f>IF($B2684="OUT",$D2684,0)</f>
      </c>
    </row>
    <row x14ac:dyDescent="0.25" r="2685" customHeight="1" ht="17.25">
      <c r="A2685" s="52"/>
      <c r="B2685" s="2"/>
      <c r="C2685" s="2"/>
      <c r="D2685" s="3"/>
      <c r="E2685" s="3"/>
      <c r="F2685" s="2"/>
      <c r="G2685" s="13">
        <f>IF($B2685="IN",$D2685,0)</f>
      </c>
      <c r="H2685" s="13">
        <f>IF($B2685="OUT",$D2685,0)</f>
      </c>
    </row>
    <row x14ac:dyDescent="0.25" r="2686" customHeight="1" ht="17.25">
      <c r="A2686" s="52"/>
      <c r="B2686" s="2"/>
      <c r="C2686" s="2"/>
      <c r="D2686" s="3"/>
      <c r="E2686" s="3"/>
      <c r="F2686" s="2"/>
      <c r="G2686" s="13">
        <f>IF($B2686="IN",$D2686,0)</f>
      </c>
      <c r="H2686" s="13">
        <f>IF($B2686="OUT",$D2686,0)</f>
      </c>
    </row>
    <row x14ac:dyDescent="0.25" r="2687" customHeight="1" ht="17.25">
      <c r="A2687" s="52"/>
      <c r="B2687" s="2"/>
      <c r="C2687" s="2"/>
      <c r="D2687" s="3"/>
      <c r="E2687" s="3"/>
      <c r="F2687" s="2"/>
      <c r="G2687" s="13">
        <f>IF($B2687="IN",$D2687,0)</f>
      </c>
      <c r="H2687" s="13">
        <f>IF($B2687="OUT",$D2687,0)</f>
      </c>
    </row>
    <row x14ac:dyDescent="0.25" r="2688" customHeight="1" ht="17.25">
      <c r="A2688" s="52"/>
      <c r="B2688" s="2"/>
      <c r="C2688" s="2"/>
      <c r="D2688" s="3"/>
      <c r="E2688" s="3"/>
      <c r="F2688" s="2"/>
      <c r="G2688" s="13">
        <f>IF($B2688="IN",$D2688,0)</f>
      </c>
      <c r="H2688" s="13">
        <f>IF($B2688="OUT",$D2688,0)</f>
      </c>
    </row>
    <row x14ac:dyDescent="0.25" r="2689" customHeight="1" ht="17.25">
      <c r="A2689" s="52"/>
      <c r="B2689" s="2"/>
      <c r="C2689" s="2"/>
      <c r="D2689" s="3"/>
      <c r="E2689" s="3"/>
      <c r="F2689" s="2"/>
      <c r="G2689" s="13">
        <f>IF($B2689="IN",$D2689,0)</f>
      </c>
      <c r="H2689" s="13">
        <f>IF($B2689="OUT",$D2689,0)</f>
      </c>
    </row>
    <row x14ac:dyDescent="0.25" r="2690" customHeight="1" ht="17.25">
      <c r="A2690" s="52"/>
      <c r="B2690" s="2"/>
      <c r="C2690" s="2"/>
      <c r="D2690" s="3"/>
      <c r="E2690" s="3"/>
      <c r="F2690" s="2"/>
      <c r="G2690" s="13">
        <f>IF($B2690="IN",$D2690,0)</f>
      </c>
      <c r="H2690" s="13">
        <f>IF($B2690="OUT",$D2690,0)</f>
      </c>
    </row>
    <row x14ac:dyDescent="0.25" r="2691" customHeight="1" ht="17.25">
      <c r="A2691" s="52"/>
      <c r="B2691" s="2"/>
      <c r="C2691" s="2"/>
      <c r="D2691" s="3"/>
      <c r="E2691" s="3"/>
      <c r="F2691" s="2"/>
      <c r="G2691" s="13">
        <f>IF($B2691="IN",$D2691,0)</f>
      </c>
      <c r="H2691" s="13">
        <f>IF($B2691="OUT",$D2691,0)</f>
      </c>
    </row>
    <row x14ac:dyDescent="0.25" r="2692" customHeight="1" ht="17.25">
      <c r="A2692" s="52"/>
      <c r="B2692" s="2"/>
      <c r="C2692" s="2"/>
      <c r="D2692" s="3"/>
      <c r="E2692" s="3"/>
      <c r="F2692" s="2"/>
      <c r="G2692" s="13">
        <f>IF($B2692="IN",$D2692,0)</f>
      </c>
      <c r="H2692" s="13">
        <f>IF($B2692="OUT",$D2692,0)</f>
      </c>
    </row>
    <row x14ac:dyDescent="0.25" r="2693" customHeight="1" ht="17.25">
      <c r="A2693" s="52"/>
      <c r="B2693" s="2"/>
      <c r="C2693" s="2"/>
      <c r="D2693" s="3"/>
      <c r="E2693" s="3"/>
      <c r="F2693" s="2"/>
      <c r="G2693" s="13">
        <f>IF($B2693="IN",$D2693,0)</f>
      </c>
      <c r="H2693" s="13">
        <f>IF($B2693="OUT",$D2693,0)</f>
      </c>
    </row>
    <row x14ac:dyDescent="0.25" r="2694" customHeight="1" ht="17.25">
      <c r="A2694" s="52"/>
      <c r="B2694" s="2"/>
      <c r="C2694" s="2"/>
      <c r="D2694" s="3"/>
      <c r="E2694" s="3"/>
      <c r="F2694" s="2"/>
      <c r="G2694" s="13">
        <f>IF($B2694="IN",$D2694,0)</f>
      </c>
      <c r="H2694" s="13">
        <f>IF($B2694="OUT",$D2694,0)</f>
      </c>
    </row>
    <row x14ac:dyDescent="0.25" r="2695" customHeight="1" ht="17.25">
      <c r="A2695" s="52"/>
      <c r="B2695" s="2"/>
      <c r="C2695" s="2"/>
      <c r="D2695" s="3"/>
      <c r="E2695" s="3"/>
      <c r="F2695" s="2"/>
      <c r="G2695" s="13">
        <f>IF($B2695="IN",$D2695,0)</f>
      </c>
      <c r="H2695" s="13">
        <f>IF($B2695="OUT",$D2695,0)</f>
      </c>
    </row>
    <row x14ac:dyDescent="0.25" r="2696" customHeight="1" ht="17.25">
      <c r="A2696" s="52"/>
      <c r="B2696" s="2"/>
      <c r="C2696" s="2"/>
      <c r="D2696" s="3"/>
      <c r="E2696" s="3"/>
      <c r="F2696" s="2"/>
      <c r="G2696" s="13">
        <f>IF($B2696="IN",$D2696,0)</f>
      </c>
      <c r="H2696" s="13">
        <f>IF($B2696="OUT",$D2696,0)</f>
      </c>
    </row>
    <row x14ac:dyDescent="0.25" r="2697" customHeight="1" ht="17.25">
      <c r="A2697" s="52"/>
      <c r="B2697" s="2"/>
      <c r="C2697" s="2"/>
      <c r="D2697" s="3"/>
      <c r="E2697" s="3"/>
      <c r="F2697" s="2"/>
      <c r="G2697" s="13">
        <f>IF($B2697="IN",$D2697,0)</f>
      </c>
      <c r="H2697" s="13">
        <f>IF($B2697="OUT",$D2697,0)</f>
      </c>
    </row>
    <row x14ac:dyDescent="0.25" r="2698" customHeight="1" ht="17.25">
      <c r="A2698" s="52"/>
      <c r="B2698" s="2"/>
      <c r="C2698" s="2"/>
      <c r="D2698" s="3"/>
      <c r="E2698" s="3"/>
      <c r="F2698" s="2"/>
      <c r="G2698" s="13">
        <f>IF($B2698="IN",$D2698,0)</f>
      </c>
      <c r="H2698" s="13">
        <f>IF($B2698="OUT",$D2698,0)</f>
      </c>
    </row>
    <row x14ac:dyDescent="0.25" r="2699" customHeight="1" ht="17.25">
      <c r="A2699" s="52"/>
      <c r="B2699" s="2"/>
      <c r="C2699" s="2"/>
      <c r="D2699" s="3"/>
      <c r="E2699" s="3"/>
      <c r="F2699" s="2"/>
      <c r="G2699" s="13">
        <f>IF($B2699="IN",$D2699,0)</f>
      </c>
      <c r="H2699" s="13">
        <f>IF($B2699="OUT",$D2699,0)</f>
      </c>
    </row>
    <row x14ac:dyDescent="0.25" r="2700" customHeight="1" ht="17.25">
      <c r="A2700" s="52"/>
      <c r="B2700" s="2"/>
      <c r="C2700" s="2"/>
      <c r="D2700" s="3"/>
      <c r="E2700" s="3"/>
      <c r="F2700" s="2"/>
      <c r="G2700" s="13">
        <f>IF($B2700="IN",$D2700,0)</f>
      </c>
      <c r="H2700" s="13">
        <f>IF($B2700="OUT",$D2700,0)</f>
      </c>
    </row>
    <row x14ac:dyDescent="0.25" r="2701" customHeight="1" ht="17.25">
      <c r="A2701" s="52"/>
      <c r="B2701" s="2"/>
      <c r="C2701" s="2"/>
      <c r="D2701" s="3"/>
      <c r="E2701" s="3"/>
      <c r="F2701" s="2"/>
      <c r="G2701" s="13">
        <f>IF($B2701="IN",$D2701,0)</f>
      </c>
      <c r="H2701" s="13">
        <f>IF($B2701="OUT",$D2701,0)</f>
      </c>
    </row>
    <row x14ac:dyDescent="0.25" r="2702" customHeight="1" ht="17.25">
      <c r="A2702" s="52"/>
      <c r="B2702" s="2"/>
      <c r="C2702" s="2"/>
      <c r="D2702" s="3"/>
      <c r="E2702" s="3"/>
      <c r="F2702" s="2"/>
      <c r="G2702" s="13">
        <f>IF($B2702="IN",$D2702,0)</f>
      </c>
      <c r="H2702" s="13">
        <f>IF($B2702="OUT",$D2702,0)</f>
      </c>
    </row>
    <row x14ac:dyDescent="0.25" r="2703" customHeight="1" ht="17.25">
      <c r="A2703" s="52"/>
      <c r="B2703" s="2"/>
      <c r="C2703" s="2"/>
      <c r="D2703" s="3"/>
      <c r="E2703" s="3"/>
      <c r="F2703" s="2"/>
      <c r="G2703" s="13">
        <f>IF($B2703="IN",$D2703,0)</f>
      </c>
      <c r="H2703" s="13">
        <f>IF($B2703="OUT",$D2703,0)</f>
      </c>
    </row>
    <row x14ac:dyDescent="0.25" r="2704" customHeight="1" ht="17.25">
      <c r="A2704" s="52"/>
      <c r="B2704" s="2"/>
      <c r="C2704" s="2"/>
      <c r="D2704" s="3"/>
      <c r="E2704" s="3"/>
      <c r="F2704" s="2"/>
      <c r="G2704" s="13">
        <f>IF($B2704="IN",$D2704,0)</f>
      </c>
      <c r="H2704" s="13">
        <f>IF($B2704="OUT",$D2704,0)</f>
      </c>
    </row>
    <row x14ac:dyDescent="0.25" r="2705" customHeight="1" ht="17.25">
      <c r="A2705" s="52"/>
      <c r="B2705" s="2"/>
      <c r="C2705" s="2"/>
      <c r="D2705" s="3"/>
      <c r="E2705" s="3"/>
      <c r="F2705" s="2"/>
      <c r="G2705" s="13">
        <f>IF($B2705="IN",$D2705,0)</f>
      </c>
      <c r="H2705" s="13">
        <f>IF($B2705="OUT",$D2705,0)</f>
      </c>
    </row>
    <row x14ac:dyDescent="0.25" r="2706" customHeight="1" ht="17.25">
      <c r="A2706" s="52"/>
      <c r="B2706" s="2"/>
      <c r="C2706" s="2"/>
      <c r="D2706" s="3"/>
      <c r="E2706" s="3"/>
      <c r="F2706" s="2"/>
      <c r="G2706" s="13">
        <f>IF($B2706="IN",$D2706,0)</f>
      </c>
      <c r="H2706" s="13">
        <f>IF($B2706="OUT",$D2706,0)</f>
      </c>
    </row>
    <row x14ac:dyDescent="0.25" r="2707" customHeight="1" ht="17.25">
      <c r="A2707" s="52"/>
      <c r="B2707" s="2"/>
      <c r="C2707" s="2"/>
      <c r="D2707" s="3"/>
      <c r="E2707" s="3"/>
      <c r="F2707" s="2"/>
      <c r="G2707" s="13">
        <f>IF($B2707="IN",$D2707,0)</f>
      </c>
      <c r="H2707" s="13">
        <f>IF($B2707="OUT",$D2707,0)</f>
      </c>
    </row>
    <row x14ac:dyDescent="0.25" r="2708" customHeight="1" ht="17.25">
      <c r="A2708" s="52"/>
      <c r="B2708" s="2"/>
      <c r="C2708" s="2"/>
      <c r="D2708" s="3"/>
      <c r="E2708" s="3"/>
      <c r="F2708" s="2"/>
      <c r="G2708" s="13">
        <f>IF($B2708="IN",$D2708,0)</f>
      </c>
      <c r="H2708" s="13">
        <f>IF($B2708="OUT",$D2708,0)</f>
      </c>
    </row>
    <row x14ac:dyDescent="0.25" r="2709" customHeight="1" ht="17.25">
      <c r="A2709" s="52"/>
      <c r="B2709" s="2"/>
      <c r="C2709" s="2"/>
      <c r="D2709" s="3"/>
      <c r="E2709" s="3"/>
      <c r="F2709" s="2"/>
      <c r="G2709" s="13">
        <f>IF($B2709="IN",$D2709,0)</f>
      </c>
      <c r="H2709" s="13">
        <f>IF($B2709="OUT",$D2709,0)</f>
      </c>
    </row>
    <row x14ac:dyDescent="0.25" r="2710" customHeight="1" ht="17.25">
      <c r="A2710" s="52"/>
      <c r="B2710" s="2"/>
      <c r="C2710" s="2"/>
      <c r="D2710" s="3"/>
      <c r="E2710" s="3"/>
      <c r="F2710" s="2"/>
      <c r="G2710" s="13">
        <f>IF($B2710="IN",$D2710,0)</f>
      </c>
      <c r="H2710" s="13">
        <f>IF($B2710="OUT",$D2710,0)</f>
      </c>
    </row>
    <row x14ac:dyDescent="0.25" r="2711" customHeight="1" ht="17.25">
      <c r="A2711" s="52"/>
      <c r="B2711" s="2"/>
      <c r="C2711" s="2"/>
      <c r="D2711" s="3"/>
      <c r="E2711" s="3"/>
      <c r="F2711" s="2"/>
      <c r="G2711" s="13">
        <f>IF($B2711="IN",$D2711,0)</f>
      </c>
      <c r="H2711" s="13">
        <f>IF($B2711="OUT",$D2711,0)</f>
      </c>
    </row>
    <row x14ac:dyDescent="0.25" r="2712" customHeight="1" ht="17.25">
      <c r="A2712" s="52"/>
      <c r="B2712" s="2"/>
      <c r="C2712" s="2"/>
      <c r="D2712" s="3"/>
      <c r="E2712" s="3"/>
      <c r="F2712" s="2"/>
      <c r="G2712" s="13">
        <f>IF($B2712="IN",$D2712,0)</f>
      </c>
      <c r="H2712" s="13">
        <f>IF($B2712="OUT",$D2712,0)</f>
      </c>
    </row>
    <row x14ac:dyDescent="0.25" r="2713" customHeight="1" ht="17.25">
      <c r="A2713" s="52"/>
      <c r="B2713" s="2"/>
      <c r="C2713" s="2"/>
      <c r="D2713" s="3"/>
      <c r="E2713" s="3"/>
      <c r="F2713" s="2"/>
      <c r="G2713" s="13">
        <f>IF($B2713="IN",$D2713,0)</f>
      </c>
      <c r="H2713" s="13">
        <f>IF($B2713="OUT",$D2713,0)</f>
      </c>
    </row>
    <row x14ac:dyDescent="0.25" r="2714" customHeight="1" ht="17.25">
      <c r="A2714" s="52"/>
      <c r="B2714" s="2"/>
      <c r="C2714" s="2"/>
      <c r="D2714" s="3"/>
      <c r="E2714" s="3"/>
      <c r="F2714" s="2"/>
      <c r="G2714" s="13">
        <f>IF($B2714="IN",$D2714,0)</f>
      </c>
      <c r="H2714" s="13">
        <f>IF($B2714="OUT",$D2714,0)</f>
      </c>
    </row>
    <row x14ac:dyDescent="0.25" r="2715" customHeight="1" ht="17.25">
      <c r="A2715" s="52"/>
      <c r="B2715" s="2"/>
      <c r="C2715" s="2"/>
      <c r="D2715" s="3"/>
      <c r="E2715" s="3"/>
      <c r="F2715" s="2"/>
      <c r="G2715" s="13">
        <f>IF($B2715="IN",$D2715,0)</f>
      </c>
      <c r="H2715" s="13">
        <f>IF($B2715="OUT",$D2715,0)</f>
      </c>
    </row>
    <row x14ac:dyDescent="0.25" r="2716" customHeight="1" ht="17.25">
      <c r="A2716" s="52"/>
      <c r="B2716" s="2"/>
      <c r="C2716" s="2"/>
      <c r="D2716" s="3"/>
      <c r="E2716" s="3"/>
      <c r="F2716" s="2"/>
      <c r="G2716" s="13">
        <f>IF($B2716="IN",$D2716,0)</f>
      </c>
      <c r="H2716" s="13">
        <f>IF($B2716="OUT",$D2716,0)</f>
      </c>
    </row>
    <row x14ac:dyDescent="0.25" r="2717" customHeight="1" ht="17.25">
      <c r="A2717" s="52"/>
      <c r="B2717" s="2"/>
      <c r="C2717" s="2"/>
      <c r="D2717" s="3"/>
      <c r="E2717" s="3"/>
      <c r="F2717" s="2"/>
      <c r="G2717" s="13">
        <f>IF($B2717="IN",$D2717,0)</f>
      </c>
      <c r="H2717" s="13">
        <f>IF($B2717="OUT",$D2717,0)</f>
      </c>
    </row>
    <row x14ac:dyDescent="0.25" r="2718" customHeight="1" ht="17.25">
      <c r="A2718" s="52"/>
      <c r="B2718" s="2"/>
      <c r="C2718" s="2"/>
      <c r="D2718" s="3"/>
      <c r="E2718" s="3"/>
      <c r="F2718" s="2"/>
      <c r="G2718" s="13">
        <f>IF($B2718="IN",$D2718,0)</f>
      </c>
      <c r="H2718" s="13">
        <f>IF($B2718="OUT",$D2718,0)</f>
      </c>
    </row>
    <row x14ac:dyDescent="0.25" r="2719" customHeight="1" ht="17.25">
      <c r="A2719" s="52"/>
      <c r="B2719" s="2"/>
      <c r="C2719" s="2"/>
      <c r="D2719" s="3"/>
      <c r="E2719" s="3"/>
      <c r="F2719" s="2"/>
      <c r="G2719" s="13">
        <f>IF($B2719="IN",$D2719,0)</f>
      </c>
      <c r="H2719" s="13">
        <f>IF($B2719="OUT",$D2719,0)</f>
      </c>
    </row>
    <row x14ac:dyDescent="0.25" r="2720" customHeight="1" ht="17.25">
      <c r="A2720" s="52"/>
      <c r="B2720" s="2"/>
      <c r="C2720" s="2"/>
      <c r="D2720" s="3"/>
      <c r="E2720" s="3"/>
      <c r="F2720" s="2"/>
      <c r="G2720" s="13">
        <f>IF($B2720="IN",$D2720,0)</f>
      </c>
      <c r="H2720" s="13">
        <f>IF($B2720="OUT",$D2720,0)</f>
      </c>
    </row>
    <row x14ac:dyDescent="0.25" r="2721" customHeight="1" ht="17.25">
      <c r="A2721" s="52"/>
      <c r="B2721" s="2"/>
      <c r="C2721" s="2"/>
      <c r="D2721" s="3"/>
      <c r="E2721" s="3"/>
      <c r="F2721" s="2"/>
      <c r="G2721" s="13">
        <f>IF($B2721="IN",$D2721,0)</f>
      </c>
      <c r="H2721" s="13">
        <f>IF($B2721="OUT",$D2721,0)</f>
      </c>
    </row>
    <row x14ac:dyDescent="0.25" r="2722" customHeight="1" ht="17.25">
      <c r="A2722" s="52"/>
      <c r="B2722" s="2"/>
      <c r="C2722" s="2"/>
      <c r="D2722" s="3"/>
      <c r="E2722" s="3"/>
      <c r="F2722" s="2"/>
      <c r="G2722" s="13">
        <f>IF($B2722="IN",$D2722,0)</f>
      </c>
      <c r="H2722" s="13">
        <f>IF($B2722="OUT",$D2722,0)</f>
      </c>
    </row>
    <row x14ac:dyDescent="0.25" r="2723" customHeight="1" ht="17.25">
      <c r="A2723" s="52"/>
      <c r="B2723" s="2"/>
      <c r="C2723" s="2"/>
      <c r="D2723" s="3"/>
      <c r="E2723" s="3"/>
      <c r="F2723" s="2"/>
      <c r="G2723" s="13">
        <f>IF($B2723="IN",$D2723,0)</f>
      </c>
      <c r="H2723" s="13">
        <f>IF($B2723="OUT",$D2723,0)</f>
      </c>
    </row>
    <row x14ac:dyDescent="0.25" r="2724" customHeight="1" ht="17.25">
      <c r="A2724" s="52"/>
      <c r="B2724" s="2"/>
      <c r="C2724" s="2"/>
      <c r="D2724" s="3"/>
      <c r="E2724" s="3"/>
      <c r="F2724" s="2"/>
      <c r="G2724" s="13">
        <f>IF($B2724="IN",$D2724,0)</f>
      </c>
      <c r="H2724" s="13">
        <f>IF($B2724="OUT",$D2724,0)</f>
      </c>
    </row>
    <row x14ac:dyDescent="0.25" r="2725" customHeight="1" ht="17.25">
      <c r="A2725" s="52"/>
      <c r="B2725" s="2"/>
      <c r="C2725" s="2"/>
      <c r="D2725" s="3"/>
      <c r="E2725" s="3"/>
      <c r="F2725" s="2"/>
      <c r="G2725" s="13">
        <f>IF($B2725="IN",$D2725,0)</f>
      </c>
      <c r="H2725" s="13">
        <f>IF($B2725="OUT",$D2725,0)</f>
      </c>
    </row>
    <row x14ac:dyDescent="0.25" r="2726" customHeight="1" ht="17.25">
      <c r="A2726" s="52"/>
      <c r="B2726" s="2"/>
      <c r="C2726" s="2"/>
      <c r="D2726" s="3"/>
      <c r="E2726" s="3"/>
      <c r="F2726" s="2"/>
      <c r="G2726" s="13">
        <f>IF($B2726="IN",$D2726,0)</f>
      </c>
      <c r="H2726" s="13">
        <f>IF($B2726="OUT",$D2726,0)</f>
      </c>
    </row>
    <row x14ac:dyDescent="0.25" r="2727" customHeight="1" ht="17.25">
      <c r="A2727" s="52"/>
      <c r="B2727" s="2"/>
      <c r="C2727" s="2"/>
      <c r="D2727" s="3"/>
      <c r="E2727" s="3"/>
      <c r="F2727" s="2"/>
      <c r="G2727" s="13">
        <f>IF($B2727="IN",$D2727,0)</f>
      </c>
      <c r="H2727" s="13">
        <f>IF($B2727="OUT",$D2727,0)</f>
      </c>
    </row>
    <row x14ac:dyDescent="0.25" r="2728" customHeight="1" ht="17.25">
      <c r="A2728" s="52"/>
      <c r="B2728" s="2"/>
      <c r="C2728" s="2"/>
      <c r="D2728" s="3"/>
      <c r="E2728" s="3"/>
      <c r="F2728" s="2"/>
      <c r="G2728" s="13">
        <f>IF($B2728="IN",$D2728,0)</f>
      </c>
      <c r="H2728" s="13">
        <f>IF($B2728="OUT",$D2728,0)</f>
      </c>
    </row>
    <row x14ac:dyDescent="0.25" r="2729" customHeight="1" ht="17.25">
      <c r="A2729" s="52"/>
      <c r="B2729" s="2"/>
      <c r="C2729" s="2"/>
      <c r="D2729" s="3"/>
      <c r="E2729" s="3"/>
      <c r="F2729" s="2"/>
      <c r="G2729" s="13">
        <f>IF($B2729="IN",$D2729,0)</f>
      </c>
      <c r="H2729" s="13">
        <f>IF($B2729="OUT",$D2729,0)</f>
      </c>
    </row>
    <row x14ac:dyDescent="0.25" r="2730" customHeight="1" ht="17.25">
      <c r="A2730" s="52"/>
      <c r="B2730" s="2"/>
      <c r="C2730" s="2"/>
      <c r="D2730" s="3"/>
      <c r="E2730" s="3"/>
      <c r="F2730" s="2"/>
      <c r="G2730" s="13">
        <f>IF($B2730="IN",$D2730,0)</f>
      </c>
      <c r="H2730" s="13">
        <f>IF($B2730="OUT",$D2730,0)</f>
      </c>
    </row>
    <row x14ac:dyDescent="0.25" r="2731" customHeight="1" ht="17.25">
      <c r="A2731" s="52"/>
      <c r="B2731" s="2"/>
      <c r="C2731" s="2"/>
      <c r="D2731" s="3"/>
      <c r="E2731" s="3"/>
      <c r="F2731" s="2"/>
      <c r="G2731" s="13">
        <f>IF($B2731="IN",$D2731,0)</f>
      </c>
      <c r="H2731" s="13">
        <f>IF($B2731="OUT",$D2731,0)</f>
      </c>
    </row>
    <row x14ac:dyDescent="0.25" r="2732" customHeight="1" ht="17.25">
      <c r="A2732" s="52"/>
      <c r="B2732" s="2"/>
      <c r="C2732" s="2"/>
      <c r="D2732" s="3"/>
      <c r="E2732" s="3"/>
      <c r="F2732" s="2"/>
      <c r="G2732" s="13">
        <f>IF($B2732="IN",$D2732,0)</f>
      </c>
      <c r="H2732" s="13">
        <f>IF($B2732="OUT",$D2732,0)</f>
      </c>
    </row>
    <row x14ac:dyDescent="0.25" r="2733" customHeight="1" ht="17.25">
      <c r="A2733" s="52"/>
      <c r="B2733" s="2"/>
      <c r="C2733" s="2"/>
      <c r="D2733" s="3"/>
      <c r="E2733" s="3"/>
      <c r="F2733" s="2"/>
      <c r="G2733" s="13">
        <f>IF($B2733="IN",$D2733,0)</f>
      </c>
      <c r="H2733" s="13">
        <f>IF($B2733="OUT",$D2733,0)</f>
      </c>
    </row>
    <row x14ac:dyDescent="0.25" r="2734" customHeight="1" ht="17.25">
      <c r="A2734" s="52"/>
      <c r="B2734" s="2"/>
      <c r="C2734" s="2"/>
      <c r="D2734" s="3"/>
      <c r="E2734" s="3"/>
      <c r="F2734" s="2"/>
      <c r="G2734" s="13">
        <f>IF($B2734="IN",$D2734,0)</f>
      </c>
      <c r="H2734" s="13">
        <f>IF($B2734="OUT",$D2734,0)</f>
      </c>
    </row>
    <row x14ac:dyDescent="0.25" r="2735" customHeight="1" ht="17.25">
      <c r="A2735" s="52"/>
      <c r="B2735" s="2"/>
      <c r="C2735" s="2"/>
      <c r="D2735" s="3"/>
      <c r="E2735" s="3"/>
      <c r="F2735" s="2"/>
      <c r="G2735" s="13">
        <f>IF($B2735="IN",$D2735,0)</f>
      </c>
      <c r="H2735" s="13">
        <f>IF($B2735="OUT",$D2735,0)</f>
      </c>
    </row>
    <row x14ac:dyDescent="0.25" r="2736" customHeight="1" ht="17.25">
      <c r="A2736" s="52"/>
      <c r="B2736" s="2"/>
      <c r="C2736" s="2"/>
      <c r="D2736" s="3"/>
      <c r="E2736" s="3"/>
      <c r="F2736" s="2"/>
      <c r="G2736" s="13">
        <f>IF($B2736="IN",$D2736,0)</f>
      </c>
      <c r="H2736" s="13">
        <f>IF($B2736="OUT",$D2736,0)</f>
      </c>
    </row>
    <row x14ac:dyDescent="0.25" r="2737" customHeight="1" ht="17.25">
      <c r="A2737" s="52"/>
      <c r="B2737" s="2"/>
      <c r="C2737" s="2"/>
      <c r="D2737" s="3"/>
      <c r="E2737" s="3"/>
      <c r="F2737" s="2"/>
      <c r="G2737" s="13">
        <f>IF($B2737="IN",$D2737,0)</f>
      </c>
      <c r="H2737" s="13">
        <f>IF($B2737="OUT",$D2737,0)</f>
      </c>
    </row>
    <row x14ac:dyDescent="0.25" r="2738" customHeight="1" ht="17.25">
      <c r="A2738" s="52"/>
      <c r="B2738" s="2"/>
      <c r="C2738" s="2"/>
      <c r="D2738" s="3"/>
      <c r="E2738" s="3"/>
      <c r="F2738" s="2"/>
      <c r="G2738" s="13">
        <f>IF($B2738="IN",$D2738,0)</f>
      </c>
      <c r="H2738" s="13">
        <f>IF($B2738="OUT",$D2738,0)</f>
      </c>
    </row>
    <row x14ac:dyDescent="0.25" r="2739" customHeight="1" ht="17.25">
      <c r="A2739" s="52"/>
      <c r="B2739" s="2"/>
      <c r="C2739" s="2"/>
      <c r="D2739" s="3"/>
      <c r="E2739" s="3"/>
      <c r="F2739" s="2"/>
      <c r="G2739" s="13">
        <f>IF($B2739="IN",$D2739,0)</f>
      </c>
      <c r="H2739" s="13">
        <f>IF($B2739="OUT",$D2739,0)</f>
      </c>
    </row>
    <row x14ac:dyDescent="0.25" r="2740" customHeight="1" ht="17.25">
      <c r="A2740" s="52"/>
      <c r="B2740" s="2"/>
      <c r="C2740" s="2"/>
      <c r="D2740" s="3"/>
      <c r="E2740" s="3"/>
      <c r="F2740" s="2"/>
      <c r="G2740" s="13">
        <f>IF($B2740="IN",$D2740,0)</f>
      </c>
      <c r="H2740" s="13">
        <f>IF($B2740="OUT",$D2740,0)</f>
      </c>
    </row>
    <row x14ac:dyDescent="0.25" r="2741" customHeight="1" ht="17.25">
      <c r="A2741" s="52"/>
      <c r="B2741" s="2"/>
      <c r="C2741" s="2"/>
      <c r="D2741" s="3"/>
      <c r="E2741" s="3"/>
      <c r="F2741" s="2"/>
      <c r="G2741" s="13">
        <f>IF($B2741="IN",$D2741,0)</f>
      </c>
      <c r="H2741" s="13">
        <f>IF($B2741="OUT",$D2741,0)</f>
      </c>
    </row>
    <row x14ac:dyDescent="0.25" r="2742" customHeight="1" ht="17.25">
      <c r="A2742" s="52"/>
      <c r="B2742" s="2"/>
      <c r="C2742" s="2"/>
      <c r="D2742" s="3"/>
      <c r="E2742" s="3"/>
      <c r="F2742" s="2"/>
      <c r="G2742" s="13">
        <f>IF($B2742="IN",$D2742,0)</f>
      </c>
      <c r="H2742" s="13">
        <f>IF($B2742="OUT",$D2742,0)</f>
      </c>
    </row>
    <row x14ac:dyDescent="0.25" r="2743" customHeight="1" ht="17.25">
      <c r="A2743" s="52"/>
      <c r="B2743" s="2"/>
      <c r="C2743" s="2"/>
      <c r="D2743" s="3"/>
      <c r="E2743" s="3"/>
      <c r="F2743" s="2"/>
      <c r="G2743" s="13">
        <f>IF($B2743="IN",$D2743,0)</f>
      </c>
      <c r="H2743" s="13">
        <f>IF($B2743="OUT",$D2743,0)</f>
      </c>
    </row>
    <row x14ac:dyDescent="0.25" r="2744" customHeight="1" ht="17.25">
      <c r="A2744" s="52"/>
      <c r="B2744" s="2"/>
      <c r="C2744" s="2"/>
      <c r="D2744" s="3"/>
      <c r="E2744" s="3"/>
      <c r="F2744" s="2"/>
      <c r="G2744" s="13">
        <f>IF($B2744="IN",$D2744,0)</f>
      </c>
      <c r="H2744" s="13">
        <f>IF($B2744="OUT",$D2744,0)</f>
      </c>
    </row>
    <row x14ac:dyDescent="0.25" r="2745" customHeight="1" ht="17.25">
      <c r="A2745" s="52"/>
      <c r="B2745" s="2"/>
      <c r="C2745" s="2"/>
      <c r="D2745" s="3"/>
      <c r="E2745" s="3"/>
      <c r="F2745" s="2"/>
      <c r="G2745" s="13">
        <f>IF($B2745="IN",$D2745,0)</f>
      </c>
      <c r="H2745" s="13">
        <f>IF($B2745="OUT",$D2745,0)</f>
      </c>
    </row>
    <row x14ac:dyDescent="0.25" r="2746" customHeight="1" ht="17.25">
      <c r="A2746" s="52"/>
      <c r="B2746" s="2"/>
      <c r="C2746" s="2"/>
      <c r="D2746" s="3"/>
      <c r="E2746" s="3"/>
      <c r="F2746" s="2"/>
      <c r="G2746" s="13">
        <f>IF($B2746="IN",$D2746,0)</f>
      </c>
      <c r="H2746" s="13">
        <f>IF($B2746="OUT",$D2746,0)</f>
      </c>
    </row>
    <row x14ac:dyDescent="0.25" r="2747" customHeight="1" ht="17.25">
      <c r="A2747" s="52"/>
      <c r="B2747" s="2"/>
      <c r="C2747" s="2"/>
      <c r="D2747" s="3"/>
      <c r="E2747" s="3"/>
      <c r="F2747" s="2"/>
      <c r="G2747" s="13">
        <f>IF($B2747="IN",$D2747,0)</f>
      </c>
      <c r="H2747" s="13">
        <f>IF($B2747="OUT",$D2747,0)</f>
      </c>
    </row>
    <row x14ac:dyDescent="0.25" r="2748" customHeight="1" ht="17.25">
      <c r="A2748" s="52"/>
      <c r="B2748" s="2"/>
      <c r="C2748" s="2"/>
      <c r="D2748" s="3"/>
      <c r="E2748" s="3"/>
      <c r="F2748" s="2"/>
      <c r="G2748" s="13">
        <f>IF($B2748="IN",$D2748,0)</f>
      </c>
      <c r="H2748" s="13">
        <f>IF($B2748="OUT",$D2748,0)</f>
      </c>
    </row>
    <row x14ac:dyDescent="0.25" r="2749" customHeight="1" ht="17.25">
      <c r="A2749" s="52"/>
      <c r="B2749" s="2"/>
      <c r="C2749" s="2"/>
      <c r="D2749" s="3"/>
      <c r="E2749" s="3"/>
      <c r="F2749" s="2"/>
      <c r="G2749" s="13">
        <f>IF($B2749="IN",$D2749,0)</f>
      </c>
      <c r="H2749" s="13">
        <f>IF($B2749="OUT",$D2749,0)</f>
      </c>
    </row>
    <row x14ac:dyDescent="0.25" r="2750" customHeight="1" ht="17.25">
      <c r="A2750" s="52"/>
      <c r="B2750" s="2"/>
      <c r="C2750" s="2"/>
      <c r="D2750" s="3"/>
      <c r="E2750" s="3"/>
      <c r="F2750" s="2"/>
      <c r="G2750" s="13">
        <f>IF($B2750="IN",$D2750,0)</f>
      </c>
      <c r="H2750" s="13">
        <f>IF($B2750="OUT",$D2750,0)</f>
      </c>
    </row>
    <row x14ac:dyDescent="0.25" r="2751" customHeight="1" ht="17.25">
      <c r="A2751" s="52"/>
      <c r="B2751" s="2"/>
      <c r="C2751" s="2"/>
      <c r="D2751" s="3"/>
      <c r="E2751" s="3"/>
      <c r="F2751" s="2"/>
      <c r="G2751" s="13">
        <f>IF($B2751="IN",$D2751,0)</f>
      </c>
      <c r="H2751" s="13">
        <f>IF($B2751="OUT",$D2751,0)</f>
      </c>
    </row>
    <row x14ac:dyDescent="0.25" r="2752" customHeight="1" ht="17.25">
      <c r="A2752" s="52"/>
      <c r="B2752" s="2"/>
      <c r="C2752" s="2"/>
      <c r="D2752" s="3"/>
      <c r="E2752" s="3"/>
      <c r="F2752" s="2"/>
      <c r="G2752" s="13">
        <f>IF($B2752="IN",$D2752,0)</f>
      </c>
      <c r="H2752" s="13">
        <f>IF($B2752="OUT",$D2752,0)</f>
      </c>
    </row>
    <row x14ac:dyDescent="0.25" r="2753" customHeight="1" ht="17.25">
      <c r="A2753" s="52"/>
      <c r="B2753" s="2"/>
      <c r="C2753" s="2"/>
      <c r="D2753" s="3"/>
      <c r="E2753" s="3"/>
      <c r="F2753" s="2"/>
      <c r="G2753" s="13">
        <f>IF($B2753="IN",$D2753,0)</f>
      </c>
      <c r="H2753" s="13">
        <f>IF($B2753="OUT",$D2753,0)</f>
      </c>
    </row>
    <row x14ac:dyDescent="0.25" r="2754" customHeight="1" ht="17.25">
      <c r="A2754" s="52"/>
      <c r="B2754" s="2"/>
      <c r="C2754" s="2"/>
      <c r="D2754" s="3"/>
      <c r="E2754" s="3"/>
      <c r="F2754" s="2"/>
      <c r="G2754" s="13">
        <f>IF($B2754="IN",$D2754,0)</f>
      </c>
      <c r="H2754" s="13">
        <f>IF($B2754="OUT",$D2754,0)</f>
      </c>
    </row>
    <row x14ac:dyDescent="0.25" r="2755" customHeight="1" ht="17.25">
      <c r="A2755" s="52"/>
      <c r="B2755" s="2"/>
      <c r="C2755" s="2"/>
      <c r="D2755" s="3"/>
      <c r="E2755" s="3"/>
      <c r="F2755" s="2"/>
      <c r="G2755" s="13">
        <f>IF($B2755="IN",$D2755,0)</f>
      </c>
      <c r="H2755" s="13">
        <f>IF($B2755="OUT",$D2755,0)</f>
      </c>
    </row>
    <row x14ac:dyDescent="0.25" r="2756" customHeight="1" ht="17.25">
      <c r="A2756" s="52"/>
      <c r="B2756" s="2"/>
      <c r="C2756" s="2"/>
      <c r="D2756" s="3"/>
      <c r="E2756" s="3"/>
      <c r="F2756" s="2"/>
      <c r="G2756" s="13">
        <f>IF($B2756="IN",$D2756,0)</f>
      </c>
      <c r="H2756" s="13">
        <f>IF($B2756="OUT",$D2756,0)</f>
      </c>
    </row>
    <row x14ac:dyDescent="0.25" r="2757" customHeight="1" ht="17.25">
      <c r="A2757" s="52"/>
      <c r="B2757" s="2"/>
      <c r="C2757" s="2"/>
      <c r="D2757" s="3"/>
      <c r="E2757" s="3"/>
      <c r="F2757" s="2"/>
      <c r="G2757" s="13">
        <f>IF($B2757="IN",$D2757,0)</f>
      </c>
      <c r="H2757" s="13">
        <f>IF($B2757="OUT",$D2757,0)</f>
      </c>
    </row>
    <row x14ac:dyDescent="0.25" r="2758" customHeight="1" ht="17.25">
      <c r="A2758" s="52"/>
      <c r="B2758" s="2"/>
      <c r="C2758" s="2"/>
      <c r="D2758" s="3"/>
      <c r="E2758" s="3"/>
      <c r="F2758" s="2"/>
      <c r="G2758" s="13">
        <f>IF($B2758="IN",$D2758,0)</f>
      </c>
      <c r="H2758" s="13">
        <f>IF($B2758="OUT",$D2758,0)</f>
      </c>
    </row>
    <row x14ac:dyDescent="0.25" r="2759" customHeight="1" ht="17.25">
      <c r="A2759" s="52"/>
      <c r="B2759" s="2"/>
      <c r="C2759" s="2"/>
      <c r="D2759" s="3"/>
      <c r="E2759" s="3"/>
      <c r="F2759" s="2"/>
      <c r="G2759" s="13">
        <f>IF($B2759="IN",$D2759,0)</f>
      </c>
      <c r="H2759" s="13">
        <f>IF($B2759="OUT",$D2759,0)</f>
      </c>
    </row>
    <row x14ac:dyDescent="0.25" r="2760" customHeight="1" ht="17.25">
      <c r="A2760" s="52"/>
      <c r="B2760" s="2"/>
      <c r="C2760" s="2"/>
      <c r="D2760" s="3"/>
      <c r="E2760" s="3"/>
      <c r="F2760" s="2"/>
      <c r="G2760" s="13">
        <f>IF($B2760="IN",$D2760,0)</f>
      </c>
      <c r="H2760" s="13">
        <f>IF($B2760="OUT",$D2760,0)</f>
      </c>
    </row>
    <row x14ac:dyDescent="0.25" r="2761" customHeight="1" ht="17.25">
      <c r="A2761" s="52"/>
      <c r="B2761" s="2"/>
      <c r="C2761" s="2"/>
      <c r="D2761" s="3"/>
      <c r="E2761" s="3"/>
      <c r="F2761" s="2"/>
      <c r="G2761" s="13">
        <f>IF($B2761="IN",$D2761,0)</f>
      </c>
      <c r="H2761" s="13">
        <f>IF($B2761="OUT",$D2761,0)</f>
      </c>
    </row>
    <row x14ac:dyDescent="0.25" r="2762" customHeight="1" ht="17.25">
      <c r="A2762" s="52"/>
      <c r="B2762" s="2"/>
      <c r="C2762" s="2"/>
      <c r="D2762" s="3"/>
      <c r="E2762" s="3"/>
      <c r="F2762" s="2"/>
      <c r="G2762" s="13">
        <f>IF($B2762="IN",$D2762,0)</f>
      </c>
      <c r="H2762" s="13">
        <f>IF($B2762="OUT",$D2762,0)</f>
      </c>
    </row>
    <row x14ac:dyDescent="0.25" r="2763" customHeight="1" ht="17.25">
      <c r="A2763" s="52"/>
      <c r="B2763" s="2"/>
      <c r="C2763" s="2"/>
      <c r="D2763" s="3"/>
      <c r="E2763" s="3"/>
      <c r="F2763" s="2"/>
      <c r="G2763" s="13">
        <f>IF($B2763="IN",$D2763,0)</f>
      </c>
      <c r="H2763" s="13">
        <f>IF($B2763="OUT",$D2763,0)</f>
      </c>
    </row>
    <row x14ac:dyDescent="0.25" r="2764" customHeight="1" ht="17.25">
      <c r="A2764" s="52"/>
      <c r="B2764" s="2"/>
      <c r="C2764" s="2"/>
      <c r="D2764" s="3"/>
      <c r="E2764" s="3"/>
      <c r="F2764" s="2"/>
      <c r="G2764" s="13">
        <f>IF($B2764="IN",$D2764,0)</f>
      </c>
      <c r="H2764" s="13">
        <f>IF($B2764="OUT",$D2764,0)</f>
      </c>
    </row>
    <row x14ac:dyDescent="0.25" r="2765" customHeight="1" ht="17.25">
      <c r="A2765" s="52"/>
      <c r="B2765" s="2"/>
      <c r="C2765" s="2"/>
      <c r="D2765" s="3"/>
      <c r="E2765" s="3"/>
      <c r="F2765" s="2"/>
      <c r="G2765" s="13">
        <f>IF($B2765="IN",$D2765,0)</f>
      </c>
      <c r="H2765" s="13">
        <f>IF($B2765="OUT",$D2765,0)</f>
      </c>
    </row>
    <row x14ac:dyDescent="0.25" r="2766" customHeight="1" ht="17.25">
      <c r="A2766" s="52"/>
      <c r="B2766" s="2"/>
      <c r="C2766" s="2"/>
      <c r="D2766" s="3"/>
      <c r="E2766" s="3"/>
      <c r="F2766" s="2"/>
      <c r="G2766" s="13">
        <f>IF($B2766="IN",$D2766,0)</f>
      </c>
      <c r="H2766" s="13">
        <f>IF($B2766="OUT",$D2766,0)</f>
      </c>
    </row>
    <row x14ac:dyDescent="0.25" r="2767" customHeight="1" ht="17.25">
      <c r="A2767" s="52"/>
      <c r="B2767" s="2"/>
      <c r="C2767" s="2"/>
      <c r="D2767" s="3"/>
      <c r="E2767" s="3"/>
      <c r="F2767" s="2"/>
      <c r="G2767" s="13">
        <f>IF($B2767="IN",$D2767,0)</f>
      </c>
      <c r="H2767" s="13">
        <f>IF($B2767="OUT",$D2767,0)</f>
      </c>
    </row>
    <row x14ac:dyDescent="0.25" r="2768" customHeight="1" ht="17.25">
      <c r="A2768" s="52"/>
      <c r="B2768" s="2"/>
      <c r="C2768" s="2"/>
      <c r="D2768" s="3"/>
      <c r="E2768" s="3"/>
      <c r="F2768" s="2"/>
      <c r="G2768" s="13">
        <f>IF($B2768="IN",$D2768,0)</f>
      </c>
      <c r="H2768" s="13">
        <f>IF($B2768="OUT",$D2768,0)</f>
      </c>
    </row>
    <row x14ac:dyDescent="0.25" r="2769" customHeight="1" ht="17.25">
      <c r="A2769" s="52"/>
      <c r="B2769" s="2"/>
      <c r="C2769" s="2"/>
      <c r="D2769" s="3"/>
      <c r="E2769" s="3"/>
      <c r="F2769" s="2"/>
      <c r="G2769" s="13">
        <f>IF($B2769="IN",$D2769,0)</f>
      </c>
      <c r="H2769" s="13">
        <f>IF($B2769="OUT",$D2769,0)</f>
      </c>
    </row>
    <row x14ac:dyDescent="0.25" r="2770" customHeight="1" ht="17.25">
      <c r="A2770" s="52"/>
      <c r="B2770" s="2"/>
      <c r="C2770" s="2"/>
      <c r="D2770" s="3"/>
      <c r="E2770" s="3"/>
      <c r="F2770" s="2"/>
      <c r="G2770" s="13">
        <f>IF($B2770="IN",$D2770,0)</f>
      </c>
      <c r="H2770" s="13">
        <f>IF($B2770="OUT",$D2770,0)</f>
      </c>
    </row>
    <row x14ac:dyDescent="0.25" r="2771" customHeight="1" ht="17.25">
      <c r="A2771" s="52"/>
      <c r="B2771" s="2"/>
      <c r="C2771" s="2"/>
      <c r="D2771" s="3"/>
      <c r="E2771" s="3"/>
      <c r="F2771" s="2"/>
      <c r="G2771" s="13">
        <f>IF($B2771="IN",$D2771,0)</f>
      </c>
      <c r="H2771" s="13">
        <f>IF($B2771="OUT",$D2771,0)</f>
      </c>
    </row>
    <row x14ac:dyDescent="0.25" r="2772" customHeight="1" ht="17.25">
      <c r="A2772" s="52"/>
      <c r="B2772" s="2"/>
      <c r="C2772" s="2"/>
      <c r="D2772" s="3"/>
      <c r="E2772" s="3"/>
      <c r="F2772" s="2"/>
      <c r="G2772" s="13">
        <f>IF($B2772="IN",$D2772,0)</f>
      </c>
      <c r="H2772" s="13">
        <f>IF($B2772="OUT",$D2772,0)</f>
      </c>
    </row>
    <row x14ac:dyDescent="0.25" r="2773" customHeight="1" ht="17.25">
      <c r="A2773" s="52"/>
      <c r="B2773" s="2"/>
      <c r="C2773" s="2"/>
      <c r="D2773" s="3"/>
      <c r="E2773" s="3"/>
      <c r="F2773" s="2"/>
      <c r="G2773" s="13">
        <f>IF($B2773="IN",$D2773,0)</f>
      </c>
      <c r="H2773" s="13">
        <f>IF($B2773="OUT",$D2773,0)</f>
      </c>
    </row>
    <row x14ac:dyDescent="0.25" r="2774" customHeight="1" ht="17.25">
      <c r="A2774" s="52"/>
      <c r="B2774" s="2"/>
      <c r="C2774" s="2"/>
      <c r="D2774" s="3"/>
      <c r="E2774" s="3"/>
      <c r="F2774" s="2"/>
      <c r="G2774" s="13">
        <f>IF($B2774="IN",$D2774,0)</f>
      </c>
      <c r="H2774" s="13">
        <f>IF($B2774="OUT",$D2774,0)</f>
      </c>
    </row>
    <row x14ac:dyDescent="0.25" r="2775" customHeight="1" ht="17.25">
      <c r="A2775" s="52"/>
      <c r="B2775" s="2"/>
      <c r="C2775" s="2"/>
      <c r="D2775" s="3"/>
      <c r="E2775" s="3"/>
      <c r="F2775" s="2"/>
      <c r="G2775" s="13">
        <f>IF($B2775="IN",$D2775,0)</f>
      </c>
      <c r="H2775" s="13">
        <f>IF($B2775="OUT",$D2775,0)</f>
      </c>
    </row>
    <row x14ac:dyDescent="0.25" r="2776" customHeight="1" ht="17.25">
      <c r="A2776" s="52"/>
      <c r="B2776" s="2"/>
      <c r="C2776" s="2"/>
      <c r="D2776" s="3"/>
      <c r="E2776" s="3"/>
      <c r="F2776" s="2"/>
      <c r="G2776" s="13">
        <f>IF($B2776="IN",$D2776,0)</f>
      </c>
      <c r="H2776" s="13">
        <f>IF($B2776="OUT",$D2776,0)</f>
      </c>
    </row>
    <row x14ac:dyDescent="0.25" r="2777" customHeight="1" ht="17.25">
      <c r="A2777" s="52"/>
      <c r="B2777" s="2"/>
      <c r="C2777" s="2"/>
      <c r="D2777" s="3"/>
      <c r="E2777" s="3"/>
      <c r="F2777" s="2"/>
      <c r="G2777" s="13">
        <f>IF($B2777="IN",$D2777,0)</f>
      </c>
      <c r="H2777" s="13">
        <f>IF($B2777="OUT",$D2777,0)</f>
      </c>
    </row>
    <row x14ac:dyDescent="0.25" r="2778" customHeight="1" ht="17.25">
      <c r="A2778" s="52"/>
      <c r="B2778" s="2"/>
      <c r="C2778" s="2"/>
      <c r="D2778" s="3"/>
      <c r="E2778" s="3"/>
      <c r="F2778" s="2"/>
      <c r="G2778" s="13">
        <f>IF($B2778="IN",$D2778,0)</f>
      </c>
      <c r="H2778" s="13">
        <f>IF($B2778="OUT",$D2778,0)</f>
      </c>
    </row>
    <row x14ac:dyDescent="0.25" r="2779" customHeight="1" ht="17.25">
      <c r="A2779" s="52"/>
      <c r="B2779" s="2"/>
      <c r="C2779" s="2"/>
      <c r="D2779" s="3"/>
      <c r="E2779" s="3"/>
      <c r="F2779" s="2"/>
      <c r="G2779" s="13">
        <f>IF($B2779="IN",$D2779,0)</f>
      </c>
      <c r="H2779" s="13">
        <f>IF($B2779="OUT",$D2779,0)</f>
      </c>
    </row>
    <row x14ac:dyDescent="0.25" r="2780" customHeight="1" ht="17.25">
      <c r="A2780" s="52"/>
      <c r="B2780" s="2"/>
      <c r="C2780" s="2"/>
      <c r="D2780" s="3"/>
      <c r="E2780" s="3"/>
      <c r="F2780" s="2"/>
      <c r="G2780" s="13">
        <f>IF($B2780="IN",$D2780,0)</f>
      </c>
      <c r="H2780" s="13">
        <f>IF($B2780="OUT",$D2780,0)</f>
      </c>
    </row>
    <row x14ac:dyDescent="0.25" r="2781" customHeight="1" ht="17.25">
      <c r="A2781" s="52"/>
      <c r="B2781" s="2"/>
      <c r="C2781" s="2"/>
      <c r="D2781" s="3"/>
      <c r="E2781" s="3"/>
      <c r="F2781" s="2"/>
      <c r="G2781" s="13">
        <f>IF($B2781="IN",$D2781,0)</f>
      </c>
      <c r="H2781" s="13">
        <f>IF($B2781="OUT",$D2781,0)</f>
      </c>
    </row>
    <row x14ac:dyDescent="0.25" r="2782" customHeight="1" ht="17.25">
      <c r="A2782" s="52"/>
      <c r="B2782" s="2"/>
      <c r="C2782" s="2"/>
      <c r="D2782" s="3"/>
      <c r="E2782" s="3"/>
      <c r="F2782" s="2"/>
      <c r="G2782" s="13">
        <f>IF($B2782="IN",$D2782,0)</f>
      </c>
      <c r="H2782" s="13">
        <f>IF($B2782="OUT",$D2782,0)</f>
      </c>
    </row>
    <row x14ac:dyDescent="0.25" r="2783" customHeight="1" ht="17.25">
      <c r="A2783" s="52"/>
      <c r="B2783" s="2"/>
      <c r="C2783" s="2"/>
      <c r="D2783" s="3"/>
      <c r="E2783" s="3"/>
      <c r="F2783" s="2"/>
      <c r="G2783" s="13">
        <f>IF($B2783="IN",$D2783,0)</f>
      </c>
      <c r="H2783" s="13">
        <f>IF($B2783="OUT",$D2783,0)</f>
      </c>
    </row>
    <row x14ac:dyDescent="0.25" r="2784" customHeight="1" ht="17.25">
      <c r="A2784" s="52"/>
      <c r="B2784" s="2"/>
      <c r="C2784" s="2"/>
      <c r="D2784" s="3"/>
      <c r="E2784" s="3"/>
      <c r="F2784" s="2"/>
      <c r="G2784" s="13">
        <f>IF($B2784="IN",$D2784,0)</f>
      </c>
      <c r="H2784" s="13">
        <f>IF($B2784="OUT",$D2784,0)</f>
      </c>
    </row>
    <row x14ac:dyDescent="0.25" r="2785" customHeight="1" ht="17.25">
      <c r="A2785" s="52"/>
      <c r="B2785" s="2"/>
      <c r="C2785" s="2"/>
      <c r="D2785" s="3"/>
      <c r="E2785" s="3"/>
      <c r="F2785" s="2"/>
      <c r="G2785" s="13">
        <f>IF($B2785="IN",$D2785,0)</f>
      </c>
      <c r="H2785" s="13">
        <f>IF($B2785="OUT",$D2785,0)</f>
      </c>
    </row>
    <row x14ac:dyDescent="0.25" r="2786" customHeight="1" ht="17.25">
      <c r="A2786" s="52"/>
      <c r="B2786" s="2"/>
      <c r="C2786" s="2"/>
      <c r="D2786" s="3"/>
      <c r="E2786" s="3"/>
      <c r="F2786" s="2"/>
      <c r="G2786" s="13">
        <f>IF($B2786="IN",$D2786,0)</f>
      </c>
      <c r="H2786" s="13">
        <f>IF($B2786="OUT",$D2786,0)</f>
      </c>
    </row>
    <row x14ac:dyDescent="0.25" r="2787" customHeight="1" ht="17.25">
      <c r="A2787" s="52"/>
      <c r="B2787" s="2"/>
      <c r="C2787" s="2"/>
      <c r="D2787" s="3"/>
      <c r="E2787" s="3"/>
      <c r="F2787" s="2"/>
      <c r="G2787" s="13">
        <f>IF($B2787="IN",$D2787,0)</f>
      </c>
      <c r="H2787" s="13">
        <f>IF($B2787="OUT",$D2787,0)</f>
      </c>
    </row>
    <row x14ac:dyDescent="0.25" r="2788" customHeight="1" ht="17.25">
      <c r="A2788" s="52"/>
      <c r="B2788" s="2"/>
      <c r="C2788" s="2"/>
      <c r="D2788" s="3"/>
      <c r="E2788" s="3"/>
      <c r="F2788" s="2"/>
      <c r="G2788" s="13">
        <f>IF($B2788="IN",$D2788,0)</f>
      </c>
      <c r="H2788" s="13">
        <f>IF($B2788="OUT",$D2788,0)</f>
      </c>
    </row>
    <row x14ac:dyDescent="0.25" r="2789" customHeight="1" ht="17.25">
      <c r="A2789" s="52"/>
      <c r="B2789" s="2"/>
      <c r="C2789" s="2"/>
      <c r="D2789" s="3"/>
      <c r="E2789" s="3"/>
      <c r="F2789" s="2"/>
      <c r="G2789" s="13">
        <f>IF($B2789="IN",$D2789,0)</f>
      </c>
      <c r="H2789" s="13">
        <f>IF($B2789="OUT",$D2789,0)</f>
      </c>
    </row>
    <row x14ac:dyDescent="0.25" r="2790" customHeight="1" ht="17.25">
      <c r="A2790" s="52"/>
      <c r="B2790" s="2"/>
      <c r="C2790" s="2"/>
      <c r="D2790" s="3"/>
      <c r="E2790" s="3"/>
      <c r="F2790" s="2"/>
      <c r="G2790" s="13">
        <f>IF($B2790="IN",$D2790,0)</f>
      </c>
      <c r="H2790" s="13">
        <f>IF($B2790="OUT",$D2790,0)</f>
      </c>
    </row>
    <row x14ac:dyDescent="0.25" r="2791" customHeight="1" ht="17.25">
      <c r="A2791" s="52"/>
      <c r="B2791" s="2"/>
      <c r="C2791" s="2"/>
      <c r="D2791" s="3"/>
      <c r="E2791" s="3"/>
      <c r="F2791" s="2"/>
      <c r="G2791" s="13">
        <f>IF($B2791="IN",$D2791,0)</f>
      </c>
      <c r="H2791" s="13">
        <f>IF($B2791="OUT",$D2791,0)</f>
      </c>
    </row>
    <row x14ac:dyDescent="0.25" r="2792" customHeight="1" ht="17.25">
      <c r="A2792" s="52"/>
      <c r="B2792" s="2"/>
      <c r="C2792" s="2"/>
      <c r="D2792" s="3"/>
      <c r="E2792" s="3"/>
      <c r="F2792" s="2"/>
      <c r="G2792" s="13">
        <f>IF($B2792="IN",$D2792,0)</f>
      </c>
      <c r="H2792" s="13">
        <f>IF($B2792="OUT",$D2792,0)</f>
      </c>
    </row>
    <row x14ac:dyDescent="0.25" r="2793" customHeight="1" ht="17.25">
      <c r="A2793" s="52"/>
      <c r="B2793" s="2"/>
      <c r="C2793" s="2"/>
      <c r="D2793" s="3"/>
      <c r="E2793" s="3"/>
      <c r="F2793" s="2"/>
      <c r="G2793" s="13">
        <f>IF($B2793="IN",$D2793,0)</f>
      </c>
      <c r="H2793" s="13">
        <f>IF($B2793="OUT",$D2793,0)</f>
      </c>
    </row>
    <row x14ac:dyDescent="0.25" r="2794" customHeight="1" ht="17.25">
      <c r="A2794" s="52"/>
      <c r="B2794" s="2"/>
      <c r="C2794" s="2"/>
      <c r="D2794" s="3"/>
      <c r="E2794" s="3"/>
      <c r="F2794" s="2"/>
      <c r="G2794" s="13">
        <f>IF($B2794="IN",$D2794,0)</f>
      </c>
      <c r="H2794" s="13">
        <f>IF($B2794="OUT",$D2794,0)</f>
      </c>
    </row>
    <row x14ac:dyDescent="0.25" r="2795" customHeight="1" ht="17.25">
      <c r="A2795" s="52"/>
      <c r="B2795" s="2"/>
      <c r="C2795" s="2"/>
      <c r="D2795" s="3"/>
      <c r="E2795" s="3"/>
      <c r="F2795" s="2"/>
      <c r="G2795" s="13">
        <f>IF($B2795="IN",$D2795,0)</f>
      </c>
      <c r="H2795" s="13">
        <f>IF($B2795="OUT",$D2795,0)</f>
      </c>
    </row>
    <row x14ac:dyDescent="0.25" r="2796" customHeight="1" ht="17.25">
      <c r="A2796" s="52"/>
      <c r="B2796" s="2"/>
      <c r="C2796" s="2"/>
      <c r="D2796" s="3"/>
      <c r="E2796" s="3"/>
      <c r="F2796" s="2"/>
      <c r="G2796" s="13">
        <f>IF($B2796="IN",$D2796,0)</f>
      </c>
      <c r="H2796" s="13">
        <f>IF($B2796="OUT",$D2796,0)</f>
      </c>
    </row>
    <row x14ac:dyDescent="0.25" r="2797" customHeight="1" ht="17.25">
      <c r="A2797" s="52"/>
      <c r="B2797" s="2"/>
      <c r="C2797" s="2"/>
      <c r="D2797" s="3"/>
      <c r="E2797" s="3"/>
      <c r="F2797" s="2"/>
      <c r="G2797" s="13">
        <f>IF($B2797="IN",$D2797,0)</f>
      </c>
      <c r="H2797" s="13">
        <f>IF($B2797="OUT",$D2797,0)</f>
      </c>
    </row>
    <row x14ac:dyDescent="0.25" r="2798" customHeight="1" ht="17.25">
      <c r="A2798" s="52"/>
      <c r="B2798" s="2"/>
      <c r="C2798" s="2"/>
      <c r="D2798" s="3"/>
      <c r="E2798" s="3"/>
      <c r="F2798" s="2"/>
      <c r="G2798" s="13">
        <f>IF($B2798="IN",$D2798,0)</f>
      </c>
      <c r="H2798" s="13">
        <f>IF($B2798="OUT",$D2798,0)</f>
      </c>
    </row>
    <row x14ac:dyDescent="0.25" r="2799" customHeight="1" ht="17.25">
      <c r="A2799" s="52"/>
      <c r="B2799" s="2"/>
      <c r="C2799" s="2"/>
      <c r="D2799" s="3"/>
      <c r="E2799" s="3"/>
      <c r="F2799" s="2"/>
      <c r="G2799" s="13">
        <f>IF($B2799="IN",$D2799,0)</f>
      </c>
      <c r="H2799" s="13">
        <f>IF($B2799="OUT",$D2799,0)</f>
      </c>
    </row>
    <row x14ac:dyDescent="0.25" r="2800" customHeight="1" ht="17.25">
      <c r="A2800" s="52"/>
      <c r="B2800" s="2"/>
      <c r="C2800" s="2"/>
      <c r="D2800" s="3"/>
      <c r="E2800" s="3"/>
      <c r="F2800" s="2"/>
      <c r="G2800" s="13">
        <f>IF($B2800="IN",$D2800,0)</f>
      </c>
      <c r="H2800" s="13">
        <f>IF($B2800="OUT",$D2800,0)</f>
      </c>
    </row>
    <row x14ac:dyDescent="0.25" r="2801" customHeight="1" ht="17.25">
      <c r="A2801" s="52"/>
      <c r="B2801" s="2"/>
      <c r="C2801" s="2"/>
      <c r="D2801" s="3"/>
      <c r="E2801" s="3"/>
      <c r="F2801" s="2"/>
      <c r="G2801" s="13">
        <f>IF($B2801="IN",$D2801,0)</f>
      </c>
      <c r="H2801" s="13">
        <f>IF($B2801="OUT",$D2801,0)</f>
      </c>
    </row>
    <row x14ac:dyDescent="0.25" r="2802" customHeight="1" ht="17.25">
      <c r="A2802" s="52"/>
      <c r="B2802" s="2"/>
      <c r="C2802" s="2"/>
      <c r="D2802" s="3"/>
      <c r="E2802" s="3"/>
      <c r="F2802" s="2"/>
      <c r="G2802" s="13">
        <f>IF($B2802="IN",$D2802,0)</f>
      </c>
      <c r="H2802" s="13">
        <f>IF($B2802="OUT",$D2802,0)</f>
      </c>
    </row>
    <row x14ac:dyDescent="0.25" r="2803" customHeight="1" ht="17.25">
      <c r="A2803" s="52"/>
      <c r="B2803" s="2"/>
      <c r="C2803" s="2"/>
      <c r="D2803" s="3"/>
      <c r="E2803" s="3"/>
      <c r="F2803" s="2"/>
      <c r="G2803" s="13">
        <f>IF($B2803="IN",$D2803,0)</f>
      </c>
      <c r="H2803" s="13">
        <f>IF($B2803="OUT",$D2803,0)</f>
      </c>
    </row>
    <row x14ac:dyDescent="0.25" r="2804" customHeight="1" ht="17.25">
      <c r="A2804" s="52"/>
      <c r="B2804" s="2"/>
      <c r="C2804" s="2"/>
      <c r="D2804" s="3"/>
      <c r="E2804" s="3"/>
      <c r="F2804" s="2"/>
      <c r="G2804" s="13">
        <f>IF($B2804="IN",$D2804,0)</f>
      </c>
      <c r="H2804" s="13">
        <f>IF($B2804="OUT",$D2804,0)</f>
      </c>
    </row>
    <row x14ac:dyDescent="0.25" r="2805" customHeight="1" ht="17.25">
      <c r="A2805" s="52"/>
      <c r="B2805" s="2"/>
      <c r="C2805" s="2"/>
      <c r="D2805" s="3"/>
      <c r="E2805" s="3"/>
      <c r="F2805" s="2"/>
      <c r="G2805" s="13">
        <f>IF($B2805="IN",$D2805,0)</f>
      </c>
      <c r="H2805" s="13">
        <f>IF($B2805="OUT",$D2805,0)</f>
      </c>
    </row>
    <row x14ac:dyDescent="0.25" r="2806" customHeight="1" ht="17.25">
      <c r="A2806" s="52"/>
      <c r="B2806" s="2"/>
      <c r="C2806" s="2"/>
      <c r="D2806" s="3"/>
      <c r="E2806" s="3"/>
      <c r="F2806" s="2"/>
      <c r="G2806" s="13">
        <f>IF($B2806="IN",$D2806,0)</f>
      </c>
      <c r="H2806" s="13">
        <f>IF($B2806="OUT",$D2806,0)</f>
      </c>
    </row>
    <row x14ac:dyDescent="0.25" r="2807" customHeight="1" ht="17.25">
      <c r="A2807" s="52"/>
      <c r="B2807" s="2"/>
      <c r="C2807" s="2"/>
      <c r="D2807" s="3"/>
      <c r="E2807" s="3"/>
      <c r="F2807" s="2"/>
      <c r="G2807" s="13">
        <f>IF($B2807="IN",$D2807,0)</f>
      </c>
      <c r="H2807" s="13">
        <f>IF($B2807="OUT",$D2807,0)</f>
      </c>
    </row>
    <row x14ac:dyDescent="0.25" r="2808" customHeight="1" ht="17.25">
      <c r="A2808" s="52"/>
      <c r="B2808" s="2"/>
      <c r="C2808" s="2"/>
      <c r="D2808" s="3"/>
      <c r="E2808" s="3"/>
      <c r="F2808" s="2"/>
      <c r="G2808" s="13">
        <f>IF($B2808="IN",$D2808,0)</f>
      </c>
      <c r="H2808" s="13">
        <f>IF($B2808="OUT",$D2808,0)</f>
      </c>
    </row>
    <row x14ac:dyDescent="0.25" r="2809" customHeight="1" ht="17.25">
      <c r="A2809" s="52"/>
      <c r="B2809" s="2"/>
      <c r="C2809" s="2"/>
      <c r="D2809" s="3"/>
      <c r="E2809" s="3"/>
      <c r="F2809" s="2"/>
      <c r="G2809" s="13">
        <f>IF($B2809="IN",$D2809,0)</f>
      </c>
      <c r="H2809" s="13">
        <f>IF($B2809="OUT",$D2809,0)</f>
      </c>
    </row>
    <row x14ac:dyDescent="0.25" r="2810" customHeight="1" ht="17.25">
      <c r="A2810" s="52"/>
      <c r="B2810" s="2"/>
      <c r="C2810" s="2"/>
      <c r="D2810" s="3"/>
      <c r="E2810" s="3"/>
      <c r="F2810" s="2"/>
      <c r="G2810" s="13">
        <f>IF($B2810="IN",$D2810,0)</f>
      </c>
      <c r="H2810" s="13">
        <f>IF($B2810="OUT",$D2810,0)</f>
      </c>
    </row>
    <row x14ac:dyDescent="0.25" r="2811" customHeight="1" ht="17.25">
      <c r="A2811" s="52"/>
      <c r="B2811" s="2"/>
      <c r="C2811" s="2"/>
      <c r="D2811" s="3"/>
      <c r="E2811" s="3"/>
      <c r="F2811" s="2"/>
      <c r="G2811" s="13">
        <f>IF($B2811="IN",$D2811,0)</f>
      </c>
      <c r="H2811" s="13">
        <f>IF($B2811="OUT",$D2811,0)</f>
      </c>
    </row>
    <row x14ac:dyDescent="0.25" r="2812" customHeight="1" ht="17.25">
      <c r="A2812" s="52"/>
      <c r="B2812" s="2"/>
      <c r="C2812" s="2"/>
      <c r="D2812" s="3"/>
      <c r="E2812" s="3"/>
      <c r="F2812" s="2"/>
      <c r="G2812" s="13">
        <f>IF($B2812="IN",$D2812,0)</f>
      </c>
      <c r="H2812" s="13">
        <f>IF($B2812="OUT",$D2812,0)</f>
      </c>
    </row>
    <row x14ac:dyDescent="0.25" r="2813" customHeight="1" ht="17.25">
      <c r="A2813" s="52"/>
      <c r="B2813" s="2"/>
      <c r="C2813" s="2"/>
      <c r="D2813" s="3"/>
      <c r="E2813" s="3"/>
      <c r="F2813" s="2"/>
      <c r="G2813" s="13">
        <f>IF($B2813="IN",$D2813,0)</f>
      </c>
      <c r="H2813" s="13">
        <f>IF($B2813="OUT",$D2813,0)</f>
      </c>
    </row>
    <row x14ac:dyDescent="0.25" r="2814" customHeight="1" ht="17.25">
      <c r="A2814" s="52"/>
      <c r="B2814" s="2"/>
      <c r="C2814" s="2"/>
      <c r="D2814" s="3"/>
      <c r="E2814" s="3"/>
      <c r="F2814" s="2"/>
      <c r="G2814" s="13">
        <f>IF($B2814="IN",$D2814,0)</f>
      </c>
      <c r="H2814" s="13">
        <f>IF($B2814="OUT",$D2814,0)</f>
      </c>
    </row>
    <row x14ac:dyDescent="0.25" r="2815" customHeight="1" ht="17.25">
      <c r="A2815" s="52"/>
      <c r="B2815" s="2"/>
      <c r="C2815" s="2"/>
      <c r="D2815" s="3"/>
      <c r="E2815" s="3"/>
      <c r="F2815" s="2"/>
      <c r="G2815" s="13">
        <f>IF($B2815="IN",$D2815,0)</f>
      </c>
      <c r="H2815" s="13">
        <f>IF($B2815="OUT",$D2815,0)</f>
      </c>
    </row>
    <row x14ac:dyDescent="0.25" r="2816" customHeight="1" ht="17.25">
      <c r="A2816" s="52"/>
      <c r="B2816" s="2"/>
      <c r="C2816" s="2"/>
      <c r="D2816" s="3"/>
      <c r="E2816" s="3"/>
      <c r="F2816" s="2"/>
      <c r="G2816" s="13">
        <f>IF($B2816="IN",$D2816,0)</f>
      </c>
      <c r="H2816" s="13">
        <f>IF($B2816="OUT",$D2816,0)</f>
      </c>
    </row>
    <row x14ac:dyDescent="0.25" r="2817" customHeight="1" ht="17.25">
      <c r="A2817" s="52"/>
      <c r="B2817" s="2"/>
      <c r="C2817" s="2"/>
      <c r="D2817" s="3"/>
      <c r="E2817" s="3"/>
      <c r="F2817" s="2"/>
      <c r="G2817" s="13">
        <f>IF($B2817="IN",$D2817,0)</f>
      </c>
      <c r="H2817" s="13">
        <f>IF($B2817="OUT",$D2817,0)</f>
      </c>
    </row>
    <row x14ac:dyDescent="0.25" r="2818" customHeight="1" ht="17.25">
      <c r="A2818" s="52"/>
      <c r="B2818" s="2"/>
      <c r="C2818" s="2"/>
      <c r="D2818" s="3"/>
      <c r="E2818" s="3"/>
      <c r="F2818" s="2"/>
      <c r="G2818" s="13">
        <f>IF($B2818="IN",$D2818,0)</f>
      </c>
      <c r="H2818" s="13">
        <f>IF($B2818="OUT",$D2818,0)</f>
      </c>
    </row>
    <row x14ac:dyDescent="0.25" r="2819" customHeight="1" ht="17.25">
      <c r="A2819" s="52"/>
      <c r="B2819" s="2"/>
      <c r="C2819" s="2"/>
      <c r="D2819" s="3"/>
      <c r="E2819" s="3"/>
      <c r="F2819" s="2"/>
      <c r="G2819" s="13">
        <f>IF($B2819="IN",$D2819,0)</f>
      </c>
      <c r="H2819" s="13">
        <f>IF($B2819="OUT",$D2819,0)</f>
      </c>
    </row>
    <row x14ac:dyDescent="0.25" r="2820" customHeight="1" ht="17.25">
      <c r="A2820" s="52"/>
      <c r="B2820" s="2"/>
      <c r="C2820" s="2"/>
      <c r="D2820" s="3"/>
      <c r="E2820" s="3"/>
      <c r="F2820" s="2"/>
      <c r="G2820" s="13">
        <f>IF($B2820="IN",$D2820,0)</f>
      </c>
      <c r="H2820" s="13">
        <f>IF($B2820="OUT",$D2820,0)</f>
      </c>
    </row>
    <row x14ac:dyDescent="0.25" r="2821" customHeight="1" ht="17.25">
      <c r="A2821" s="52"/>
      <c r="B2821" s="2"/>
      <c r="C2821" s="2"/>
      <c r="D2821" s="3"/>
      <c r="E2821" s="3"/>
      <c r="F2821" s="2"/>
      <c r="G2821" s="13">
        <f>IF($B2821="IN",$D2821,0)</f>
      </c>
      <c r="H2821" s="13">
        <f>IF($B2821="OUT",$D2821,0)</f>
      </c>
    </row>
    <row x14ac:dyDescent="0.25" r="2822" customHeight="1" ht="17.25">
      <c r="A2822" s="52"/>
      <c r="B2822" s="2"/>
      <c r="C2822" s="2"/>
      <c r="D2822" s="3"/>
      <c r="E2822" s="3"/>
      <c r="F2822" s="2"/>
      <c r="G2822" s="13">
        <f>IF($B2822="IN",$D2822,0)</f>
      </c>
      <c r="H2822" s="13">
        <f>IF($B2822="OUT",$D2822,0)</f>
      </c>
    </row>
    <row x14ac:dyDescent="0.25" r="2823" customHeight="1" ht="17.25">
      <c r="A2823" s="52"/>
      <c r="B2823" s="2"/>
      <c r="C2823" s="2"/>
      <c r="D2823" s="3"/>
      <c r="E2823" s="3"/>
      <c r="F2823" s="2"/>
      <c r="G2823" s="13">
        <f>IF($B2823="IN",$D2823,0)</f>
      </c>
      <c r="H2823" s="13">
        <f>IF($B2823="OUT",$D2823,0)</f>
      </c>
    </row>
    <row x14ac:dyDescent="0.25" r="2824" customHeight="1" ht="17.25">
      <c r="A2824" s="52"/>
      <c r="B2824" s="2"/>
      <c r="C2824" s="2"/>
      <c r="D2824" s="3"/>
      <c r="E2824" s="3"/>
      <c r="F2824" s="2"/>
      <c r="G2824" s="13">
        <f>IF($B2824="IN",$D2824,0)</f>
      </c>
      <c r="H2824" s="13">
        <f>IF($B2824="OUT",$D2824,0)</f>
      </c>
    </row>
    <row x14ac:dyDescent="0.25" r="2825" customHeight="1" ht="17.25">
      <c r="A2825" s="52"/>
      <c r="B2825" s="2"/>
      <c r="C2825" s="2"/>
      <c r="D2825" s="3"/>
      <c r="E2825" s="3"/>
      <c r="F2825" s="2"/>
      <c r="G2825" s="13">
        <f>IF($B2825="IN",$D2825,0)</f>
      </c>
      <c r="H2825" s="13">
        <f>IF($B2825="OUT",$D2825,0)</f>
      </c>
    </row>
    <row x14ac:dyDescent="0.25" r="2826" customHeight="1" ht="17.25">
      <c r="A2826" s="52"/>
      <c r="B2826" s="2"/>
      <c r="C2826" s="2"/>
      <c r="D2826" s="3"/>
      <c r="E2826" s="3"/>
      <c r="F2826" s="2"/>
      <c r="G2826" s="13">
        <f>IF($B2826="IN",$D2826,0)</f>
      </c>
      <c r="H2826" s="13">
        <f>IF($B2826="OUT",$D2826,0)</f>
      </c>
    </row>
    <row x14ac:dyDescent="0.25" r="2827" customHeight="1" ht="17.25">
      <c r="A2827" s="52"/>
      <c r="B2827" s="2"/>
      <c r="C2827" s="2"/>
      <c r="D2827" s="3"/>
      <c r="E2827" s="3"/>
      <c r="F2827" s="2"/>
      <c r="G2827" s="13">
        <f>IF($B2827="IN",$D2827,0)</f>
      </c>
      <c r="H2827" s="13">
        <f>IF($B2827="OUT",$D2827,0)</f>
      </c>
    </row>
    <row x14ac:dyDescent="0.25" r="2828" customHeight="1" ht="17.25">
      <c r="A2828" s="52"/>
      <c r="B2828" s="2"/>
      <c r="C2828" s="2"/>
      <c r="D2828" s="3"/>
      <c r="E2828" s="3"/>
      <c r="F2828" s="2"/>
      <c r="G2828" s="13">
        <f>IF($B2828="IN",$D2828,0)</f>
      </c>
      <c r="H2828" s="13">
        <f>IF($B2828="OUT",$D2828,0)</f>
      </c>
    </row>
    <row x14ac:dyDescent="0.25" r="2829" customHeight="1" ht="17.25">
      <c r="A2829" s="52"/>
      <c r="B2829" s="2"/>
      <c r="C2829" s="2"/>
      <c r="D2829" s="3"/>
      <c r="E2829" s="3"/>
      <c r="F2829" s="2"/>
      <c r="G2829" s="13">
        <f>IF($B2829="IN",$D2829,0)</f>
      </c>
      <c r="H2829" s="13">
        <f>IF($B2829="OUT",$D2829,0)</f>
      </c>
    </row>
    <row x14ac:dyDescent="0.25" r="2830" customHeight="1" ht="17.25">
      <c r="A2830" s="52"/>
      <c r="B2830" s="2"/>
      <c r="C2830" s="2"/>
      <c r="D2830" s="3"/>
      <c r="E2830" s="3"/>
      <c r="F2830" s="2"/>
      <c r="G2830" s="13">
        <f>IF($B2830="IN",$D2830,0)</f>
      </c>
      <c r="H2830" s="13">
        <f>IF($B2830="OUT",$D2830,0)</f>
      </c>
    </row>
    <row x14ac:dyDescent="0.25" r="2831" customHeight="1" ht="17.25">
      <c r="A2831" s="52"/>
      <c r="B2831" s="2"/>
      <c r="C2831" s="2"/>
      <c r="D2831" s="3"/>
      <c r="E2831" s="3"/>
      <c r="F2831" s="2"/>
      <c r="G2831" s="13">
        <f>IF($B2831="IN",$D2831,0)</f>
      </c>
      <c r="H2831" s="13">
        <f>IF($B2831="OUT",$D2831,0)</f>
      </c>
    </row>
    <row x14ac:dyDescent="0.25" r="2832" customHeight="1" ht="17.25">
      <c r="A2832" s="52"/>
      <c r="B2832" s="2"/>
      <c r="C2832" s="2"/>
      <c r="D2832" s="3"/>
      <c r="E2832" s="3"/>
      <c r="F2832" s="2"/>
      <c r="G2832" s="13">
        <f>IF($B2832="IN",$D2832,0)</f>
      </c>
      <c r="H2832" s="13">
        <f>IF($B2832="OUT",$D2832,0)</f>
      </c>
    </row>
    <row x14ac:dyDescent="0.25" r="2833" customHeight="1" ht="17.25">
      <c r="A2833" s="52"/>
      <c r="B2833" s="2"/>
      <c r="C2833" s="2"/>
      <c r="D2833" s="3"/>
      <c r="E2833" s="3"/>
      <c r="F2833" s="2"/>
      <c r="G2833" s="13">
        <f>IF($B2833="IN",$D2833,0)</f>
      </c>
      <c r="H2833" s="13">
        <f>IF($B2833="OUT",$D2833,0)</f>
      </c>
    </row>
    <row x14ac:dyDescent="0.25" r="2834" customHeight="1" ht="17.25">
      <c r="A2834" s="52"/>
      <c r="B2834" s="2"/>
      <c r="C2834" s="2"/>
      <c r="D2834" s="3"/>
      <c r="E2834" s="3"/>
      <c r="F2834" s="2"/>
      <c r="G2834" s="13">
        <f>IF($B2834="IN",$D2834,0)</f>
      </c>
      <c r="H2834" s="13">
        <f>IF($B2834="OUT",$D2834,0)</f>
      </c>
    </row>
    <row x14ac:dyDescent="0.25" r="2835" customHeight="1" ht="17.25">
      <c r="A2835" s="52"/>
      <c r="B2835" s="2"/>
      <c r="C2835" s="2"/>
      <c r="D2835" s="3"/>
      <c r="E2835" s="3"/>
      <c r="F2835" s="2"/>
      <c r="G2835" s="13">
        <f>IF($B2835="IN",$D2835,0)</f>
      </c>
      <c r="H2835" s="13">
        <f>IF($B2835="OUT",$D2835,0)</f>
      </c>
    </row>
    <row x14ac:dyDescent="0.25" r="2836" customHeight="1" ht="17.25">
      <c r="A2836" s="52"/>
      <c r="B2836" s="2"/>
      <c r="C2836" s="2"/>
      <c r="D2836" s="3"/>
      <c r="E2836" s="3"/>
      <c r="F2836" s="2"/>
      <c r="G2836" s="13">
        <f>IF($B2836="IN",$D2836,0)</f>
      </c>
      <c r="H2836" s="13">
        <f>IF($B2836="OUT",$D2836,0)</f>
      </c>
    </row>
    <row x14ac:dyDescent="0.25" r="2837" customHeight="1" ht="17.25">
      <c r="A2837" s="52"/>
      <c r="B2837" s="2"/>
      <c r="C2837" s="2"/>
      <c r="D2837" s="3"/>
      <c r="E2837" s="3"/>
      <c r="F2837" s="2"/>
      <c r="G2837" s="13">
        <f>IF($B2837="IN",$D2837,0)</f>
      </c>
      <c r="H2837" s="13">
        <f>IF($B2837="OUT",$D2837,0)</f>
      </c>
    </row>
    <row x14ac:dyDescent="0.25" r="2838" customHeight="1" ht="17.25">
      <c r="A2838" s="52"/>
      <c r="B2838" s="2"/>
      <c r="C2838" s="2"/>
      <c r="D2838" s="3"/>
      <c r="E2838" s="3"/>
      <c r="F2838" s="2"/>
      <c r="G2838" s="13">
        <f>IF($B2838="IN",$D2838,0)</f>
      </c>
      <c r="H2838" s="13">
        <f>IF($B2838="OUT",$D2838,0)</f>
      </c>
    </row>
    <row x14ac:dyDescent="0.25" r="2839" customHeight="1" ht="17.25">
      <c r="A2839" s="52"/>
      <c r="B2839" s="2"/>
      <c r="C2839" s="2"/>
      <c r="D2839" s="3"/>
      <c r="E2839" s="3"/>
      <c r="F2839" s="2"/>
      <c r="G2839" s="13">
        <f>IF($B2839="IN",$D2839,0)</f>
      </c>
      <c r="H2839" s="13">
        <f>IF($B2839="OUT",$D2839,0)</f>
      </c>
    </row>
    <row x14ac:dyDescent="0.25" r="2840" customHeight="1" ht="17.25">
      <c r="A2840" s="52"/>
      <c r="B2840" s="2"/>
      <c r="C2840" s="2"/>
      <c r="D2840" s="3"/>
      <c r="E2840" s="3"/>
      <c r="F2840" s="2"/>
      <c r="G2840" s="13">
        <f>IF($B2840="IN",$D2840,0)</f>
      </c>
      <c r="H2840" s="13">
        <f>IF($B2840="OUT",$D2840,0)</f>
      </c>
    </row>
    <row x14ac:dyDescent="0.25" r="2841" customHeight="1" ht="17.25">
      <c r="A2841" s="52"/>
      <c r="B2841" s="2"/>
      <c r="C2841" s="2"/>
      <c r="D2841" s="3"/>
      <c r="E2841" s="3"/>
      <c r="F2841" s="2"/>
      <c r="G2841" s="13">
        <f>IF($B2841="IN",$D2841,0)</f>
      </c>
      <c r="H2841" s="13">
        <f>IF($B2841="OUT",$D2841,0)</f>
      </c>
    </row>
    <row x14ac:dyDescent="0.25" r="2842" customHeight="1" ht="17.25">
      <c r="A2842" s="52"/>
      <c r="B2842" s="2"/>
      <c r="C2842" s="2"/>
      <c r="D2842" s="3"/>
      <c r="E2842" s="3"/>
      <c r="F2842" s="2"/>
      <c r="G2842" s="13">
        <f>IF($B2842="IN",$D2842,0)</f>
      </c>
      <c r="H2842" s="13">
        <f>IF($B2842="OUT",$D2842,0)</f>
      </c>
    </row>
    <row x14ac:dyDescent="0.25" r="2843" customHeight="1" ht="17.25">
      <c r="A2843" s="52"/>
      <c r="B2843" s="2"/>
      <c r="C2843" s="2"/>
      <c r="D2843" s="3"/>
      <c r="E2843" s="3"/>
      <c r="F2843" s="2"/>
      <c r="G2843" s="13">
        <f>IF($B2843="IN",$D2843,0)</f>
      </c>
      <c r="H2843" s="13">
        <f>IF($B2843="OUT",$D2843,0)</f>
      </c>
    </row>
    <row x14ac:dyDescent="0.25" r="2844" customHeight="1" ht="17.25">
      <c r="A2844" s="52"/>
      <c r="B2844" s="2"/>
      <c r="C2844" s="2"/>
      <c r="D2844" s="3"/>
      <c r="E2844" s="3"/>
      <c r="F2844" s="2"/>
      <c r="G2844" s="13">
        <f>IF($B2844="IN",$D2844,0)</f>
      </c>
      <c r="H2844" s="13">
        <f>IF($B2844="OUT",$D2844,0)</f>
      </c>
    </row>
    <row x14ac:dyDescent="0.25" r="2845" customHeight="1" ht="17.25">
      <c r="A2845" s="52"/>
      <c r="B2845" s="2"/>
      <c r="C2845" s="2"/>
      <c r="D2845" s="3"/>
      <c r="E2845" s="3"/>
      <c r="F2845" s="2"/>
      <c r="G2845" s="13">
        <f>IF($B2845="IN",$D2845,0)</f>
      </c>
      <c r="H2845" s="13">
        <f>IF($B2845="OUT",$D2845,0)</f>
      </c>
    </row>
    <row x14ac:dyDescent="0.25" r="2846" customHeight="1" ht="17.25">
      <c r="A2846" s="52"/>
      <c r="B2846" s="2"/>
      <c r="C2846" s="2"/>
      <c r="D2846" s="3"/>
      <c r="E2846" s="3"/>
      <c r="F2846" s="2"/>
      <c r="G2846" s="13">
        <f>IF($B2846="IN",$D2846,0)</f>
      </c>
      <c r="H2846" s="13">
        <f>IF($B2846="OUT",$D2846,0)</f>
      </c>
    </row>
    <row x14ac:dyDescent="0.25" r="2847" customHeight="1" ht="17.25">
      <c r="A2847" s="52"/>
      <c r="B2847" s="2"/>
      <c r="C2847" s="2"/>
      <c r="D2847" s="3"/>
      <c r="E2847" s="3"/>
      <c r="F2847" s="2"/>
      <c r="G2847" s="13">
        <f>IF($B2847="IN",$D2847,0)</f>
      </c>
      <c r="H2847" s="13">
        <f>IF($B2847="OUT",$D2847,0)</f>
      </c>
    </row>
    <row x14ac:dyDescent="0.25" r="2848" customHeight="1" ht="17.25">
      <c r="A2848" s="52"/>
      <c r="B2848" s="2"/>
      <c r="C2848" s="2"/>
      <c r="D2848" s="3"/>
      <c r="E2848" s="3"/>
      <c r="F2848" s="2"/>
      <c r="G2848" s="13">
        <f>IF($B2848="IN",$D2848,0)</f>
      </c>
      <c r="H2848" s="13">
        <f>IF($B2848="OUT",$D2848,0)</f>
      </c>
    </row>
    <row x14ac:dyDescent="0.25" r="2849" customHeight="1" ht="17.25">
      <c r="A2849" s="52"/>
      <c r="B2849" s="2"/>
      <c r="C2849" s="2"/>
      <c r="D2849" s="3"/>
      <c r="E2849" s="3"/>
      <c r="F2849" s="2"/>
      <c r="G2849" s="13">
        <f>IF($B2849="IN",$D2849,0)</f>
      </c>
      <c r="H2849" s="13">
        <f>IF($B2849="OUT",$D2849,0)</f>
      </c>
    </row>
    <row x14ac:dyDescent="0.25" r="2850" customHeight="1" ht="17.25">
      <c r="A2850" s="52"/>
      <c r="B2850" s="2"/>
      <c r="C2850" s="2"/>
      <c r="D2850" s="3"/>
      <c r="E2850" s="3"/>
      <c r="F2850" s="2"/>
      <c r="G2850" s="13">
        <f>IF($B2850="IN",$D2850,0)</f>
      </c>
      <c r="H2850" s="13">
        <f>IF($B2850="OUT",$D2850,0)</f>
      </c>
    </row>
    <row x14ac:dyDescent="0.25" r="2851" customHeight="1" ht="17.25">
      <c r="A2851" s="52"/>
      <c r="B2851" s="2"/>
      <c r="C2851" s="2"/>
      <c r="D2851" s="3"/>
      <c r="E2851" s="3"/>
      <c r="F2851" s="2"/>
      <c r="G2851" s="13">
        <f>IF($B2851="IN",$D2851,0)</f>
      </c>
      <c r="H2851" s="13">
        <f>IF($B2851="OUT",$D2851,0)</f>
      </c>
    </row>
    <row x14ac:dyDescent="0.25" r="2852" customHeight="1" ht="17.25">
      <c r="A2852" s="52"/>
      <c r="B2852" s="2"/>
      <c r="C2852" s="2"/>
      <c r="D2852" s="3"/>
      <c r="E2852" s="3"/>
      <c r="F2852" s="2"/>
      <c r="G2852" s="13">
        <f>IF($B2852="IN",$D2852,0)</f>
      </c>
      <c r="H2852" s="13">
        <f>IF($B2852="OUT",$D2852,0)</f>
      </c>
    </row>
    <row x14ac:dyDescent="0.25" r="2853" customHeight="1" ht="17.25">
      <c r="A2853" s="52"/>
      <c r="B2853" s="2"/>
      <c r="C2853" s="2"/>
      <c r="D2853" s="3"/>
      <c r="E2853" s="3"/>
      <c r="F2853" s="2"/>
      <c r="G2853" s="13">
        <f>IF($B2853="IN",$D2853,0)</f>
      </c>
      <c r="H2853" s="13">
        <f>IF($B2853="OUT",$D2853,0)</f>
      </c>
    </row>
    <row x14ac:dyDescent="0.25" r="2854" customHeight="1" ht="17.25">
      <c r="A2854" s="52"/>
      <c r="B2854" s="2"/>
      <c r="C2854" s="2"/>
      <c r="D2854" s="3"/>
      <c r="E2854" s="3"/>
      <c r="F2854" s="2"/>
      <c r="G2854" s="13">
        <f>IF($B2854="IN",$D2854,0)</f>
      </c>
      <c r="H2854" s="13">
        <f>IF($B2854="OUT",$D2854,0)</f>
      </c>
    </row>
    <row x14ac:dyDescent="0.25" r="2855" customHeight="1" ht="17.25">
      <c r="A2855" s="52"/>
      <c r="B2855" s="2"/>
      <c r="C2855" s="2"/>
      <c r="D2855" s="3"/>
      <c r="E2855" s="3"/>
      <c r="F2855" s="2"/>
      <c r="G2855" s="13">
        <f>IF($B2855="IN",$D2855,0)</f>
      </c>
      <c r="H2855" s="13">
        <f>IF($B2855="OUT",$D2855,0)</f>
      </c>
    </row>
    <row x14ac:dyDescent="0.25" r="2856" customHeight="1" ht="17.25">
      <c r="A2856" s="52"/>
      <c r="B2856" s="2"/>
      <c r="C2856" s="2"/>
      <c r="D2856" s="3"/>
      <c r="E2856" s="3"/>
      <c r="F2856" s="2"/>
      <c r="G2856" s="13">
        <f>IF($B2856="IN",$D2856,0)</f>
      </c>
      <c r="H2856" s="13">
        <f>IF($B2856="OUT",$D2856,0)</f>
      </c>
    </row>
    <row x14ac:dyDescent="0.25" r="2857" customHeight="1" ht="17.25">
      <c r="A2857" s="52"/>
      <c r="B2857" s="2"/>
      <c r="C2857" s="2"/>
      <c r="D2857" s="3"/>
      <c r="E2857" s="3"/>
      <c r="F2857" s="2"/>
      <c r="G2857" s="13">
        <f>IF($B2857="IN",$D2857,0)</f>
      </c>
      <c r="H2857" s="13">
        <f>IF($B2857="OUT",$D2857,0)</f>
      </c>
    </row>
    <row x14ac:dyDescent="0.25" r="2858" customHeight="1" ht="17.25">
      <c r="A2858" s="52"/>
      <c r="B2858" s="2"/>
      <c r="C2858" s="2"/>
      <c r="D2858" s="3"/>
      <c r="E2858" s="3"/>
      <c r="F2858" s="2"/>
      <c r="G2858" s="13">
        <f>IF($B2858="IN",$D2858,0)</f>
      </c>
      <c r="H2858" s="13">
        <f>IF($B2858="OUT",$D2858,0)</f>
      </c>
    </row>
    <row x14ac:dyDescent="0.25" r="2859" customHeight="1" ht="17.25">
      <c r="A2859" s="52"/>
      <c r="B2859" s="2"/>
      <c r="C2859" s="2"/>
      <c r="D2859" s="3"/>
      <c r="E2859" s="3"/>
      <c r="F2859" s="2"/>
      <c r="G2859" s="13">
        <f>IF($B2859="IN",$D2859,0)</f>
      </c>
      <c r="H2859" s="13">
        <f>IF($B2859="OUT",$D2859,0)</f>
      </c>
    </row>
    <row x14ac:dyDescent="0.25" r="2860" customHeight="1" ht="17.25">
      <c r="A2860" s="52"/>
      <c r="B2860" s="2"/>
      <c r="C2860" s="2"/>
      <c r="D2860" s="3"/>
      <c r="E2860" s="3"/>
      <c r="F2860" s="2"/>
      <c r="G2860" s="13">
        <f>IF($B2860="IN",$D2860,0)</f>
      </c>
      <c r="H2860" s="13">
        <f>IF($B2860="OUT",$D2860,0)</f>
      </c>
    </row>
    <row x14ac:dyDescent="0.25" r="2861" customHeight="1" ht="17.25">
      <c r="A2861" s="52"/>
      <c r="B2861" s="2"/>
      <c r="C2861" s="2"/>
      <c r="D2861" s="3"/>
      <c r="E2861" s="3"/>
      <c r="F2861" s="2"/>
      <c r="G2861" s="13">
        <f>IF($B2861="IN",$D2861,0)</f>
      </c>
      <c r="H2861" s="13">
        <f>IF($B2861="OUT",$D2861,0)</f>
      </c>
    </row>
    <row x14ac:dyDescent="0.25" r="2862" customHeight="1" ht="17.25">
      <c r="A2862" s="52"/>
      <c r="B2862" s="2"/>
      <c r="C2862" s="2"/>
      <c r="D2862" s="3"/>
      <c r="E2862" s="3"/>
      <c r="F2862" s="2"/>
      <c r="G2862" s="13">
        <f>IF($B2862="IN",$D2862,0)</f>
      </c>
      <c r="H2862" s="13">
        <f>IF($B2862="OUT",$D2862,0)</f>
      </c>
    </row>
    <row x14ac:dyDescent="0.25" r="2863" customHeight="1" ht="17.25">
      <c r="A2863" s="52"/>
      <c r="B2863" s="2"/>
      <c r="C2863" s="2"/>
      <c r="D2863" s="3"/>
      <c r="E2863" s="3"/>
      <c r="F2863" s="2"/>
      <c r="G2863" s="13">
        <f>IF($B2863="IN",$D2863,0)</f>
      </c>
      <c r="H2863" s="13">
        <f>IF($B2863="OUT",$D2863,0)</f>
      </c>
    </row>
    <row x14ac:dyDescent="0.25" r="2864" customHeight="1" ht="17.25">
      <c r="A2864" s="52"/>
      <c r="B2864" s="2"/>
      <c r="C2864" s="2"/>
      <c r="D2864" s="3"/>
      <c r="E2864" s="3"/>
      <c r="F2864" s="2"/>
      <c r="G2864" s="13">
        <f>IF($B2864="IN",$D2864,0)</f>
      </c>
      <c r="H2864" s="13">
        <f>IF($B2864="OUT",$D2864,0)</f>
      </c>
    </row>
    <row x14ac:dyDescent="0.25" r="2865" customHeight="1" ht="17.25">
      <c r="A2865" s="52"/>
      <c r="B2865" s="2"/>
      <c r="C2865" s="2"/>
      <c r="D2865" s="3"/>
      <c r="E2865" s="3"/>
      <c r="F2865" s="2"/>
      <c r="G2865" s="13">
        <f>IF($B2865="IN",$D2865,0)</f>
      </c>
      <c r="H2865" s="13">
        <f>IF($B2865="OUT",$D2865,0)</f>
      </c>
    </row>
    <row x14ac:dyDescent="0.25" r="2866" customHeight="1" ht="17.25">
      <c r="A2866" s="52"/>
      <c r="B2866" s="2"/>
      <c r="C2866" s="2"/>
      <c r="D2866" s="3"/>
      <c r="E2866" s="3"/>
      <c r="F2866" s="2"/>
      <c r="G2866" s="13">
        <f>IF($B2866="IN",$D2866,0)</f>
      </c>
      <c r="H2866" s="13">
        <f>IF($B2866="OUT",$D2866,0)</f>
      </c>
    </row>
    <row x14ac:dyDescent="0.25" r="2867" customHeight="1" ht="17.25">
      <c r="A2867" s="52"/>
      <c r="B2867" s="2"/>
      <c r="C2867" s="2"/>
      <c r="D2867" s="3"/>
      <c r="E2867" s="3"/>
      <c r="F2867" s="2"/>
      <c r="G2867" s="13">
        <f>IF($B2867="IN",$D2867,0)</f>
      </c>
      <c r="H2867" s="13">
        <f>IF($B2867="OUT",$D2867,0)</f>
      </c>
    </row>
    <row x14ac:dyDescent="0.25" r="2868" customHeight="1" ht="17.25">
      <c r="A2868" s="52"/>
      <c r="B2868" s="2"/>
      <c r="C2868" s="2"/>
      <c r="D2868" s="3"/>
      <c r="E2868" s="3"/>
      <c r="F2868" s="2"/>
      <c r="G2868" s="13">
        <f>IF($B2868="IN",$D2868,0)</f>
      </c>
      <c r="H2868" s="13">
        <f>IF($B2868="OUT",$D2868,0)</f>
      </c>
    </row>
    <row x14ac:dyDescent="0.25" r="2869" customHeight="1" ht="17.25">
      <c r="A2869" s="52"/>
      <c r="B2869" s="2"/>
      <c r="C2869" s="2"/>
      <c r="D2869" s="3"/>
      <c r="E2869" s="3"/>
      <c r="F2869" s="2"/>
      <c r="G2869" s="13">
        <f>IF($B2869="IN",$D2869,0)</f>
      </c>
      <c r="H2869" s="13">
        <f>IF($B2869="OUT",$D2869,0)</f>
      </c>
    </row>
    <row x14ac:dyDescent="0.25" r="2870" customHeight="1" ht="17.25">
      <c r="A2870" s="52"/>
      <c r="B2870" s="2"/>
      <c r="C2870" s="2"/>
      <c r="D2870" s="3"/>
      <c r="E2870" s="3"/>
      <c r="F2870" s="2"/>
      <c r="G2870" s="13">
        <f>IF($B2870="IN",$D2870,0)</f>
      </c>
      <c r="H2870" s="13">
        <f>IF($B2870="OUT",$D2870,0)</f>
      </c>
    </row>
    <row x14ac:dyDescent="0.25" r="2871" customHeight="1" ht="17.25">
      <c r="A2871" s="52"/>
      <c r="B2871" s="2"/>
      <c r="C2871" s="2"/>
      <c r="D2871" s="3"/>
      <c r="E2871" s="3"/>
      <c r="F2871" s="2"/>
      <c r="G2871" s="13">
        <f>IF($B2871="IN",$D2871,0)</f>
      </c>
      <c r="H2871" s="13">
        <f>IF($B2871="OUT",$D2871,0)</f>
      </c>
    </row>
    <row x14ac:dyDescent="0.25" r="2872" customHeight="1" ht="17.25">
      <c r="A2872" s="52"/>
      <c r="B2872" s="2"/>
      <c r="C2872" s="2"/>
      <c r="D2872" s="3"/>
      <c r="E2872" s="3"/>
      <c r="F2872" s="2"/>
      <c r="G2872" s="13">
        <f>IF($B2872="IN",$D2872,0)</f>
      </c>
      <c r="H2872" s="13">
        <f>IF($B2872="OUT",$D2872,0)</f>
      </c>
    </row>
    <row x14ac:dyDescent="0.25" r="2873" customHeight="1" ht="17.25">
      <c r="A2873" s="52"/>
      <c r="B2873" s="2"/>
      <c r="C2873" s="2"/>
      <c r="D2873" s="3"/>
      <c r="E2873" s="3"/>
      <c r="F2873" s="2"/>
      <c r="G2873" s="13">
        <f>IF($B2873="IN",$D2873,0)</f>
      </c>
      <c r="H2873" s="13">
        <f>IF($B2873="OUT",$D2873,0)</f>
      </c>
    </row>
    <row x14ac:dyDescent="0.25" r="2874" customHeight="1" ht="17.25">
      <c r="A2874" s="52"/>
      <c r="B2874" s="2"/>
      <c r="C2874" s="2"/>
      <c r="D2874" s="3"/>
      <c r="E2874" s="3"/>
      <c r="F2874" s="2"/>
      <c r="G2874" s="13">
        <f>IF($B2874="IN",$D2874,0)</f>
      </c>
      <c r="H2874" s="13">
        <f>IF($B2874="OUT",$D2874,0)</f>
      </c>
    </row>
    <row x14ac:dyDescent="0.25" r="2875" customHeight="1" ht="17.25">
      <c r="A2875" s="52"/>
      <c r="B2875" s="2"/>
      <c r="C2875" s="2"/>
      <c r="D2875" s="3"/>
      <c r="E2875" s="3"/>
      <c r="F2875" s="2"/>
      <c r="G2875" s="13">
        <f>IF($B2875="IN",$D2875,0)</f>
      </c>
      <c r="H2875" s="13">
        <f>IF($B2875="OUT",$D2875,0)</f>
      </c>
    </row>
    <row x14ac:dyDescent="0.25" r="2876" customHeight="1" ht="17.25">
      <c r="A2876" s="52"/>
      <c r="B2876" s="2"/>
      <c r="C2876" s="2"/>
      <c r="D2876" s="3"/>
      <c r="E2876" s="3"/>
      <c r="F2876" s="2"/>
      <c r="G2876" s="13">
        <f>IF($B2876="IN",$D2876,0)</f>
      </c>
      <c r="H2876" s="13">
        <f>IF($B2876="OUT",$D2876,0)</f>
      </c>
    </row>
    <row x14ac:dyDescent="0.25" r="2877" customHeight="1" ht="17.25">
      <c r="A2877" s="52"/>
      <c r="B2877" s="2"/>
      <c r="C2877" s="2"/>
      <c r="D2877" s="3"/>
      <c r="E2877" s="3"/>
      <c r="F2877" s="2"/>
      <c r="G2877" s="13">
        <f>IF($B2877="IN",$D2877,0)</f>
      </c>
      <c r="H2877" s="13">
        <f>IF($B2877="OUT",$D2877,0)</f>
      </c>
    </row>
    <row x14ac:dyDescent="0.25" r="2878" customHeight="1" ht="17.25">
      <c r="A2878" s="52"/>
      <c r="B2878" s="2"/>
      <c r="C2878" s="2"/>
      <c r="D2878" s="3"/>
      <c r="E2878" s="3"/>
      <c r="F2878" s="2"/>
      <c r="G2878" s="13">
        <f>IF($B2878="IN",$D2878,0)</f>
      </c>
      <c r="H2878" s="13">
        <f>IF($B2878="OUT",$D2878,0)</f>
      </c>
    </row>
    <row x14ac:dyDescent="0.25" r="2879" customHeight="1" ht="17.25">
      <c r="A2879" s="52"/>
      <c r="B2879" s="2"/>
      <c r="C2879" s="2"/>
      <c r="D2879" s="3"/>
      <c r="E2879" s="3"/>
      <c r="F2879" s="2"/>
      <c r="G2879" s="13">
        <f>IF($B2879="IN",$D2879,0)</f>
      </c>
      <c r="H2879" s="13">
        <f>IF($B2879="OUT",$D2879,0)</f>
      </c>
    </row>
    <row x14ac:dyDescent="0.25" r="2880" customHeight="1" ht="17.25">
      <c r="A2880" s="52"/>
      <c r="B2880" s="2"/>
      <c r="C2880" s="2"/>
      <c r="D2880" s="3"/>
      <c r="E2880" s="3"/>
      <c r="F2880" s="2"/>
      <c r="G2880" s="13">
        <f>IF($B2880="IN",$D2880,0)</f>
      </c>
      <c r="H2880" s="13">
        <f>IF($B2880="OUT",$D2880,0)</f>
      </c>
    </row>
    <row x14ac:dyDescent="0.25" r="2881" customHeight="1" ht="17.25">
      <c r="A2881" s="52"/>
      <c r="B2881" s="2"/>
      <c r="C2881" s="2"/>
      <c r="D2881" s="3"/>
      <c r="E2881" s="3"/>
      <c r="F2881" s="2"/>
      <c r="G2881" s="13">
        <f>IF($B2881="IN",$D2881,0)</f>
      </c>
      <c r="H2881" s="13">
        <f>IF($B2881="OUT",$D2881,0)</f>
      </c>
    </row>
    <row x14ac:dyDescent="0.25" r="2882" customHeight="1" ht="17.25">
      <c r="A2882" s="52"/>
      <c r="B2882" s="2"/>
      <c r="C2882" s="2"/>
      <c r="D2882" s="3"/>
      <c r="E2882" s="3"/>
      <c r="F2882" s="2"/>
      <c r="G2882" s="13">
        <f>IF($B2882="IN",$D2882,0)</f>
      </c>
      <c r="H2882" s="13">
        <f>IF($B2882="OUT",$D2882,0)</f>
      </c>
    </row>
    <row x14ac:dyDescent="0.25" r="2883" customHeight="1" ht="17.25">
      <c r="A2883" s="52"/>
      <c r="B2883" s="2"/>
      <c r="C2883" s="2"/>
      <c r="D2883" s="3"/>
      <c r="E2883" s="3"/>
      <c r="F2883" s="2"/>
      <c r="G2883" s="13">
        <f>IF($B2883="IN",$D2883,0)</f>
      </c>
      <c r="H2883" s="13">
        <f>IF($B2883="OUT",$D2883,0)</f>
      </c>
    </row>
    <row x14ac:dyDescent="0.25" r="2884" customHeight="1" ht="17.25">
      <c r="A2884" s="52"/>
      <c r="B2884" s="2"/>
      <c r="C2884" s="2"/>
      <c r="D2884" s="3"/>
      <c r="E2884" s="3"/>
      <c r="F2884" s="2"/>
      <c r="G2884" s="13">
        <f>IF($B2884="IN",$D2884,0)</f>
      </c>
      <c r="H2884" s="13">
        <f>IF($B2884="OUT",$D2884,0)</f>
      </c>
    </row>
    <row x14ac:dyDescent="0.25" r="2885" customHeight="1" ht="17.25">
      <c r="A2885" s="52"/>
      <c r="B2885" s="2"/>
      <c r="C2885" s="2"/>
      <c r="D2885" s="3"/>
      <c r="E2885" s="3"/>
      <c r="F2885" s="2"/>
      <c r="G2885" s="13">
        <f>IF($B2885="IN",$D2885,0)</f>
      </c>
      <c r="H2885" s="13">
        <f>IF($B2885="OUT",$D2885,0)</f>
      </c>
    </row>
    <row x14ac:dyDescent="0.25" r="2886" customHeight="1" ht="17.25">
      <c r="A2886" s="52"/>
      <c r="B2886" s="2"/>
      <c r="C2886" s="2"/>
      <c r="D2886" s="3"/>
      <c r="E2886" s="3"/>
      <c r="F2886" s="2"/>
      <c r="G2886" s="13">
        <f>IF($B2886="IN",$D2886,0)</f>
      </c>
      <c r="H2886" s="13">
        <f>IF($B2886="OUT",$D2886,0)</f>
      </c>
    </row>
    <row x14ac:dyDescent="0.25" r="2887" customHeight="1" ht="17.25">
      <c r="A2887" s="52"/>
      <c r="B2887" s="2"/>
      <c r="C2887" s="2"/>
      <c r="D2887" s="3"/>
      <c r="E2887" s="3"/>
      <c r="F2887" s="2"/>
      <c r="G2887" s="13">
        <f>IF($B2887="IN",$D2887,0)</f>
      </c>
      <c r="H2887" s="13">
        <f>IF($B2887="OUT",$D2887,0)</f>
      </c>
    </row>
    <row x14ac:dyDescent="0.25" r="2888" customHeight="1" ht="17.25">
      <c r="A2888" s="52"/>
      <c r="B2888" s="2"/>
      <c r="C2888" s="2"/>
      <c r="D2888" s="3"/>
      <c r="E2888" s="3"/>
      <c r="F2888" s="2"/>
      <c r="G2888" s="13">
        <f>IF($B2888="IN",$D2888,0)</f>
      </c>
      <c r="H2888" s="13">
        <f>IF($B2888="OUT",$D2888,0)</f>
      </c>
    </row>
    <row x14ac:dyDescent="0.25" r="2889" customHeight="1" ht="17.25">
      <c r="A2889" s="52"/>
      <c r="B2889" s="2"/>
      <c r="C2889" s="2"/>
      <c r="D2889" s="3"/>
      <c r="E2889" s="3"/>
      <c r="F2889" s="2"/>
      <c r="G2889" s="13">
        <f>IF($B2889="IN",$D2889,0)</f>
      </c>
      <c r="H2889" s="13">
        <f>IF($B2889="OUT",$D2889,0)</f>
      </c>
    </row>
    <row x14ac:dyDescent="0.25" r="2890" customHeight="1" ht="17.25">
      <c r="A2890" s="52"/>
      <c r="B2890" s="2"/>
      <c r="C2890" s="2"/>
      <c r="D2890" s="3"/>
      <c r="E2890" s="3"/>
      <c r="F2890" s="2"/>
      <c r="G2890" s="13">
        <f>IF($B2890="IN",$D2890,0)</f>
      </c>
      <c r="H2890" s="13">
        <f>IF($B2890="OUT",$D2890,0)</f>
      </c>
    </row>
    <row x14ac:dyDescent="0.25" r="2891" customHeight="1" ht="17.25">
      <c r="A2891" s="52"/>
      <c r="B2891" s="2"/>
      <c r="C2891" s="2"/>
      <c r="D2891" s="3"/>
      <c r="E2891" s="3"/>
      <c r="F2891" s="2"/>
      <c r="G2891" s="13">
        <f>IF($B2891="IN",$D2891,0)</f>
      </c>
      <c r="H2891" s="13">
        <f>IF($B2891="OUT",$D2891,0)</f>
      </c>
    </row>
    <row x14ac:dyDescent="0.25" r="2892" customHeight="1" ht="17.25">
      <c r="A2892" s="52"/>
      <c r="B2892" s="2"/>
      <c r="C2892" s="2"/>
      <c r="D2892" s="3"/>
      <c r="E2892" s="3"/>
      <c r="F2892" s="2"/>
      <c r="G2892" s="13">
        <f>IF($B2892="IN",$D2892,0)</f>
      </c>
      <c r="H2892" s="13">
        <f>IF($B2892="OUT",$D2892,0)</f>
      </c>
    </row>
    <row x14ac:dyDescent="0.25" r="2893" customHeight="1" ht="17.25">
      <c r="A2893" s="52"/>
      <c r="B2893" s="2"/>
      <c r="C2893" s="2"/>
      <c r="D2893" s="3"/>
      <c r="E2893" s="3"/>
      <c r="F2893" s="2"/>
      <c r="G2893" s="13">
        <f>IF($B2893="IN",$D2893,0)</f>
      </c>
      <c r="H2893" s="13">
        <f>IF($B2893="OUT",$D2893,0)</f>
      </c>
    </row>
    <row x14ac:dyDescent="0.25" r="2894" customHeight="1" ht="17.25">
      <c r="A2894" s="52"/>
      <c r="B2894" s="2"/>
      <c r="C2894" s="2"/>
      <c r="D2894" s="3"/>
      <c r="E2894" s="3"/>
      <c r="F2894" s="2"/>
      <c r="G2894" s="13">
        <f>IF($B2894="IN",$D2894,0)</f>
      </c>
      <c r="H2894" s="13">
        <f>IF($B2894="OUT",$D2894,0)</f>
      </c>
    </row>
    <row x14ac:dyDescent="0.25" r="2895" customHeight="1" ht="17.25">
      <c r="A2895" s="52"/>
      <c r="B2895" s="2"/>
      <c r="C2895" s="2"/>
      <c r="D2895" s="3"/>
      <c r="E2895" s="3"/>
      <c r="F2895" s="2"/>
      <c r="G2895" s="13">
        <f>IF($B2895="IN",$D2895,0)</f>
      </c>
      <c r="H2895" s="13">
        <f>IF($B2895="OUT",$D2895,0)</f>
      </c>
    </row>
    <row x14ac:dyDescent="0.25" r="2896" customHeight="1" ht="17.25">
      <c r="A2896" s="52"/>
      <c r="B2896" s="2"/>
      <c r="C2896" s="2"/>
      <c r="D2896" s="3"/>
      <c r="E2896" s="3"/>
      <c r="F2896" s="2"/>
      <c r="G2896" s="13">
        <f>IF($B2896="IN",$D2896,0)</f>
      </c>
      <c r="H2896" s="13">
        <f>IF($B2896="OUT",$D2896,0)</f>
      </c>
    </row>
    <row x14ac:dyDescent="0.25" r="2897" customHeight="1" ht="17.25">
      <c r="A2897" s="52"/>
      <c r="B2897" s="2"/>
      <c r="C2897" s="2"/>
      <c r="D2897" s="3"/>
      <c r="E2897" s="3"/>
      <c r="F2897" s="2"/>
      <c r="G2897" s="13">
        <f>IF($B2897="IN",$D2897,0)</f>
      </c>
      <c r="H2897" s="13">
        <f>IF($B2897="OUT",$D2897,0)</f>
      </c>
    </row>
    <row x14ac:dyDescent="0.25" r="2898" customHeight="1" ht="17.25">
      <c r="A2898" s="52"/>
      <c r="B2898" s="2"/>
      <c r="C2898" s="2"/>
      <c r="D2898" s="3"/>
      <c r="E2898" s="3"/>
      <c r="F2898" s="2"/>
      <c r="G2898" s="13">
        <f>IF($B2898="IN",$D2898,0)</f>
      </c>
      <c r="H2898" s="13">
        <f>IF($B2898="OUT",$D2898,0)</f>
      </c>
    </row>
    <row x14ac:dyDescent="0.25" r="2899" customHeight="1" ht="17.25">
      <c r="A2899" s="52"/>
      <c r="B2899" s="2"/>
      <c r="C2899" s="2"/>
      <c r="D2899" s="3"/>
      <c r="E2899" s="3"/>
      <c r="F2899" s="2"/>
      <c r="G2899" s="13">
        <f>IF($B2899="IN",$D2899,0)</f>
      </c>
      <c r="H2899" s="13">
        <f>IF($B2899="OUT",$D2899,0)</f>
      </c>
    </row>
    <row x14ac:dyDescent="0.25" r="2900" customHeight="1" ht="17.25">
      <c r="A2900" s="52"/>
      <c r="B2900" s="2"/>
      <c r="C2900" s="2"/>
      <c r="D2900" s="3"/>
      <c r="E2900" s="3"/>
      <c r="F2900" s="2"/>
      <c r="G2900" s="13">
        <f>IF($B2900="IN",$D2900,0)</f>
      </c>
      <c r="H2900" s="13">
        <f>IF($B2900="OUT",$D2900,0)</f>
      </c>
    </row>
    <row x14ac:dyDescent="0.25" r="2901" customHeight="1" ht="17.25">
      <c r="A2901" s="52"/>
      <c r="B2901" s="2"/>
      <c r="C2901" s="2"/>
      <c r="D2901" s="3"/>
      <c r="E2901" s="3"/>
      <c r="F2901" s="2"/>
      <c r="G2901" s="13">
        <f>IF($B2901="IN",$D2901,0)</f>
      </c>
      <c r="H2901" s="13">
        <f>IF($B2901="OUT",$D2901,0)</f>
      </c>
    </row>
    <row x14ac:dyDescent="0.25" r="2902" customHeight="1" ht="17.25">
      <c r="A2902" s="52"/>
      <c r="B2902" s="2"/>
      <c r="C2902" s="2"/>
      <c r="D2902" s="3"/>
      <c r="E2902" s="3"/>
      <c r="F2902" s="2"/>
      <c r="G2902" s="13">
        <f>IF($B2902="IN",$D2902,0)</f>
      </c>
      <c r="H2902" s="13">
        <f>IF($B2902="OUT",$D2902,0)</f>
      </c>
    </row>
    <row x14ac:dyDescent="0.25" r="2903" customHeight="1" ht="17.25">
      <c r="A2903" s="52"/>
      <c r="B2903" s="2"/>
      <c r="C2903" s="2"/>
      <c r="D2903" s="3"/>
      <c r="E2903" s="3"/>
      <c r="F2903" s="2"/>
      <c r="G2903" s="13">
        <f>IF($B2903="IN",$D2903,0)</f>
      </c>
      <c r="H2903" s="13">
        <f>IF($B2903="OUT",$D2903,0)</f>
      </c>
    </row>
    <row x14ac:dyDescent="0.25" r="2904" customHeight="1" ht="17.25">
      <c r="A2904" s="52"/>
      <c r="B2904" s="2"/>
      <c r="C2904" s="2"/>
      <c r="D2904" s="3"/>
      <c r="E2904" s="3"/>
      <c r="F2904" s="2"/>
      <c r="G2904" s="13">
        <f>IF($B2904="IN",$D2904,0)</f>
      </c>
      <c r="H2904" s="13">
        <f>IF($B2904="OUT",$D2904,0)</f>
      </c>
    </row>
    <row x14ac:dyDescent="0.25" r="2905" customHeight="1" ht="17.25">
      <c r="A2905" s="52"/>
      <c r="B2905" s="2"/>
      <c r="C2905" s="2"/>
      <c r="D2905" s="3"/>
      <c r="E2905" s="3"/>
      <c r="F2905" s="2"/>
      <c r="G2905" s="13">
        <f>IF($B2905="IN",$D2905,0)</f>
      </c>
      <c r="H2905" s="13">
        <f>IF($B2905="OUT",$D2905,0)</f>
      </c>
    </row>
    <row x14ac:dyDescent="0.25" r="2906" customHeight="1" ht="17.25">
      <c r="A2906" s="52"/>
      <c r="B2906" s="2"/>
      <c r="C2906" s="2"/>
      <c r="D2906" s="3"/>
      <c r="E2906" s="3"/>
      <c r="F2906" s="2"/>
      <c r="G2906" s="13">
        <f>IF($B2906="IN",$D2906,0)</f>
      </c>
      <c r="H2906" s="13">
        <f>IF($B2906="OUT",$D2906,0)</f>
      </c>
    </row>
    <row x14ac:dyDescent="0.25" r="2907" customHeight="1" ht="17.25">
      <c r="A2907" s="52"/>
      <c r="B2907" s="2"/>
      <c r="C2907" s="2"/>
      <c r="D2907" s="3"/>
      <c r="E2907" s="3"/>
      <c r="F2907" s="2"/>
      <c r="G2907" s="13">
        <f>IF($B2907="IN",$D2907,0)</f>
      </c>
      <c r="H2907" s="13">
        <f>IF($B2907="OUT",$D2907,0)</f>
      </c>
    </row>
    <row x14ac:dyDescent="0.25" r="2908" customHeight="1" ht="17.25">
      <c r="A2908" s="52"/>
      <c r="B2908" s="2"/>
      <c r="C2908" s="2"/>
      <c r="D2908" s="3"/>
      <c r="E2908" s="3"/>
      <c r="F2908" s="2"/>
      <c r="G2908" s="13">
        <f>IF($B2908="IN",$D2908,0)</f>
      </c>
      <c r="H2908" s="13">
        <f>IF($B2908="OUT",$D2908,0)</f>
      </c>
    </row>
    <row x14ac:dyDescent="0.25" r="2909" customHeight="1" ht="17.25">
      <c r="A2909" s="52"/>
      <c r="B2909" s="2"/>
      <c r="C2909" s="2"/>
      <c r="D2909" s="3"/>
      <c r="E2909" s="3"/>
      <c r="F2909" s="2"/>
      <c r="G2909" s="13">
        <f>IF($B2909="IN",$D2909,0)</f>
      </c>
      <c r="H2909" s="13">
        <f>IF($B2909="OUT",$D2909,0)</f>
      </c>
    </row>
    <row x14ac:dyDescent="0.25" r="2910" customHeight="1" ht="17.25">
      <c r="A2910" s="52"/>
      <c r="B2910" s="2"/>
      <c r="C2910" s="2"/>
      <c r="D2910" s="3"/>
      <c r="E2910" s="3"/>
      <c r="F2910" s="2"/>
      <c r="G2910" s="13">
        <f>IF($B2910="IN",$D2910,0)</f>
      </c>
      <c r="H2910" s="13">
        <f>IF($B2910="OUT",$D2910,0)</f>
      </c>
    </row>
    <row x14ac:dyDescent="0.25" r="2911" customHeight="1" ht="17.25">
      <c r="A2911" s="52"/>
      <c r="B2911" s="2"/>
      <c r="C2911" s="2"/>
      <c r="D2911" s="3"/>
      <c r="E2911" s="3"/>
      <c r="F2911" s="2"/>
      <c r="G2911" s="13">
        <f>IF($B2911="IN",$D2911,0)</f>
      </c>
      <c r="H2911" s="13">
        <f>IF($B2911="OUT",$D2911,0)</f>
      </c>
    </row>
    <row x14ac:dyDescent="0.25" r="2912" customHeight="1" ht="17.25">
      <c r="A2912" s="52"/>
      <c r="B2912" s="2"/>
      <c r="C2912" s="2"/>
      <c r="D2912" s="3"/>
      <c r="E2912" s="3"/>
      <c r="F2912" s="2"/>
      <c r="G2912" s="13">
        <f>IF($B2912="IN",$D2912,0)</f>
      </c>
      <c r="H2912" s="13">
        <f>IF($B2912="OUT",$D2912,0)</f>
      </c>
    </row>
    <row x14ac:dyDescent="0.25" r="2913" customHeight="1" ht="17.25">
      <c r="A2913" s="52"/>
      <c r="B2913" s="2"/>
      <c r="C2913" s="2"/>
      <c r="D2913" s="3"/>
      <c r="E2913" s="3"/>
      <c r="F2913" s="2"/>
      <c r="G2913" s="13">
        <f>IF($B2913="IN",$D2913,0)</f>
      </c>
      <c r="H2913" s="13">
        <f>IF($B2913="OUT",$D2913,0)</f>
      </c>
    </row>
    <row x14ac:dyDescent="0.25" r="2914" customHeight="1" ht="17.25">
      <c r="A2914" s="52"/>
      <c r="B2914" s="2"/>
      <c r="C2914" s="2"/>
      <c r="D2914" s="3"/>
      <c r="E2914" s="3"/>
      <c r="F2914" s="2"/>
      <c r="G2914" s="13">
        <f>IF($B2914="IN",$D2914,0)</f>
      </c>
      <c r="H2914" s="13">
        <f>IF($B2914="OUT",$D2914,0)</f>
      </c>
    </row>
    <row x14ac:dyDescent="0.25" r="2915" customHeight="1" ht="17.25">
      <c r="A2915" s="52"/>
      <c r="B2915" s="2"/>
      <c r="C2915" s="2"/>
      <c r="D2915" s="3"/>
      <c r="E2915" s="3"/>
      <c r="F2915" s="2"/>
      <c r="G2915" s="13">
        <f>IF($B2915="IN",$D2915,0)</f>
      </c>
      <c r="H2915" s="13">
        <f>IF($B2915="OUT",$D2915,0)</f>
      </c>
    </row>
    <row x14ac:dyDescent="0.25" r="2916" customHeight="1" ht="17.25">
      <c r="A2916" s="52"/>
      <c r="B2916" s="2"/>
      <c r="C2916" s="2"/>
      <c r="D2916" s="3"/>
      <c r="E2916" s="3"/>
      <c r="F2916" s="2"/>
      <c r="G2916" s="13">
        <f>IF($B2916="IN",$D2916,0)</f>
      </c>
      <c r="H2916" s="13">
        <f>IF($B2916="OUT",$D2916,0)</f>
      </c>
    </row>
    <row x14ac:dyDescent="0.25" r="2917" customHeight="1" ht="17.25">
      <c r="A2917" s="52"/>
      <c r="B2917" s="2"/>
      <c r="C2917" s="2"/>
      <c r="D2917" s="3"/>
      <c r="E2917" s="3"/>
      <c r="F2917" s="2"/>
      <c r="G2917" s="13">
        <f>IF($B2917="IN",$D2917,0)</f>
      </c>
      <c r="H2917" s="13">
        <f>IF($B2917="OUT",$D2917,0)</f>
      </c>
    </row>
    <row x14ac:dyDescent="0.25" r="2918" customHeight="1" ht="17.25">
      <c r="A2918" s="52"/>
      <c r="B2918" s="2"/>
      <c r="C2918" s="2"/>
      <c r="D2918" s="3"/>
      <c r="E2918" s="3"/>
      <c r="F2918" s="2"/>
      <c r="G2918" s="13">
        <f>IF($B2918="IN",$D2918,0)</f>
      </c>
      <c r="H2918" s="13">
        <f>IF($B2918="OUT",$D2918,0)</f>
      </c>
    </row>
    <row x14ac:dyDescent="0.25" r="2919" customHeight="1" ht="17.25">
      <c r="A2919" s="52"/>
      <c r="B2919" s="2"/>
      <c r="C2919" s="2"/>
      <c r="D2919" s="3"/>
      <c r="E2919" s="3"/>
      <c r="F2919" s="2"/>
      <c r="G2919" s="13">
        <f>IF($B2919="IN",$D2919,0)</f>
      </c>
      <c r="H2919" s="13">
        <f>IF($B2919="OUT",$D2919,0)</f>
      </c>
    </row>
    <row x14ac:dyDescent="0.25" r="2920" customHeight="1" ht="17.25">
      <c r="A2920" s="52"/>
      <c r="B2920" s="2"/>
      <c r="C2920" s="2"/>
      <c r="D2920" s="3"/>
      <c r="E2920" s="3"/>
      <c r="F2920" s="2"/>
      <c r="G2920" s="13">
        <f>IF($B2920="IN",$D2920,0)</f>
      </c>
      <c r="H2920" s="13">
        <f>IF($B2920="OUT",$D2920,0)</f>
      </c>
    </row>
    <row x14ac:dyDescent="0.25" r="2921" customHeight="1" ht="17.25">
      <c r="A2921" s="52"/>
      <c r="B2921" s="2"/>
      <c r="C2921" s="2"/>
      <c r="D2921" s="3"/>
      <c r="E2921" s="3"/>
      <c r="F2921" s="2"/>
      <c r="G2921" s="13">
        <f>IF($B2921="IN",$D2921,0)</f>
      </c>
      <c r="H2921" s="13">
        <f>IF($B2921="OUT",$D2921,0)</f>
      </c>
    </row>
    <row x14ac:dyDescent="0.25" r="2922" customHeight="1" ht="17.25">
      <c r="A2922" s="52"/>
      <c r="B2922" s="2"/>
      <c r="C2922" s="2"/>
      <c r="D2922" s="3"/>
      <c r="E2922" s="3"/>
      <c r="F2922" s="2"/>
      <c r="G2922" s="13">
        <f>IF($B2922="IN",$D2922,0)</f>
      </c>
      <c r="H2922" s="13">
        <f>IF($B2922="OUT",$D2922,0)</f>
      </c>
    </row>
    <row x14ac:dyDescent="0.25" r="2923" customHeight="1" ht="17.25">
      <c r="A2923" s="52"/>
      <c r="B2923" s="2"/>
      <c r="C2923" s="2"/>
      <c r="D2923" s="3"/>
      <c r="E2923" s="3"/>
      <c r="F2923" s="2"/>
      <c r="G2923" s="13">
        <f>IF($B2923="IN",$D2923,0)</f>
      </c>
      <c r="H2923" s="13">
        <f>IF($B2923="OUT",$D2923,0)</f>
      </c>
    </row>
    <row x14ac:dyDescent="0.25" r="2924" customHeight="1" ht="17.25">
      <c r="A2924" s="52"/>
      <c r="B2924" s="2"/>
      <c r="C2924" s="2"/>
      <c r="D2924" s="3"/>
      <c r="E2924" s="3"/>
      <c r="F2924" s="2"/>
      <c r="G2924" s="13">
        <f>IF($B2924="IN",$D2924,0)</f>
      </c>
      <c r="H2924" s="13">
        <f>IF($B2924="OUT",$D2924,0)</f>
      </c>
    </row>
    <row x14ac:dyDescent="0.25" r="2925" customHeight="1" ht="17.25">
      <c r="A2925" s="52"/>
      <c r="B2925" s="2"/>
      <c r="C2925" s="2"/>
      <c r="D2925" s="3"/>
      <c r="E2925" s="3"/>
      <c r="F2925" s="2"/>
      <c r="G2925" s="13">
        <f>IF($B2925="IN",$D2925,0)</f>
      </c>
      <c r="H2925" s="13">
        <f>IF($B2925="OUT",$D2925,0)</f>
      </c>
    </row>
    <row x14ac:dyDescent="0.25" r="2926" customHeight="1" ht="17.25">
      <c r="A2926" s="52"/>
      <c r="B2926" s="2"/>
      <c r="C2926" s="2"/>
      <c r="D2926" s="3"/>
      <c r="E2926" s="3"/>
      <c r="F2926" s="2"/>
      <c r="G2926" s="13">
        <f>IF($B2926="IN",$D2926,0)</f>
      </c>
      <c r="H2926" s="13">
        <f>IF($B2926="OUT",$D2926,0)</f>
      </c>
    </row>
    <row x14ac:dyDescent="0.25" r="2927" customHeight="1" ht="17.25">
      <c r="A2927" s="52"/>
      <c r="B2927" s="2"/>
      <c r="C2927" s="2"/>
      <c r="D2927" s="3"/>
      <c r="E2927" s="3"/>
      <c r="F2927" s="2"/>
      <c r="G2927" s="13">
        <f>IF($B2927="IN",$D2927,0)</f>
      </c>
      <c r="H2927" s="13">
        <f>IF($B2927="OUT",$D2927,0)</f>
      </c>
    </row>
    <row x14ac:dyDescent="0.25" r="2928" customHeight="1" ht="17.25">
      <c r="A2928" s="52"/>
      <c r="B2928" s="2"/>
      <c r="C2928" s="2"/>
      <c r="D2928" s="3"/>
      <c r="E2928" s="3"/>
      <c r="F2928" s="2"/>
      <c r="G2928" s="13">
        <f>IF($B2928="IN",$D2928,0)</f>
      </c>
      <c r="H2928" s="13">
        <f>IF($B2928="OUT",$D2928,0)</f>
      </c>
    </row>
    <row x14ac:dyDescent="0.25" r="2929" customHeight="1" ht="17.25">
      <c r="A2929" s="52"/>
      <c r="B2929" s="2"/>
      <c r="C2929" s="2"/>
      <c r="D2929" s="3"/>
      <c r="E2929" s="3"/>
      <c r="F2929" s="2"/>
      <c r="G2929" s="13">
        <f>IF($B2929="IN",$D2929,0)</f>
      </c>
      <c r="H2929" s="13">
        <f>IF($B2929="OUT",$D2929,0)</f>
      </c>
    </row>
    <row x14ac:dyDescent="0.25" r="2930" customHeight="1" ht="17.25">
      <c r="A2930" s="52"/>
      <c r="B2930" s="2"/>
      <c r="C2930" s="2"/>
      <c r="D2930" s="3"/>
      <c r="E2930" s="3"/>
      <c r="F2930" s="2"/>
      <c r="G2930" s="13">
        <f>IF($B2930="IN",$D2930,0)</f>
      </c>
      <c r="H2930" s="13">
        <f>IF($B2930="OUT",$D2930,0)</f>
      </c>
    </row>
    <row x14ac:dyDescent="0.25" r="2931" customHeight="1" ht="17.25">
      <c r="A2931" s="52"/>
      <c r="B2931" s="2"/>
      <c r="C2931" s="2"/>
      <c r="D2931" s="3"/>
      <c r="E2931" s="3"/>
      <c r="F2931" s="2"/>
      <c r="G2931" s="13">
        <f>IF($B2931="IN",$D2931,0)</f>
      </c>
      <c r="H2931" s="13">
        <f>IF($B2931="OUT",$D2931,0)</f>
      </c>
    </row>
    <row x14ac:dyDescent="0.25" r="2932" customHeight="1" ht="17.25">
      <c r="A2932" s="52"/>
      <c r="B2932" s="2"/>
      <c r="C2932" s="2"/>
      <c r="D2932" s="3"/>
      <c r="E2932" s="3"/>
      <c r="F2932" s="2"/>
      <c r="G2932" s="13">
        <f>IF($B2932="IN",$D2932,0)</f>
      </c>
      <c r="H2932" s="13">
        <f>IF($B2932="OUT",$D2932,0)</f>
      </c>
    </row>
    <row x14ac:dyDescent="0.25" r="2933" customHeight="1" ht="17.25">
      <c r="A2933" s="52"/>
      <c r="B2933" s="2"/>
      <c r="C2933" s="2"/>
      <c r="D2933" s="3"/>
      <c r="E2933" s="3"/>
      <c r="F2933" s="2"/>
      <c r="G2933" s="13">
        <f>IF($B2933="IN",$D2933,0)</f>
      </c>
      <c r="H2933" s="13">
        <f>IF($B2933="OUT",$D2933,0)</f>
      </c>
    </row>
    <row x14ac:dyDescent="0.25" r="2934" customHeight="1" ht="17.25">
      <c r="A2934" s="52"/>
      <c r="B2934" s="2"/>
      <c r="C2934" s="2"/>
      <c r="D2934" s="3"/>
      <c r="E2934" s="3"/>
      <c r="F2934" s="2"/>
      <c r="G2934" s="13">
        <f>IF($B2934="IN",$D2934,0)</f>
      </c>
      <c r="H2934" s="13">
        <f>IF($B2934="OUT",$D2934,0)</f>
      </c>
    </row>
    <row x14ac:dyDescent="0.25" r="2935" customHeight="1" ht="17.25">
      <c r="A2935" s="52"/>
      <c r="B2935" s="2"/>
      <c r="C2935" s="2"/>
      <c r="D2935" s="3"/>
      <c r="E2935" s="3"/>
      <c r="F2935" s="2"/>
      <c r="G2935" s="13">
        <f>IF($B2935="IN",$D2935,0)</f>
      </c>
      <c r="H2935" s="13">
        <f>IF($B2935="OUT",$D2935,0)</f>
      </c>
    </row>
    <row x14ac:dyDescent="0.25" r="2936" customHeight="1" ht="17.25">
      <c r="A2936" s="52"/>
      <c r="B2936" s="2"/>
      <c r="C2936" s="2"/>
      <c r="D2936" s="3"/>
      <c r="E2936" s="3"/>
      <c r="F2936" s="2"/>
      <c r="G2936" s="13">
        <f>IF($B2936="IN",$D2936,0)</f>
      </c>
      <c r="H2936" s="13">
        <f>IF($B2936="OUT",$D2936,0)</f>
      </c>
    </row>
    <row x14ac:dyDescent="0.25" r="2937" customHeight="1" ht="17.25">
      <c r="A2937" s="52"/>
      <c r="B2937" s="2"/>
      <c r="C2937" s="2"/>
      <c r="D2937" s="3"/>
      <c r="E2937" s="3"/>
      <c r="F2937" s="2"/>
      <c r="G2937" s="13">
        <f>IF($B2937="IN",$D2937,0)</f>
      </c>
      <c r="H2937" s="13">
        <f>IF($B2937="OUT",$D2937,0)</f>
      </c>
    </row>
    <row x14ac:dyDescent="0.25" r="2938" customHeight="1" ht="17.25">
      <c r="A2938" s="52"/>
      <c r="B2938" s="2"/>
      <c r="C2938" s="2"/>
      <c r="D2938" s="3"/>
      <c r="E2938" s="3"/>
      <c r="F2938" s="2"/>
      <c r="G2938" s="13">
        <f>IF($B2938="IN",$D2938,0)</f>
      </c>
      <c r="H2938" s="13">
        <f>IF($B2938="OUT",$D2938,0)</f>
      </c>
    </row>
    <row x14ac:dyDescent="0.25" r="2939" customHeight="1" ht="17.25">
      <c r="A2939" s="52"/>
      <c r="B2939" s="2"/>
      <c r="C2939" s="2"/>
      <c r="D2939" s="3"/>
      <c r="E2939" s="3"/>
      <c r="F2939" s="2"/>
      <c r="G2939" s="13">
        <f>IF($B2939="IN",$D2939,0)</f>
      </c>
      <c r="H2939" s="13">
        <f>IF($B2939="OUT",$D2939,0)</f>
      </c>
    </row>
    <row x14ac:dyDescent="0.25" r="2940" customHeight="1" ht="17.25">
      <c r="A2940" s="52"/>
      <c r="B2940" s="2"/>
      <c r="C2940" s="2"/>
      <c r="D2940" s="3"/>
      <c r="E2940" s="3"/>
      <c r="F2940" s="2"/>
      <c r="G2940" s="13">
        <f>IF($B2940="IN",$D2940,0)</f>
      </c>
      <c r="H2940" s="13">
        <f>IF($B2940="OUT",$D2940,0)</f>
      </c>
    </row>
    <row x14ac:dyDescent="0.25" r="2941" customHeight="1" ht="17.25">
      <c r="A2941" s="52"/>
      <c r="B2941" s="2"/>
      <c r="C2941" s="2"/>
      <c r="D2941" s="3"/>
      <c r="E2941" s="3"/>
      <c r="F2941" s="2"/>
      <c r="G2941" s="13">
        <f>IF($B2941="IN",$D2941,0)</f>
      </c>
      <c r="H2941" s="13">
        <f>IF($B2941="OUT",$D2941,0)</f>
      </c>
    </row>
    <row x14ac:dyDescent="0.25" r="2942" customHeight="1" ht="17.25">
      <c r="A2942" s="52"/>
      <c r="B2942" s="2"/>
      <c r="C2942" s="2"/>
      <c r="D2942" s="3"/>
      <c r="E2942" s="3"/>
      <c r="F2942" s="2"/>
      <c r="G2942" s="13">
        <f>IF($B2942="IN",$D2942,0)</f>
      </c>
      <c r="H2942" s="13">
        <f>IF($B2942="OUT",$D2942,0)</f>
      </c>
    </row>
    <row x14ac:dyDescent="0.25" r="2943" customHeight="1" ht="17.25">
      <c r="A2943" s="52"/>
      <c r="B2943" s="2"/>
      <c r="C2943" s="2"/>
      <c r="D2943" s="3"/>
      <c r="E2943" s="3"/>
      <c r="F2943" s="2"/>
      <c r="G2943" s="13">
        <f>IF($B2943="IN",$D2943,0)</f>
      </c>
      <c r="H2943" s="13">
        <f>IF($B2943="OUT",$D2943,0)</f>
      </c>
    </row>
    <row x14ac:dyDescent="0.25" r="2944" customHeight="1" ht="17.25">
      <c r="A2944" s="52"/>
      <c r="B2944" s="2"/>
      <c r="C2944" s="2"/>
      <c r="D2944" s="3"/>
      <c r="E2944" s="3"/>
      <c r="F2944" s="2"/>
      <c r="G2944" s="13">
        <f>IF($B2944="IN",$D2944,0)</f>
      </c>
      <c r="H2944" s="13">
        <f>IF($B2944="OUT",$D2944,0)</f>
      </c>
    </row>
    <row x14ac:dyDescent="0.25" r="2945" customHeight="1" ht="17.25">
      <c r="A2945" s="52"/>
      <c r="B2945" s="2"/>
      <c r="C2945" s="2"/>
      <c r="D2945" s="3"/>
      <c r="E2945" s="3"/>
      <c r="F2945" s="2"/>
      <c r="G2945" s="13">
        <f>IF($B2945="IN",$D2945,0)</f>
      </c>
      <c r="H2945" s="13">
        <f>IF($B2945="OUT",$D2945,0)</f>
      </c>
    </row>
    <row x14ac:dyDescent="0.25" r="2946" customHeight="1" ht="17.25">
      <c r="A2946" s="52"/>
      <c r="B2946" s="2"/>
      <c r="C2946" s="2"/>
      <c r="D2946" s="3"/>
      <c r="E2946" s="3"/>
      <c r="F2946" s="2"/>
      <c r="G2946" s="13">
        <f>IF($B2946="IN",$D2946,0)</f>
      </c>
      <c r="H2946" s="13">
        <f>IF($B2946="OUT",$D2946,0)</f>
      </c>
    </row>
    <row x14ac:dyDescent="0.25" r="2947" customHeight="1" ht="17.25">
      <c r="A2947" s="52"/>
      <c r="B2947" s="2"/>
      <c r="C2947" s="2"/>
      <c r="D2947" s="3"/>
      <c r="E2947" s="3"/>
      <c r="F2947" s="2"/>
      <c r="G2947" s="13">
        <f>IF($B2947="IN",$D2947,0)</f>
      </c>
      <c r="H2947" s="13">
        <f>IF($B2947="OUT",$D2947,0)</f>
      </c>
    </row>
    <row x14ac:dyDescent="0.25" r="2948" customHeight="1" ht="17.25">
      <c r="A2948" s="52"/>
      <c r="B2948" s="2"/>
      <c r="C2948" s="2"/>
      <c r="D2948" s="3"/>
      <c r="E2948" s="3"/>
      <c r="F2948" s="2"/>
      <c r="G2948" s="13">
        <f>IF($B2948="IN",$D2948,0)</f>
      </c>
      <c r="H2948" s="13">
        <f>IF($B2948="OUT",$D2948,0)</f>
      </c>
    </row>
    <row x14ac:dyDescent="0.25" r="2949" customHeight="1" ht="17.25">
      <c r="A2949" s="52"/>
      <c r="B2949" s="2"/>
      <c r="C2949" s="2"/>
      <c r="D2949" s="3"/>
      <c r="E2949" s="3"/>
      <c r="F2949" s="2"/>
      <c r="G2949" s="13">
        <f>IF($B2949="IN",$D2949,0)</f>
      </c>
      <c r="H2949" s="13">
        <f>IF($B2949="OUT",$D2949,0)</f>
      </c>
    </row>
    <row x14ac:dyDescent="0.25" r="2950" customHeight="1" ht="17.25">
      <c r="A2950" s="52"/>
      <c r="B2950" s="2"/>
      <c r="C2950" s="2"/>
      <c r="D2950" s="3"/>
      <c r="E2950" s="3"/>
      <c r="F2950" s="2"/>
      <c r="G2950" s="13">
        <f>IF($B2950="IN",$D2950,0)</f>
      </c>
      <c r="H2950" s="13">
        <f>IF($B2950="OUT",$D2950,0)</f>
      </c>
    </row>
    <row x14ac:dyDescent="0.25" r="2951" customHeight="1" ht="17.25">
      <c r="A2951" s="52"/>
      <c r="B2951" s="2"/>
      <c r="C2951" s="2"/>
      <c r="D2951" s="3"/>
      <c r="E2951" s="3"/>
      <c r="F2951" s="2"/>
      <c r="G2951" s="13">
        <f>IF($B2951="IN",$D2951,0)</f>
      </c>
      <c r="H2951" s="13">
        <f>IF($B2951="OUT",$D2951,0)</f>
      </c>
    </row>
    <row x14ac:dyDescent="0.25" r="2952" customHeight="1" ht="17.25">
      <c r="A2952" s="52"/>
      <c r="B2952" s="2"/>
      <c r="C2952" s="2"/>
      <c r="D2952" s="3"/>
      <c r="E2952" s="3"/>
      <c r="F2952" s="2"/>
      <c r="G2952" s="13">
        <f>IF($B2952="IN",$D2952,0)</f>
      </c>
      <c r="H2952" s="13">
        <f>IF($B2952="OUT",$D2952,0)</f>
      </c>
    </row>
    <row x14ac:dyDescent="0.25" r="2953" customHeight="1" ht="17.25">
      <c r="A2953" s="52"/>
      <c r="B2953" s="2"/>
      <c r="C2953" s="2"/>
      <c r="D2953" s="3"/>
      <c r="E2953" s="3"/>
      <c r="F2953" s="2"/>
      <c r="G2953" s="13">
        <f>IF($B2953="IN",$D2953,0)</f>
      </c>
      <c r="H2953" s="13">
        <f>IF($B2953="OUT",$D2953,0)</f>
      </c>
    </row>
    <row x14ac:dyDescent="0.25" r="2954" customHeight="1" ht="17.25">
      <c r="A2954" s="52"/>
      <c r="B2954" s="2"/>
      <c r="C2954" s="2"/>
      <c r="D2954" s="3"/>
      <c r="E2954" s="3"/>
      <c r="F2954" s="2"/>
      <c r="G2954" s="13">
        <f>IF($B2954="IN",$D2954,0)</f>
      </c>
      <c r="H2954" s="13">
        <f>IF($B2954="OUT",$D2954,0)</f>
      </c>
    </row>
    <row x14ac:dyDescent="0.25" r="2955" customHeight="1" ht="17.25">
      <c r="A2955" s="52"/>
      <c r="B2955" s="2"/>
      <c r="C2955" s="2"/>
      <c r="D2955" s="3"/>
      <c r="E2955" s="3"/>
      <c r="F2955" s="2"/>
      <c r="G2955" s="13">
        <f>IF($B2955="IN",$D2955,0)</f>
      </c>
      <c r="H2955" s="13">
        <f>IF($B2955="OUT",$D2955,0)</f>
      </c>
    </row>
    <row x14ac:dyDescent="0.25" r="2956" customHeight="1" ht="17.25">
      <c r="A2956" s="52"/>
      <c r="B2956" s="2"/>
      <c r="C2956" s="2"/>
      <c r="D2956" s="3"/>
      <c r="E2956" s="3"/>
      <c r="F2956" s="2"/>
      <c r="G2956" s="13">
        <f>IF($B2956="IN",$D2956,0)</f>
      </c>
      <c r="H2956" s="13">
        <f>IF($B2956="OUT",$D2956,0)</f>
      </c>
    </row>
    <row x14ac:dyDescent="0.25" r="2957" customHeight="1" ht="17.25">
      <c r="A2957" s="52"/>
      <c r="B2957" s="2"/>
      <c r="C2957" s="2"/>
      <c r="D2957" s="3"/>
      <c r="E2957" s="3"/>
      <c r="F2957" s="2"/>
      <c r="G2957" s="13">
        <f>IF($B2957="IN",$D2957,0)</f>
      </c>
      <c r="H2957" s="13">
        <f>IF($B2957="OUT",$D2957,0)</f>
      </c>
    </row>
    <row x14ac:dyDescent="0.25" r="2958" customHeight="1" ht="17.25">
      <c r="A2958" s="52"/>
      <c r="B2958" s="2"/>
      <c r="C2958" s="2"/>
      <c r="D2958" s="3"/>
      <c r="E2958" s="3"/>
      <c r="F2958" s="2"/>
      <c r="G2958" s="13">
        <f>IF($B2958="IN",$D2958,0)</f>
      </c>
      <c r="H2958" s="13">
        <f>IF($B2958="OUT",$D2958,0)</f>
      </c>
    </row>
    <row x14ac:dyDescent="0.25" r="2959" customHeight="1" ht="17.25">
      <c r="A2959" s="52"/>
      <c r="B2959" s="2"/>
      <c r="C2959" s="2"/>
      <c r="D2959" s="3"/>
      <c r="E2959" s="3"/>
      <c r="F2959" s="2"/>
      <c r="G2959" s="13">
        <f>IF($B2959="IN",$D2959,0)</f>
      </c>
      <c r="H2959" s="13">
        <f>IF($B2959="OUT",$D2959,0)</f>
      </c>
    </row>
    <row x14ac:dyDescent="0.25" r="2960" customHeight="1" ht="17.25">
      <c r="A2960" s="52"/>
      <c r="B2960" s="2"/>
      <c r="C2960" s="2"/>
      <c r="D2960" s="3"/>
      <c r="E2960" s="3"/>
      <c r="F2960" s="2"/>
      <c r="G2960" s="13">
        <f>IF($B2960="IN",$D2960,0)</f>
      </c>
      <c r="H2960" s="13">
        <f>IF($B2960="OUT",$D2960,0)</f>
      </c>
    </row>
    <row x14ac:dyDescent="0.25" r="2961" customHeight="1" ht="17.25">
      <c r="A2961" s="52"/>
      <c r="B2961" s="2"/>
      <c r="C2961" s="2"/>
      <c r="D2961" s="3"/>
      <c r="E2961" s="3"/>
      <c r="F2961" s="2"/>
      <c r="G2961" s="13">
        <f>IF($B2961="IN",$D2961,0)</f>
      </c>
      <c r="H2961" s="13">
        <f>IF($B2961="OUT",$D2961,0)</f>
      </c>
    </row>
    <row x14ac:dyDescent="0.25" r="2962" customHeight="1" ht="17.25">
      <c r="A2962" s="52"/>
      <c r="B2962" s="2"/>
      <c r="C2962" s="2"/>
      <c r="D2962" s="3"/>
      <c r="E2962" s="3"/>
      <c r="F2962" s="2"/>
      <c r="G2962" s="13">
        <f>IF($B2962="IN",$D2962,0)</f>
      </c>
      <c r="H2962" s="13">
        <f>IF($B2962="OUT",$D2962,0)</f>
      </c>
    </row>
    <row x14ac:dyDescent="0.25" r="2963" customHeight="1" ht="17.25">
      <c r="A2963" s="52"/>
      <c r="B2963" s="2"/>
      <c r="C2963" s="2"/>
      <c r="D2963" s="3"/>
      <c r="E2963" s="3"/>
      <c r="F2963" s="2"/>
      <c r="G2963" s="13">
        <f>IF($B2963="IN",$D2963,0)</f>
      </c>
      <c r="H2963" s="13">
        <f>IF($B2963="OUT",$D2963,0)</f>
      </c>
    </row>
    <row x14ac:dyDescent="0.25" r="2964" customHeight="1" ht="17.25">
      <c r="A2964" s="52"/>
      <c r="B2964" s="2"/>
      <c r="C2964" s="2"/>
      <c r="D2964" s="3"/>
      <c r="E2964" s="3"/>
      <c r="F2964" s="2"/>
      <c r="G2964" s="13">
        <f>IF($B2964="IN",$D2964,0)</f>
      </c>
      <c r="H2964" s="13">
        <f>IF($B2964="OUT",$D2964,0)</f>
      </c>
    </row>
    <row x14ac:dyDescent="0.25" r="2965" customHeight="1" ht="17.25">
      <c r="A2965" s="52"/>
      <c r="B2965" s="2"/>
      <c r="C2965" s="2"/>
      <c r="D2965" s="3"/>
      <c r="E2965" s="3"/>
      <c r="F2965" s="2"/>
      <c r="G2965" s="13">
        <f>IF($B2965="IN",$D2965,0)</f>
      </c>
      <c r="H2965" s="13">
        <f>IF($B2965="OUT",$D2965,0)</f>
      </c>
    </row>
    <row x14ac:dyDescent="0.25" r="2966" customHeight="1" ht="17.25">
      <c r="A2966" s="52"/>
      <c r="B2966" s="2"/>
      <c r="C2966" s="2"/>
      <c r="D2966" s="3"/>
      <c r="E2966" s="3"/>
      <c r="F2966" s="2"/>
      <c r="G2966" s="13">
        <f>IF($B2966="IN",$D2966,0)</f>
      </c>
      <c r="H2966" s="13">
        <f>IF($B2966="OUT",$D2966,0)</f>
      </c>
    </row>
    <row x14ac:dyDescent="0.25" r="2967" customHeight="1" ht="17.25">
      <c r="A2967" s="52"/>
      <c r="B2967" s="2"/>
      <c r="C2967" s="2"/>
      <c r="D2967" s="3"/>
      <c r="E2967" s="3"/>
      <c r="F2967" s="2"/>
      <c r="G2967" s="13">
        <f>IF($B2967="IN",$D2967,0)</f>
      </c>
      <c r="H2967" s="13">
        <f>IF($B2967="OUT",$D2967,0)</f>
      </c>
    </row>
    <row x14ac:dyDescent="0.25" r="2968" customHeight="1" ht="17.25">
      <c r="A2968" s="52"/>
      <c r="B2968" s="2"/>
      <c r="C2968" s="2"/>
      <c r="D2968" s="3"/>
      <c r="E2968" s="3"/>
      <c r="F2968" s="2"/>
      <c r="G2968" s="13">
        <f>IF($B2968="IN",$D2968,0)</f>
      </c>
      <c r="H2968" s="13">
        <f>IF($B2968="OUT",$D2968,0)</f>
      </c>
    </row>
    <row x14ac:dyDescent="0.25" r="2969" customHeight="1" ht="17.25">
      <c r="A2969" s="52"/>
      <c r="B2969" s="2"/>
      <c r="C2969" s="2"/>
      <c r="D2969" s="3"/>
      <c r="E2969" s="3"/>
      <c r="F2969" s="2"/>
      <c r="G2969" s="13">
        <f>IF($B2969="IN",$D2969,0)</f>
      </c>
      <c r="H2969" s="13">
        <f>IF($B2969="OUT",$D2969,0)</f>
      </c>
    </row>
    <row x14ac:dyDescent="0.25" r="2970" customHeight="1" ht="17.25">
      <c r="A2970" s="52"/>
      <c r="B2970" s="2"/>
      <c r="C2970" s="2"/>
      <c r="D2970" s="3"/>
      <c r="E2970" s="3"/>
      <c r="F2970" s="2"/>
      <c r="G2970" s="13">
        <f>IF($B2970="IN",$D2970,0)</f>
      </c>
      <c r="H2970" s="13">
        <f>IF($B2970="OUT",$D2970,0)</f>
      </c>
    </row>
    <row x14ac:dyDescent="0.25" r="2971" customHeight="1" ht="17.25">
      <c r="A2971" s="52"/>
      <c r="B2971" s="2"/>
      <c r="C2971" s="2"/>
      <c r="D2971" s="3"/>
      <c r="E2971" s="3"/>
      <c r="F2971" s="2"/>
      <c r="G2971" s="13">
        <f>IF($B2971="IN",$D2971,0)</f>
      </c>
      <c r="H2971" s="13">
        <f>IF($B2971="OUT",$D2971,0)</f>
      </c>
    </row>
    <row x14ac:dyDescent="0.25" r="2972" customHeight="1" ht="17.25">
      <c r="A2972" s="52"/>
      <c r="B2972" s="2"/>
      <c r="C2972" s="2"/>
      <c r="D2972" s="3"/>
      <c r="E2972" s="3"/>
      <c r="F2972" s="2"/>
      <c r="G2972" s="13">
        <f>IF($B2972="IN",$D2972,0)</f>
      </c>
      <c r="H2972" s="13">
        <f>IF($B2972="OUT",$D2972,0)</f>
      </c>
    </row>
    <row x14ac:dyDescent="0.25" r="2973" customHeight="1" ht="17.25">
      <c r="A2973" s="52"/>
      <c r="B2973" s="2"/>
      <c r="C2973" s="2"/>
      <c r="D2973" s="3"/>
      <c r="E2973" s="3"/>
      <c r="F2973" s="2"/>
      <c r="G2973" s="13">
        <f>IF($B2973="IN",$D2973,0)</f>
      </c>
      <c r="H2973" s="13">
        <f>IF($B2973="OUT",$D2973,0)</f>
      </c>
    </row>
    <row x14ac:dyDescent="0.25" r="2974" customHeight="1" ht="17.25">
      <c r="A2974" s="52"/>
      <c r="B2974" s="2"/>
      <c r="C2974" s="2"/>
      <c r="D2974" s="3"/>
      <c r="E2974" s="3"/>
      <c r="F2974" s="2"/>
      <c r="G2974" s="13">
        <f>IF($B2974="IN",$D2974,0)</f>
      </c>
      <c r="H2974" s="13">
        <f>IF($B2974="OUT",$D2974,0)</f>
      </c>
    </row>
    <row x14ac:dyDescent="0.25" r="2975" customHeight="1" ht="17.25">
      <c r="A2975" s="52"/>
      <c r="B2975" s="2"/>
      <c r="C2975" s="2"/>
      <c r="D2975" s="3"/>
      <c r="E2975" s="3"/>
      <c r="F2975" s="2"/>
      <c r="G2975" s="13">
        <f>IF($B2975="IN",$D2975,0)</f>
      </c>
      <c r="H2975" s="13">
        <f>IF($B2975="OUT",$D2975,0)</f>
      </c>
    </row>
    <row x14ac:dyDescent="0.25" r="2976" customHeight="1" ht="17.25">
      <c r="A2976" s="52"/>
      <c r="B2976" s="2"/>
      <c r="C2976" s="2"/>
      <c r="D2976" s="3"/>
      <c r="E2976" s="3"/>
      <c r="F2976" s="2"/>
      <c r="G2976" s="13">
        <f>IF($B2976="IN",$D2976,0)</f>
      </c>
      <c r="H2976" s="13">
        <f>IF($B2976="OUT",$D2976,0)</f>
      </c>
    </row>
    <row x14ac:dyDescent="0.25" r="2977" customHeight="1" ht="17.25">
      <c r="A2977" s="52"/>
      <c r="B2977" s="2"/>
      <c r="C2977" s="2"/>
      <c r="D2977" s="3"/>
      <c r="E2977" s="3"/>
      <c r="F2977" s="2"/>
      <c r="G2977" s="13">
        <f>IF($B2977="IN",$D2977,0)</f>
      </c>
      <c r="H2977" s="13">
        <f>IF($B2977="OUT",$D2977,0)</f>
      </c>
    </row>
    <row x14ac:dyDescent="0.25" r="2978" customHeight="1" ht="17.25">
      <c r="A2978" s="52"/>
      <c r="B2978" s="2"/>
      <c r="C2978" s="2"/>
      <c r="D2978" s="3"/>
      <c r="E2978" s="3"/>
      <c r="F2978" s="2"/>
      <c r="G2978" s="13">
        <f>IF($B2978="IN",$D2978,0)</f>
      </c>
      <c r="H2978" s="13">
        <f>IF($B2978="OUT",$D2978,0)</f>
      </c>
    </row>
    <row x14ac:dyDescent="0.25" r="2979" customHeight="1" ht="17.25">
      <c r="A2979" s="52"/>
      <c r="B2979" s="2"/>
      <c r="C2979" s="2"/>
      <c r="D2979" s="3"/>
      <c r="E2979" s="3"/>
      <c r="F2979" s="2"/>
      <c r="G2979" s="13">
        <f>IF($B2979="IN",$D2979,0)</f>
      </c>
      <c r="H2979" s="13">
        <f>IF($B2979="OUT",$D2979,0)</f>
      </c>
    </row>
    <row x14ac:dyDescent="0.25" r="2980" customHeight="1" ht="17.25">
      <c r="A2980" s="52"/>
      <c r="B2980" s="2"/>
      <c r="C2980" s="2"/>
      <c r="D2980" s="3"/>
      <c r="E2980" s="3"/>
      <c r="F2980" s="2"/>
      <c r="G2980" s="13">
        <f>IF($B2980="IN",$D2980,0)</f>
      </c>
      <c r="H2980" s="13">
        <f>IF($B2980="OUT",$D2980,0)</f>
      </c>
    </row>
    <row x14ac:dyDescent="0.25" r="2981" customHeight="1" ht="17.25">
      <c r="A2981" s="52"/>
      <c r="B2981" s="2"/>
      <c r="C2981" s="2"/>
      <c r="D2981" s="3"/>
      <c r="E2981" s="3"/>
      <c r="F2981" s="2"/>
      <c r="G2981" s="13">
        <f>IF($B2981="IN",$D2981,0)</f>
      </c>
      <c r="H2981" s="13">
        <f>IF($B2981="OUT",$D2981,0)</f>
      </c>
    </row>
    <row x14ac:dyDescent="0.25" r="2982" customHeight="1" ht="17.25">
      <c r="A2982" s="52"/>
      <c r="B2982" s="2"/>
      <c r="C2982" s="2"/>
      <c r="D2982" s="3"/>
      <c r="E2982" s="3"/>
      <c r="F2982" s="2"/>
      <c r="G2982" s="13">
        <f>IF($B2982="IN",$D2982,0)</f>
      </c>
      <c r="H2982" s="13">
        <f>IF($B2982="OUT",$D2982,0)</f>
      </c>
    </row>
    <row x14ac:dyDescent="0.25" r="2983" customHeight="1" ht="17.25">
      <c r="A2983" s="52"/>
      <c r="B2983" s="2"/>
      <c r="C2983" s="2"/>
      <c r="D2983" s="3"/>
      <c r="E2983" s="3"/>
      <c r="F2983" s="2"/>
      <c r="G2983" s="13">
        <f>IF($B2983="IN",$D2983,0)</f>
      </c>
      <c r="H2983" s="13">
        <f>IF($B2983="OUT",$D2983,0)</f>
      </c>
    </row>
    <row x14ac:dyDescent="0.25" r="2984" customHeight="1" ht="17.25">
      <c r="A2984" s="52"/>
      <c r="B2984" s="2"/>
      <c r="C2984" s="2"/>
      <c r="D2984" s="3"/>
      <c r="E2984" s="3"/>
      <c r="F2984" s="2"/>
      <c r="G2984" s="13">
        <f>IF($B2984="IN",$D2984,0)</f>
      </c>
      <c r="H2984" s="13">
        <f>IF($B2984="OUT",$D2984,0)</f>
      </c>
    </row>
    <row x14ac:dyDescent="0.25" r="2985" customHeight="1" ht="17.25">
      <c r="A2985" s="52"/>
      <c r="B2985" s="2"/>
      <c r="C2985" s="2"/>
      <c r="D2985" s="3"/>
      <c r="E2985" s="3"/>
      <c r="F2985" s="2"/>
      <c r="G2985" s="13">
        <f>IF($B2985="IN",$D2985,0)</f>
      </c>
      <c r="H2985" s="13">
        <f>IF($B2985="OUT",$D2985,0)</f>
      </c>
    </row>
    <row x14ac:dyDescent="0.25" r="2986" customHeight="1" ht="17.25">
      <c r="A2986" s="52"/>
      <c r="B2986" s="2"/>
      <c r="C2986" s="2"/>
      <c r="D2986" s="3"/>
      <c r="E2986" s="3"/>
      <c r="F2986" s="2"/>
      <c r="G2986" s="13">
        <f>IF($B2986="IN",$D2986,0)</f>
      </c>
      <c r="H2986" s="13">
        <f>IF($B2986="OUT",$D2986,0)</f>
      </c>
    </row>
    <row x14ac:dyDescent="0.25" r="2987" customHeight="1" ht="17.25">
      <c r="A2987" s="52"/>
      <c r="B2987" s="2"/>
      <c r="C2987" s="2"/>
      <c r="D2987" s="3"/>
      <c r="E2987" s="3"/>
      <c r="F2987" s="2"/>
      <c r="G2987" s="13">
        <f>IF($B2987="IN",$D2987,0)</f>
      </c>
      <c r="H2987" s="13">
        <f>IF($B2987="OUT",$D2987,0)</f>
      </c>
    </row>
    <row x14ac:dyDescent="0.25" r="2988" customHeight="1" ht="17.25">
      <c r="A2988" s="52"/>
      <c r="B2988" s="2"/>
      <c r="C2988" s="2"/>
      <c r="D2988" s="3"/>
      <c r="E2988" s="3"/>
      <c r="F2988" s="2"/>
      <c r="G2988" s="13">
        <f>IF($B2988="IN",$D2988,0)</f>
      </c>
      <c r="H2988" s="13">
        <f>IF($B2988="OUT",$D2988,0)</f>
      </c>
    </row>
    <row x14ac:dyDescent="0.25" r="2989" customHeight="1" ht="17.25">
      <c r="A2989" s="52"/>
      <c r="B2989" s="2"/>
      <c r="C2989" s="2"/>
      <c r="D2989" s="3"/>
      <c r="E2989" s="3"/>
      <c r="F2989" s="2"/>
      <c r="G2989" s="13">
        <f>IF($B2989="IN",$D2989,0)</f>
      </c>
      <c r="H2989" s="13">
        <f>IF($B2989="OUT",$D2989,0)</f>
      </c>
    </row>
    <row x14ac:dyDescent="0.25" r="2990" customHeight="1" ht="17.25">
      <c r="A2990" s="52"/>
      <c r="B2990" s="2"/>
      <c r="C2990" s="2"/>
      <c r="D2990" s="3"/>
      <c r="E2990" s="3"/>
      <c r="F2990" s="2"/>
      <c r="G2990" s="13">
        <f>IF($B2990="IN",$D2990,0)</f>
      </c>
      <c r="H2990" s="13">
        <f>IF($B2990="OUT",$D2990,0)</f>
      </c>
    </row>
    <row x14ac:dyDescent="0.25" r="2991" customHeight="1" ht="17.25">
      <c r="A2991" s="52"/>
      <c r="B2991" s="2"/>
      <c r="C2991" s="2"/>
      <c r="D2991" s="3"/>
      <c r="E2991" s="3"/>
      <c r="F2991" s="2"/>
      <c r="G2991" s="13">
        <f>IF($B2991="IN",$D2991,0)</f>
      </c>
      <c r="H2991" s="13">
        <f>IF($B2991="OUT",$D2991,0)</f>
      </c>
    </row>
    <row x14ac:dyDescent="0.25" r="2992" customHeight="1" ht="17.25">
      <c r="A2992" s="52"/>
      <c r="B2992" s="2"/>
      <c r="C2992" s="2"/>
      <c r="D2992" s="3"/>
      <c r="E2992" s="3"/>
      <c r="F2992" s="2"/>
      <c r="G2992" s="13">
        <f>IF($B2992="IN",$D2992,0)</f>
      </c>
      <c r="H2992" s="13">
        <f>IF($B2992="OUT",$D2992,0)</f>
      </c>
    </row>
    <row x14ac:dyDescent="0.25" r="2993" customHeight="1" ht="17.25">
      <c r="A2993" s="52"/>
      <c r="B2993" s="2"/>
      <c r="C2993" s="2"/>
      <c r="D2993" s="3"/>
      <c r="E2993" s="3"/>
      <c r="F2993" s="2"/>
      <c r="G2993" s="13">
        <f>IF($B2993="IN",$D2993,0)</f>
      </c>
      <c r="H2993" s="13">
        <f>IF($B2993="OUT",$D2993,0)</f>
      </c>
    </row>
    <row x14ac:dyDescent="0.25" r="2994" customHeight="1" ht="17.25">
      <c r="A2994" s="52"/>
      <c r="B2994" s="2"/>
      <c r="C2994" s="2"/>
      <c r="D2994" s="3"/>
      <c r="E2994" s="3"/>
      <c r="F2994" s="2"/>
      <c r="G2994" s="13">
        <f>IF($B2994="IN",$D2994,0)</f>
      </c>
      <c r="H2994" s="13">
        <f>IF($B2994="OUT",$D2994,0)</f>
      </c>
    </row>
    <row x14ac:dyDescent="0.25" r="2995" customHeight="1" ht="17.25">
      <c r="A2995" s="52"/>
      <c r="B2995" s="2"/>
      <c r="C2995" s="2"/>
      <c r="D2995" s="3"/>
      <c r="E2995" s="3"/>
      <c r="F2995" s="2"/>
      <c r="G2995" s="13">
        <f>IF($B2995="IN",$D2995,0)</f>
      </c>
      <c r="H2995" s="13">
        <f>IF($B2995="OUT",$D2995,0)</f>
      </c>
    </row>
    <row x14ac:dyDescent="0.25" r="2996" customHeight="1" ht="17.25">
      <c r="A2996" s="52"/>
      <c r="B2996" s="2"/>
      <c r="C2996" s="2"/>
      <c r="D2996" s="3"/>
      <c r="E2996" s="3"/>
      <c r="F2996" s="2"/>
      <c r="G2996" s="13">
        <f>IF($B2996="IN",$D2996,0)</f>
      </c>
      <c r="H2996" s="13">
        <f>IF($B2996="OUT",$D2996,0)</f>
      </c>
    </row>
    <row x14ac:dyDescent="0.25" r="2997" customHeight="1" ht="17.25">
      <c r="A2997" s="52"/>
      <c r="B2997" s="2"/>
      <c r="C2997" s="2"/>
      <c r="D2997" s="3"/>
      <c r="E2997" s="3"/>
      <c r="F2997" s="2"/>
      <c r="G2997" s="13">
        <f>IF($B2997="IN",$D2997,0)</f>
      </c>
      <c r="H2997" s="13">
        <f>IF($B2997="OUT",$D2997,0)</f>
      </c>
    </row>
    <row x14ac:dyDescent="0.25" r="2998" customHeight="1" ht="17.25">
      <c r="A2998" s="52"/>
      <c r="B2998" s="2"/>
      <c r="C2998" s="2"/>
      <c r="D2998" s="3"/>
      <c r="E2998" s="3"/>
      <c r="F2998" s="2"/>
      <c r="G2998" s="13">
        <f>IF($B2998="IN",$D2998,0)</f>
      </c>
      <c r="H2998" s="13">
        <f>IF($B2998="OUT",$D2998,0)</f>
      </c>
    </row>
    <row x14ac:dyDescent="0.25" r="2999" customHeight="1" ht="17.25">
      <c r="A2999" s="52"/>
      <c r="B2999" s="2"/>
      <c r="C2999" s="2"/>
      <c r="D2999" s="3"/>
      <c r="E2999" s="3"/>
      <c r="F2999" s="2"/>
      <c r="G2999" s="13">
        <f>IF($B2999="IN",$D2999,0)</f>
      </c>
      <c r="H2999" s="13">
        <f>IF($B2999="OUT",$D2999,0)</f>
      </c>
    </row>
    <row x14ac:dyDescent="0.25" r="3000" customHeight="1" ht="17.25">
      <c r="A3000" s="52"/>
      <c r="B3000" s="2"/>
      <c r="C3000" s="2"/>
      <c r="D3000" s="3"/>
      <c r="E3000" s="3"/>
      <c r="F3000" s="2"/>
      <c r="G3000" s="13">
        <f>IF($B3000="IN",$D3000,0)</f>
      </c>
      <c r="H3000" s="13">
        <f>IF($B3000="OUT",$D3000,0)</f>
      </c>
    </row>
    <row x14ac:dyDescent="0.25" r="3001" customHeight="1" ht="17.25">
      <c r="A3001" s="52"/>
      <c r="B3001" s="2"/>
      <c r="C3001" s="2"/>
      <c r="D3001" s="3"/>
      <c r="E3001" s="3"/>
      <c r="F3001" s="2"/>
      <c r="G3001" s="13">
        <f>IF($B3001="IN",$D3001,0)</f>
      </c>
      <c r="H3001" s="13">
        <f>IF($B3001="OUT",$D3001,0)</f>
      </c>
    </row>
    <row x14ac:dyDescent="0.25" r="3002" customHeight="1" ht="17.25">
      <c r="A3002" s="52"/>
      <c r="B3002" s="2"/>
      <c r="C3002" s="2"/>
      <c r="D3002" s="3"/>
      <c r="E3002" s="3"/>
      <c r="F3002" s="2"/>
      <c r="G3002" s="13">
        <f>IF($B3002="IN",$D3002,0)</f>
      </c>
      <c r="H3002" s="13">
        <f>IF($B3002="OUT",$D3002,0)</f>
      </c>
    </row>
    <row x14ac:dyDescent="0.25" r="3003" customHeight="1" ht="17.25">
      <c r="A3003" s="52"/>
      <c r="B3003" s="2"/>
      <c r="C3003" s="2"/>
      <c r="D3003" s="3"/>
      <c r="E3003" s="3"/>
      <c r="F3003" s="2"/>
      <c r="G3003" s="13">
        <f>IF($B3003="IN",$D3003,0)</f>
      </c>
      <c r="H3003" s="13">
        <f>IF($B3003="OUT",$D3003,0)</f>
      </c>
    </row>
    <row x14ac:dyDescent="0.25" r="3004" customHeight="1" ht="17.25">
      <c r="A3004" s="52"/>
      <c r="B3004" s="2"/>
      <c r="C3004" s="2"/>
      <c r="D3004" s="3"/>
      <c r="E3004" s="3"/>
      <c r="F3004" s="2"/>
      <c r="G3004" s="13">
        <f>IF($B3004="IN",$D3004,0)</f>
      </c>
      <c r="H3004" s="13">
        <f>IF($B3004="OUT",$D3004,0)</f>
      </c>
    </row>
    <row x14ac:dyDescent="0.25" r="3005" customHeight="1" ht="17.25">
      <c r="A3005" s="52"/>
      <c r="B3005" s="2"/>
      <c r="C3005" s="2"/>
      <c r="D3005" s="3"/>
      <c r="E3005" s="3"/>
      <c r="F3005" s="2"/>
      <c r="G3005" s="13">
        <f>IF($B3005="IN",$D3005,0)</f>
      </c>
      <c r="H3005" s="13">
        <f>IF($B3005="OUT",$D3005,0)</f>
      </c>
    </row>
    <row x14ac:dyDescent="0.25" r="3006" customHeight="1" ht="17.25">
      <c r="A3006" s="52"/>
      <c r="B3006" s="2"/>
      <c r="C3006" s="2"/>
      <c r="D3006" s="3"/>
      <c r="E3006" s="3"/>
      <c r="F3006" s="2"/>
      <c r="G3006" s="13">
        <f>IF($B3006="IN",$D3006,0)</f>
      </c>
      <c r="H3006" s="13">
        <f>IF($B3006="OUT",$D3006,0)</f>
      </c>
    </row>
    <row x14ac:dyDescent="0.25" r="3007" customHeight="1" ht="17.25">
      <c r="A3007" s="52"/>
      <c r="B3007" s="2"/>
      <c r="C3007" s="2"/>
      <c r="D3007" s="3"/>
      <c r="E3007" s="3"/>
      <c r="F3007" s="2"/>
      <c r="G3007" s="13">
        <f>IF($B3007="IN",$D3007,0)</f>
      </c>
      <c r="H3007" s="13">
        <f>IF($B3007="OUT",$D3007,0)</f>
      </c>
    </row>
    <row x14ac:dyDescent="0.25" r="3008" customHeight="1" ht="17.25">
      <c r="A3008" s="52"/>
      <c r="B3008" s="2"/>
      <c r="C3008" s="2"/>
      <c r="D3008" s="3"/>
      <c r="E3008" s="3"/>
      <c r="F3008" s="2"/>
      <c r="G3008" s="13">
        <f>IF($B3008="IN",$D3008,0)</f>
      </c>
      <c r="H3008" s="13">
        <f>IF($B3008="OUT",$D3008,0)</f>
      </c>
    </row>
    <row x14ac:dyDescent="0.25" r="3009" customHeight="1" ht="17.25">
      <c r="A3009" s="52"/>
      <c r="B3009" s="2"/>
      <c r="C3009" s="2"/>
      <c r="D3009" s="3"/>
      <c r="E3009" s="3"/>
      <c r="F3009" s="2"/>
      <c r="G3009" s="13">
        <f>IF($B3009="IN",$D3009,0)</f>
      </c>
      <c r="H3009" s="13">
        <f>IF($B3009="OUT",$D3009,0)</f>
      </c>
    </row>
    <row x14ac:dyDescent="0.25" r="3010" customHeight="1" ht="17.25">
      <c r="A3010" s="52"/>
      <c r="B3010" s="2"/>
      <c r="C3010" s="2"/>
      <c r="D3010" s="3"/>
      <c r="E3010" s="3"/>
      <c r="F3010" s="2"/>
      <c r="G3010" s="13">
        <f>IF($B3010="IN",$D3010,0)</f>
      </c>
      <c r="H3010" s="13">
        <f>IF($B3010="OUT",$D3010,0)</f>
      </c>
    </row>
    <row x14ac:dyDescent="0.25" r="3011" customHeight="1" ht="17.25">
      <c r="A3011" s="52"/>
      <c r="B3011" s="2"/>
      <c r="C3011" s="2"/>
      <c r="D3011" s="3"/>
      <c r="E3011" s="3"/>
      <c r="F3011" s="2"/>
      <c r="G3011" s="13">
        <f>IF($B3011="IN",$D3011,0)</f>
      </c>
      <c r="H3011" s="13">
        <f>IF($B3011="OUT",$D3011,0)</f>
      </c>
    </row>
    <row x14ac:dyDescent="0.25" r="3012" customHeight="1" ht="17.25">
      <c r="A3012" s="52"/>
      <c r="B3012" s="2"/>
      <c r="C3012" s="2"/>
      <c r="D3012" s="3"/>
      <c r="E3012" s="3"/>
      <c r="F3012" s="2"/>
      <c r="G3012" s="13">
        <f>IF($B3012="IN",$D3012,0)</f>
      </c>
      <c r="H3012" s="13">
        <f>IF($B3012="OUT",$D3012,0)</f>
      </c>
    </row>
    <row x14ac:dyDescent="0.25" r="3013" customHeight="1" ht="17.25">
      <c r="A3013" s="52"/>
      <c r="B3013" s="2"/>
      <c r="C3013" s="2"/>
      <c r="D3013" s="3"/>
      <c r="E3013" s="3"/>
      <c r="F3013" s="2"/>
      <c r="G3013" s="13">
        <f>IF($B3013="IN",$D3013,0)</f>
      </c>
      <c r="H3013" s="13">
        <f>IF($B3013="OUT",$D3013,0)</f>
      </c>
    </row>
    <row x14ac:dyDescent="0.25" r="3014" customHeight="1" ht="17.25">
      <c r="A3014" s="52"/>
      <c r="B3014" s="2"/>
      <c r="C3014" s="2"/>
      <c r="D3014" s="3"/>
      <c r="E3014" s="3"/>
      <c r="F3014" s="2"/>
      <c r="G3014" s="13">
        <f>IF($B3014="IN",$D3014,0)</f>
      </c>
      <c r="H3014" s="13">
        <f>IF($B3014="OUT",$D3014,0)</f>
      </c>
    </row>
    <row x14ac:dyDescent="0.25" r="3015" customHeight="1" ht="17.25">
      <c r="A3015" s="52"/>
      <c r="B3015" s="2"/>
      <c r="C3015" s="2"/>
      <c r="D3015" s="3"/>
      <c r="E3015" s="3"/>
      <c r="F3015" s="2"/>
      <c r="G3015" s="13">
        <f>IF($B3015="IN",$D3015,0)</f>
      </c>
      <c r="H3015" s="13">
        <f>IF($B3015="OUT",$D3015,0)</f>
      </c>
    </row>
    <row x14ac:dyDescent="0.25" r="3016" customHeight="1" ht="17.25">
      <c r="A3016" s="52"/>
      <c r="B3016" s="2"/>
      <c r="C3016" s="2"/>
      <c r="D3016" s="3"/>
      <c r="E3016" s="3"/>
      <c r="F3016" s="2"/>
      <c r="G3016" s="13">
        <f>IF($B3016="IN",$D3016,0)</f>
      </c>
      <c r="H3016" s="13">
        <f>IF($B3016="OUT",$D3016,0)</f>
      </c>
    </row>
    <row x14ac:dyDescent="0.25" r="3017" customHeight="1" ht="17.25">
      <c r="A3017" s="52"/>
      <c r="B3017" s="2"/>
      <c r="C3017" s="2"/>
      <c r="D3017" s="3"/>
      <c r="E3017" s="3"/>
      <c r="F3017" s="2"/>
      <c r="G3017" s="13">
        <f>IF($B3017="IN",$D3017,0)</f>
      </c>
      <c r="H3017" s="13">
        <f>IF($B3017="OUT",$D3017,0)</f>
      </c>
    </row>
    <row x14ac:dyDescent="0.25" r="3018" customHeight="1" ht="17.25">
      <c r="A3018" s="52"/>
      <c r="B3018" s="2"/>
      <c r="C3018" s="2"/>
      <c r="D3018" s="3"/>
      <c r="E3018" s="3"/>
      <c r="F3018" s="2"/>
      <c r="G3018" s="13">
        <f>IF($B3018="IN",$D3018,0)</f>
      </c>
      <c r="H3018" s="13">
        <f>IF($B3018="OUT",$D3018,0)</f>
      </c>
    </row>
    <row x14ac:dyDescent="0.25" r="3019" customHeight="1" ht="17.25">
      <c r="A3019" s="52"/>
      <c r="B3019" s="2"/>
      <c r="C3019" s="2"/>
      <c r="D3019" s="3"/>
      <c r="E3019" s="3"/>
      <c r="F3019" s="2"/>
      <c r="G3019" s="13">
        <f>IF($B3019="IN",$D3019,0)</f>
      </c>
      <c r="H3019" s="13">
        <f>IF($B3019="OUT",$D3019,0)</f>
      </c>
    </row>
    <row x14ac:dyDescent="0.25" r="3020" customHeight="1" ht="17.25">
      <c r="A3020" s="52"/>
      <c r="B3020" s="2"/>
      <c r="C3020" s="2"/>
      <c r="D3020" s="3"/>
      <c r="E3020" s="3"/>
      <c r="F3020" s="2"/>
      <c r="G3020" s="13">
        <f>IF($B3020="IN",$D3020,0)</f>
      </c>
      <c r="H3020" s="13">
        <f>IF($B3020="OUT",$D3020,0)</f>
      </c>
    </row>
    <row x14ac:dyDescent="0.25" r="3021" customHeight="1" ht="17.25">
      <c r="A3021" s="52"/>
      <c r="B3021" s="2"/>
      <c r="C3021" s="2"/>
      <c r="D3021" s="3"/>
      <c r="E3021" s="3"/>
      <c r="F3021" s="2"/>
      <c r="G3021" s="13">
        <f>IF($B3021="IN",$D3021,0)</f>
      </c>
      <c r="H3021" s="13">
        <f>IF($B3021="OUT",$D3021,0)</f>
      </c>
    </row>
    <row x14ac:dyDescent="0.25" r="3022" customHeight="1" ht="17.25">
      <c r="A3022" s="52"/>
      <c r="B3022" s="2"/>
      <c r="C3022" s="2"/>
      <c r="D3022" s="3"/>
      <c r="E3022" s="3"/>
      <c r="F3022" s="2"/>
      <c r="G3022" s="13">
        <f>IF($B3022="IN",$D3022,0)</f>
      </c>
      <c r="H3022" s="13">
        <f>IF($B3022="OUT",$D3022,0)</f>
      </c>
    </row>
    <row x14ac:dyDescent="0.25" r="3023" customHeight="1" ht="17.25">
      <c r="A3023" s="52"/>
      <c r="B3023" s="2"/>
      <c r="C3023" s="2"/>
      <c r="D3023" s="3"/>
      <c r="E3023" s="3"/>
      <c r="F3023" s="2"/>
      <c r="G3023" s="13">
        <f>IF($B3023="IN",$D3023,0)</f>
      </c>
      <c r="H3023" s="13">
        <f>IF($B3023="OUT",$D3023,0)</f>
      </c>
    </row>
    <row x14ac:dyDescent="0.25" r="3024" customHeight="1" ht="17.25">
      <c r="A3024" s="52"/>
      <c r="B3024" s="2"/>
      <c r="C3024" s="2"/>
      <c r="D3024" s="3"/>
      <c r="E3024" s="3"/>
      <c r="F3024" s="2"/>
      <c r="G3024" s="13">
        <f>IF($B3024="IN",$D3024,0)</f>
      </c>
      <c r="H3024" s="13">
        <f>IF($B3024="OUT",$D3024,0)</f>
      </c>
    </row>
    <row x14ac:dyDescent="0.25" r="3025" customHeight="1" ht="17.25">
      <c r="A3025" s="52"/>
      <c r="B3025" s="2"/>
      <c r="C3025" s="2"/>
      <c r="D3025" s="3"/>
      <c r="E3025" s="3"/>
      <c r="F3025" s="2"/>
      <c r="G3025" s="13">
        <f>IF($B3025="IN",$D3025,0)</f>
      </c>
      <c r="H3025" s="13">
        <f>IF($B3025="OUT",$D3025,0)</f>
      </c>
    </row>
    <row x14ac:dyDescent="0.25" r="3026" customHeight="1" ht="17.25">
      <c r="A3026" s="52"/>
      <c r="B3026" s="2"/>
      <c r="C3026" s="2"/>
      <c r="D3026" s="3"/>
      <c r="E3026" s="3"/>
      <c r="F3026" s="2"/>
      <c r="G3026" s="13">
        <f>IF($B3026="IN",$D3026,0)</f>
      </c>
      <c r="H3026" s="13">
        <f>IF($B3026="OUT",$D3026,0)</f>
      </c>
    </row>
    <row x14ac:dyDescent="0.25" r="3027" customHeight="1" ht="17.25">
      <c r="A3027" s="52"/>
      <c r="B3027" s="2"/>
      <c r="C3027" s="2"/>
      <c r="D3027" s="3"/>
      <c r="E3027" s="3"/>
      <c r="F3027" s="2"/>
      <c r="G3027" s="13">
        <f>IF($B3027="IN",$D3027,0)</f>
      </c>
      <c r="H3027" s="13">
        <f>IF($B3027="OUT",$D3027,0)</f>
      </c>
    </row>
    <row x14ac:dyDescent="0.25" r="3028" customHeight="1" ht="17.25">
      <c r="A3028" s="52"/>
      <c r="B3028" s="2"/>
      <c r="C3028" s="2"/>
      <c r="D3028" s="3"/>
      <c r="E3028" s="3"/>
      <c r="F3028" s="2"/>
      <c r="G3028" s="13">
        <f>IF($B3028="IN",$D3028,0)</f>
      </c>
      <c r="H3028" s="13">
        <f>IF($B3028="OUT",$D3028,0)</f>
      </c>
    </row>
    <row x14ac:dyDescent="0.25" r="3029" customHeight="1" ht="17.25">
      <c r="A3029" s="52"/>
      <c r="B3029" s="2"/>
      <c r="C3029" s="2"/>
      <c r="D3029" s="3"/>
      <c r="E3029" s="3"/>
      <c r="F3029" s="2"/>
      <c r="G3029" s="13">
        <f>IF($B3029="IN",$D3029,0)</f>
      </c>
      <c r="H3029" s="13">
        <f>IF($B3029="OUT",$D3029,0)</f>
      </c>
    </row>
    <row x14ac:dyDescent="0.25" r="3030" customHeight="1" ht="17.25">
      <c r="A3030" s="52"/>
      <c r="B3030" s="2"/>
      <c r="C3030" s="2"/>
      <c r="D3030" s="3"/>
      <c r="E3030" s="3"/>
      <c r="F3030" s="2"/>
      <c r="G3030" s="13">
        <f>IF($B3030="IN",$D3030,0)</f>
      </c>
      <c r="H3030" s="13">
        <f>IF($B3030="OUT",$D3030,0)</f>
      </c>
    </row>
    <row x14ac:dyDescent="0.25" r="3031" customHeight="1" ht="17.25">
      <c r="A3031" s="52"/>
      <c r="B3031" s="2"/>
      <c r="C3031" s="2"/>
      <c r="D3031" s="3"/>
      <c r="E3031" s="3"/>
      <c r="F3031" s="2"/>
      <c r="G3031" s="13">
        <f>IF($B3031="IN",$D3031,0)</f>
      </c>
      <c r="H3031" s="13">
        <f>IF($B3031="OUT",$D3031,0)</f>
      </c>
    </row>
    <row x14ac:dyDescent="0.25" r="3032" customHeight="1" ht="17.25">
      <c r="A3032" s="52"/>
      <c r="B3032" s="2"/>
      <c r="C3032" s="2"/>
      <c r="D3032" s="3"/>
      <c r="E3032" s="3"/>
      <c r="F3032" s="2"/>
      <c r="G3032" s="13">
        <f>IF($B3032="IN",$D3032,0)</f>
      </c>
      <c r="H3032" s="13">
        <f>IF($B3032="OUT",$D3032,0)</f>
      </c>
    </row>
    <row x14ac:dyDescent="0.25" r="3033" customHeight="1" ht="17.25">
      <c r="A3033" s="52"/>
      <c r="B3033" s="2"/>
      <c r="C3033" s="2"/>
      <c r="D3033" s="3"/>
      <c r="E3033" s="3"/>
      <c r="F3033" s="2"/>
      <c r="G3033" s="13">
        <f>IF($B3033="IN",$D3033,0)</f>
      </c>
      <c r="H3033" s="13">
        <f>IF($B3033="OUT",$D3033,0)</f>
      </c>
    </row>
    <row x14ac:dyDescent="0.25" r="3034" customHeight="1" ht="17.25">
      <c r="A3034" s="52"/>
      <c r="B3034" s="2"/>
      <c r="C3034" s="2"/>
      <c r="D3034" s="3"/>
      <c r="E3034" s="3"/>
      <c r="F3034" s="2"/>
      <c r="G3034" s="13">
        <f>IF($B3034="IN",$D3034,0)</f>
      </c>
      <c r="H3034" s="13">
        <f>IF($B3034="OUT",$D3034,0)</f>
      </c>
    </row>
    <row x14ac:dyDescent="0.25" r="3035" customHeight="1" ht="17.25">
      <c r="A3035" s="52"/>
      <c r="B3035" s="2"/>
      <c r="C3035" s="2"/>
      <c r="D3035" s="3"/>
      <c r="E3035" s="3"/>
      <c r="F3035" s="2"/>
      <c r="G3035" s="13">
        <f>IF($B3035="IN",$D3035,0)</f>
      </c>
      <c r="H3035" s="13">
        <f>IF($B3035="OUT",$D3035,0)</f>
      </c>
    </row>
    <row x14ac:dyDescent="0.25" r="3036" customHeight="1" ht="17.25">
      <c r="A3036" s="52"/>
      <c r="B3036" s="2"/>
      <c r="C3036" s="2"/>
      <c r="D3036" s="3"/>
      <c r="E3036" s="3"/>
      <c r="F3036" s="2"/>
      <c r="G3036" s="13">
        <f>IF($B3036="IN",$D3036,0)</f>
      </c>
      <c r="H3036" s="13">
        <f>IF($B3036="OUT",$D3036,0)</f>
      </c>
    </row>
    <row x14ac:dyDescent="0.25" r="3037" customHeight="1" ht="17.25">
      <c r="A3037" s="52"/>
      <c r="B3037" s="2"/>
      <c r="C3037" s="2"/>
      <c r="D3037" s="3"/>
      <c r="E3037" s="3"/>
      <c r="F3037" s="2"/>
      <c r="G3037" s="13">
        <f>IF($B3037="IN",$D3037,0)</f>
      </c>
      <c r="H3037" s="13">
        <f>IF($B3037="OUT",$D3037,0)</f>
      </c>
    </row>
    <row x14ac:dyDescent="0.25" r="3038" customHeight="1" ht="17.25">
      <c r="A3038" s="52"/>
      <c r="B3038" s="2"/>
      <c r="C3038" s="2"/>
      <c r="D3038" s="3"/>
      <c r="E3038" s="3"/>
      <c r="F3038" s="2"/>
      <c r="G3038" s="13">
        <f>IF($B3038="IN",$D3038,0)</f>
      </c>
      <c r="H3038" s="13">
        <f>IF($B3038="OUT",$D3038,0)</f>
      </c>
    </row>
    <row x14ac:dyDescent="0.25" r="3039" customHeight="1" ht="17.25">
      <c r="A3039" s="52"/>
      <c r="B3039" s="2"/>
      <c r="C3039" s="2"/>
      <c r="D3039" s="3"/>
      <c r="E3039" s="3"/>
      <c r="F3039" s="2"/>
      <c r="G3039" s="13">
        <f>IF($B3039="IN",$D3039,0)</f>
      </c>
      <c r="H3039" s="13">
        <f>IF($B3039="OUT",$D3039,0)</f>
      </c>
    </row>
    <row x14ac:dyDescent="0.25" r="3040" customHeight="1" ht="17.25">
      <c r="A3040" s="52"/>
      <c r="B3040" s="2"/>
      <c r="C3040" s="2"/>
      <c r="D3040" s="3"/>
      <c r="E3040" s="3"/>
      <c r="F3040" s="2"/>
      <c r="G3040" s="13">
        <f>IF($B3040="IN",$D3040,0)</f>
      </c>
      <c r="H3040" s="13">
        <f>IF($B3040="OUT",$D3040,0)</f>
      </c>
    </row>
    <row x14ac:dyDescent="0.25" r="3041" customHeight="1" ht="17.25">
      <c r="A3041" s="52"/>
      <c r="B3041" s="2"/>
      <c r="C3041" s="2"/>
      <c r="D3041" s="3"/>
      <c r="E3041" s="3"/>
      <c r="F3041" s="2"/>
      <c r="G3041" s="13">
        <f>IF($B3041="IN",$D3041,0)</f>
      </c>
      <c r="H3041" s="13">
        <f>IF($B3041="OUT",$D3041,0)</f>
      </c>
    </row>
    <row x14ac:dyDescent="0.25" r="3042" customHeight="1" ht="17.25">
      <c r="A3042" s="52"/>
      <c r="B3042" s="2"/>
      <c r="C3042" s="2"/>
      <c r="D3042" s="3"/>
      <c r="E3042" s="3"/>
      <c r="F3042" s="2"/>
      <c r="G3042" s="13">
        <f>IF($B3042="IN",$D3042,0)</f>
      </c>
      <c r="H3042" s="13">
        <f>IF($B3042="OUT",$D3042,0)</f>
      </c>
    </row>
    <row x14ac:dyDescent="0.25" r="3043" customHeight="1" ht="17.25">
      <c r="A3043" s="52"/>
      <c r="B3043" s="2"/>
      <c r="C3043" s="2"/>
      <c r="D3043" s="3"/>
      <c r="E3043" s="3"/>
      <c r="F3043" s="2"/>
      <c r="G3043" s="13">
        <f>IF($B3043="IN",$D3043,0)</f>
      </c>
      <c r="H3043" s="13">
        <f>IF($B3043="OUT",$D3043,0)</f>
      </c>
    </row>
    <row x14ac:dyDescent="0.25" r="3044" customHeight="1" ht="17.25">
      <c r="A3044" s="52"/>
      <c r="B3044" s="2"/>
      <c r="C3044" s="2"/>
      <c r="D3044" s="3"/>
      <c r="E3044" s="3"/>
      <c r="F3044" s="2"/>
      <c r="G3044" s="13">
        <f>IF($B3044="IN",$D3044,0)</f>
      </c>
      <c r="H3044" s="13">
        <f>IF($B3044="OUT",$D3044,0)</f>
      </c>
    </row>
    <row x14ac:dyDescent="0.25" r="3045" customHeight="1" ht="17.25">
      <c r="A3045" s="52"/>
      <c r="B3045" s="2"/>
      <c r="C3045" s="2"/>
      <c r="D3045" s="3"/>
      <c r="E3045" s="3"/>
      <c r="F3045" s="2"/>
      <c r="G3045" s="13">
        <f>IF($B3045="IN",$D3045,0)</f>
      </c>
      <c r="H3045" s="13">
        <f>IF($B3045="OUT",$D3045,0)</f>
      </c>
    </row>
    <row x14ac:dyDescent="0.25" r="3046" customHeight="1" ht="17.25">
      <c r="A3046" s="52"/>
      <c r="B3046" s="2"/>
      <c r="C3046" s="2"/>
      <c r="D3046" s="3"/>
      <c r="E3046" s="3"/>
      <c r="F3046" s="2"/>
      <c r="G3046" s="13">
        <f>IF($B3046="IN",$D3046,0)</f>
      </c>
      <c r="H3046" s="13">
        <f>IF($B3046="OUT",$D3046,0)</f>
      </c>
    </row>
    <row x14ac:dyDescent="0.25" r="3047" customHeight="1" ht="17.25">
      <c r="A3047" s="52"/>
      <c r="B3047" s="2"/>
      <c r="C3047" s="2"/>
      <c r="D3047" s="3"/>
      <c r="E3047" s="3"/>
      <c r="F3047" s="2"/>
      <c r="G3047" s="13">
        <f>IF($B3047="IN",$D3047,0)</f>
      </c>
      <c r="H3047" s="13">
        <f>IF($B3047="OUT",$D3047,0)</f>
      </c>
    </row>
    <row x14ac:dyDescent="0.25" r="3048" customHeight="1" ht="17.25">
      <c r="A3048" s="52"/>
      <c r="B3048" s="2"/>
      <c r="C3048" s="2"/>
      <c r="D3048" s="3"/>
      <c r="E3048" s="3"/>
      <c r="F3048" s="2"/>
      <c r="G3048" s="13">
        <f>IF($B3048="IN",$D3048,0)</f>
      </c>
      <c r="H3048" s="13">
        <f>IF($B3048="OUT",$D3048,0)</f>
      </c>
    </row>
    <row x14ac:dyDescent="0.25" r="3049" customHeight="1" ht="17.25">
      <c r="A3049" s="52"/>
      <c r="B3049" s="2"/>
      <c r="C3049" s="2"/>
      <c r="D3049" s="3"/>
      <c r="E3049" s="3"/>
      <c r="F3049" s="2"/>
      <c r="G3049" s="13">
        <f>IF($B3049="IN",$D3049,0)</f>
      </c>
      <c r="H3049" s="13">
        <f>IF($B3049="OUT",$D3049,0)</f>
      </c>
    </row>
    <row x14ac:dyDescent="0.25" r="3050" customHeight="1" ht="17.25">
      <c r="A3050" s="52"/>
      <c r="B3050" s="2"/>
      <c r="C3050" s="2"/>
      <c r="D3050" s="3"/>
      <c r="E3050" s="3"/>
      <c r="F3050" s="2"/>
      <c r="G3050" s="13">
        <f>IF($B3050="IN",$D3050,0)</f>
      </c>
      <c r="H3050" s="13">
        <f>IF($B3050="OUT",$D3050,0)</f>
      </c>
    </row>
    <row x14ac:dyDescent="0.25" r="3051" customHeight="1" ht="17.25">
      <c r="A3051" s="52"/>
      <c r="B3051" s="2"/>
      <c r="C3051" s="2"/>
      <c r="D3051" s="3"/>
      <c r="E3051" s="3"/>
      <c r="F3051" s="2"/>
      <c r="G3051" s="13">
        <f>IF($B3051="IN",$D3051,0)</f>
      </c>
      <c r="H3051" s="13">
        <f>IF($B3051="OUT",$D3051,0)</f>
      </c>
    </row>
    <row x14ac:dyDescent="0.25" r="3052" customHeight="1" ht="17.25">
      <c r="A3052" s="52"/>
      <c r="B3052" s="2"/>
      <c r="C3052" s="2"/>
      <c r="D3052" s="3"/>
      <c r="E3052" s="3"/>
      <c r="F3052" s="2"/>
      <c r="G3052" s="13">
        <f>IF($B3052="IN",$D3052,0)</f>
      </c>
      <c r="H3052" s="13">
        <f>IF($B3052="OUT",$D3052,0)</f>
      </c>
    </row>
    <row x14ac:dyDescent="0.25" r="3053" customHeight="1" ht="17.25">
      <c r="A3053" s="52"/>
      <c r="B3053" s="2"/>
      <c r="C3053" s="2"/>
      <c r="D3053" s="3"/>
      <c r="E3053" s="3"/>
      <c r="F3053" s="2"/>
      <c r="G3053" s="13">
        <f>IF($B3053="IN",$D3053,0)</f>
      </c>
      <c r="H3053" s="13">
        <f>IF($B3053="OUT",$D3053,0)</f>
      </c>
    </row>
    <row x14ac:dyDescent="0.25" r="3054" customHeight="1" ht="17.25">
      <c r="A3054" s="52"/>
      <c r="B3054" s="2"/>
      <c r="C3054" s="2"/>
      <c r="D3054" s="3"/>
      <c r="E3054" s="3"/>
      <c r="F3054" s="2"/>
      <c r="G3054" s="13">
        <f>IF($B3054="IN",$D3054,0)</f>
      </c>
      <c r="H3054" s="13">
        <f>IF($B3054="OUT",$D3054,0)</f>
      </c>
    </row>
    <row x14ac:dyDescent="0.25" r="3055" customHeight="1" ht="17.25">
      <c r="A3055" s="52"/>
      <c r="B3055" s="2"/>
      <c r="C3055" s="2"/>
      <c r="D3055" s="3"/>
      <c r="E3055" s="3"/>
      <c r="F3055" s="2"/>
      <c r="G3055" s="13">
        <f>IF($B3055="IN",$D3055,0)</f>
      </c>
      <c r="H3055" s="13">
        <f>IF($B3055="OUT",$D3055,0)</f>
      </c>
    </row>
    <row x14ac:dyDescent="0.25" r="3056" customHeight="1" ht="17.25">
      <c r="A3056" s="52"/>
      <c r="B3056" s="2"/>
      <c r="C3056" s="2"/>
      <c r="D3056" s="3"/>
      <c r="E3056" s="3"/>
      <c r="F3056" s="2"/>
      <c r="G3056" s="13">
        <f>IF($B3056="IN",$D3056,0)</f>
      </c>
      <c r="H3056" s="13">
        <f>IF($B3056="OUT",$D3056,0)</f>
      </c>
    </row>
    <row x14ac:dyDescent="0.25" r="3057" customHeight="1" ht="17.25">
      <c r="A3057" s="52"/>
      <c r="B3057" s="2"/>
      <c r="C3057" s="2"/>
      <c r="D3057" s="3"/>
      <c r="E3057" s="3"/>
      <c r="F3057" s="2"/>
      <c r="G3057" s="13">
        <f>IF($B3057="IN",$D3057,0)</f>
      </c>
      <c r="H3057" s="13">
        <f>IF($B3057="OUT",$D3057,0)</f>
      </c>
    </row>
    <row x14ac:dyDescent="0.25" r="3058" customHeight="1" ht="17.25">
      <c r="A3058" s="52"/>
      <c r="B3058" s="2"/>
      <c r="C3058" s="2"/>
      <c r="D3058" s="3"/>
      <c r="E3058" s="3"/>
      <c r="F3058" s="2"/>
      <c r="G3058" s="13">
        <f>IF($B3058="IN",$D3058,0)</f>
      </c>
      <c r="H3058" s="13">
        <f>IF($B3058="OUT",$D3058,0)</f>
      </c>
    </row>
    <row x14ac:dyDescent="0.25" r="3059" customHeight="1" ht="17.25">
      <c r="A3059" s="52"/>
      <c r="B3059" s="2"/>
      <c r="C3059" s="2"/>
      <c r="D3059" s="3"/>
      <c r="E3059" s="3"/>
      <c r="F3059" s="2"/>
      <c r="G3059" s="13">
        <f>IF($B3059="IN",$D3059,0)</f>
      </c>
      <c r="H3059" s="13">
        <f>IF($B3059="OUT",$D3059,0)</f>
      </c>
    </row>
    <row x14ac:dyDescent="0.25" r="3060" customHeight="1" ht="17.25">
      <c r="A3060" s="52"/>
      <c r="B3060" s="2"/>
      <c r="C3060" s="2"/>
      <c r="D3060" s="3"/>
      <c r="E3060" s="3"/>
      <c r="F3060" s="2"/>
      <c r="G3060" s="13">
        <f>IF($B3060="IN",$D3060,0)</f>
      </c>
      <c r="H3060" s="13">
        <f>IF($B3060="OUT",$D3060,0)</f>
      </c>
    </row>
    <row x14ac:dyDescent="0.25" r="3061" customHeight="1" ht="17.25">
      <c r="A3061" s="52"/>
      <c r="B3061" s="2"/>
      <c r="C3061" s="2"/>
      <c r="D3061" s="3"/>
      <c r="E3061" s="3"/>
      <c r="F3061" s="2"/>
      <c r="G3061" s="13">
        <f>IF($B3061="IN",$D3061,0)</f>
      </c>
      <c r="H3061" s="13">
        <f>IF($B3061="OUT",$D3061,0)</f>
      </c>
    </row>
    <row x14ac:dyDescent="0.25" r="3062" customHeight="1" ht="17.25">
      <c r="A3062" s="52"/>
      <c r="B3062" s="2"/>
      <c r="C3062" s="2"/>
      <c r="D3062" s="3"/>
      <c r="E3062" s="3"/>
      <c r="F3062" s="2"/>
      <c r="G3062" s="13">
        <f>IF($B3062="IN",$D3062,0)</f>
      </c>
      <c r="H3062" s="13">
        <f>IF($B3062="OUT",$D3062,0)</f>
      </c>
    </row>
    <row x14ac:dyDescent="0.25" r="3063" customHeight="1" ht="17.25">
      <c r="A3063" s="52"/>
      <c r="B3063" s="2"/>
      <c r="C3063" s="2"/>
      <c r="D3063" s="3"/>
      <c r="E3063" s="3"/>
      <c r="F3063" s="2"/>
      <c r="G3063" s="13">
        <f>IF($B3063="IN",$D3063,0)</f>
      </c>
      <c r="H3063" s="13">
        <f>IF($B3063="OUT",$D3063,0)</f>
      </c>
    </row>
    <row x14ac:dyDescent="0.25" r="3064" customHeight="1" ht="17.25">
      <c r="A3064" s="52"/>
      <c r="B3064" s="2"/>
      <c r="C3064" s="2"/>
      <c r="D3064" s="3"/>
      <c r="E3064" s="3"/>
      <c r="F3064" s="2"/>
      <c r="G3064" s="13">
        <f>IF($B3064="IN",$D3064,0)</f>
      </c>
      <c r="H3064" s="13">
        <f>IF($B3064="OUT",$D3064,0)</f>
      </c>
    </row>
    <row x14ac:dyDescent="0.25" r="3065" customHeight="1" ht="17.25">
      <c r="A3065" s="52"/>
      <c r="B3065" s="2"/>
      <c r="C3065" s="2"/>
      <c r="D3065" s="3"/>
      <c r="E3065" s="3"/>
      <c r="F3065" s="2"/>
      <c r="G3065" s="13">
        <f>IF($B3065="IN",$D3065,0)</f>
      </c>
      <c r="H3065" s="13">
        <f>IF($B3065="OUT",$D3065,0)</f>
      </c>
    </row>
    <row x14ac:dyDescent="0.25" r="3066" customHeight="1" ht="17.25">
      <c r="A3066" s="52"/>
      <c r="B3066" s="2"/>
      <c r="C3066" s="2"/>
      <c r="D3066" s="3"/>
      <c r="E3066" s="3"/>
      <c r="F3066" s="2"/>
      <c r="G3066" s="13">
        <f>IF($B3066="IN",$D3066,0)</f>
      </c>
      <c r="H3066" s="13">
        <f>IF($B3066="OUT",$D3066,0)</f>
      </c>
    </row>
    <row x14ac:dyDescent="0.25" r="3067" customHeight="1" ht="17.25">
      <c r="A3067" s="52"/>
      <c r="B3067" s="2"/>
      <c r="C3067" s="2"/>
      <c r="D3067" s="3"/>
      <c r="E3067" s="3"/>
      <c r="F3067" s="2"/>
      <c r="G3067" s="13">
        <f>IF($B3067="IN",$D3067,0)</f>
      </c>
      <c r="H3067" s="13">
        <f>IF($B3067="OUT",$D3067,0)</f>
      </c>
    </row>
    <row x14ac:dyDescent="0.25" r="3068" customHeight="1" ht="17.25">
      <c r="A3068" s="52"/>
      <c r="B3068" s="2"/>
      <c r="C3068" s="2"/>
      <c r="D3068" s="3"/>
      <c r="E3068" s="3"/>
      <c r="F3068" s="2"/>
      <c r="G3068" s="13">
        <f>IF($B3068="IN",$D3068,0)</f>
      </c>
      <c r="H3068" s="13">
        <f>IF($B3068="OUT",$D3068,0)</f>
      </c>
    </row>
    <row x14ac:dyDescent="0.25" r="3069" customHeight="1" ht="17.25">
      <c r="A3069" s="52"/>
      <c r="B3069" s="2"/>
      <c r="C3069" s="2"/>
      <c r="D3069" s="3"/>
      <c r="E3069" s="3"/>
      <c r="F3069" s="2"/>
      <c r="G3069" s="13">
        <f>IF($B3069="IN",$D3069,0)</f>
      </c>
      <c r="H3069" s="13">
        <f>IF($B3069="OUT",$D3069,0)</f>
      </c>
    </row>
    <row x14ac:dyDescent="0.25" r="3070" customHeight="1" ht="17.25">
      <c r="A3070" s="52"/>
      <c r="B3070" s="2"/>
      <c r="C3070" s="2"/>
      <c r="D3070" s="3"/>
      <c r="E3070" s="3"/>
      <c r="F3070" s="2"/>
      <c r="G3070" s="13">
        <f>IF($B3070="IN",$D3070,0)</f>
      </c>
      <c r="H3070" s="13">
        <f>IF($B3070="OUT",$D3070,0)</f>
      </c>
    </row>
    <row x14ac:dyDescent="0.25" r="3071" customHeight="1" ht="17.25">
      <c r="A3071" s="52"/>
      <c r="B3071" s="2"/>
      <c r="C3071" s="2"/>
      <c r="D3071" s="3"/>
      <c r="E3071" s="3"/>
      <c r="F3071" s="2"/>
      <c r="G3071" s="13">
        <f>IF($B3071="IN",$D3071,0)</f>
      </c>
      <c r="H3071" s="13">
        <f>IF($B3071="OUT",$D3071,0)</f>
      </c>
    </row>
    <row x14ac:dyDescent="0.25" r="3072" customHeight="1" ht="17.25">
      <c r="A3072" s="52"/>
      <c r="B3072" s="2"/>
      <c r="C3072" s="2"/>
      <c r="D3072" s="3"/>
      <c r="E3072" s="3"/>
      <c r="F3072" s="2"/>
      <c r="G3072" s="13">
        <f>IF($B3072="IN",$D3072,0)</f>
      </c>
      <c r="H3072" s="13">
        <f>IF($B3072="OUT",$D3072,0)</f>
      </c>
    </row>
    <row x14ac:dyDescent="0.25" r="3073" customHeight="1" ht="17.25">
      <c r="A3073" s="52"/>
      <c r="B3073" s="2"/>
      <c r="C3073" s="2"/>
      <c r="D3073" s="3"/>
      <c r="E3073" s="3"/>
      <c r="F3073" s="2"/>
      <c r="G3073" s="13">
        <f>IF($B3073="IN",$D3073,0)</f>
      </c>
      <c r="H3073" s="13">
        <f>IF($B3073="OUT",$D3073,0)</f>
      </c>
    </row>
    <row x14ac:dyDescent="0.25" r="3074" customHeight="1" ht="17.25">
      <c r="A3074" s="52"/>
      <c r="B3074" s="2"/>
      <c r="C3074" s="2"/>
      <c r="D3074" s="3"/>
      <c r="E3074" s="3"/>
      <c r="F3074" s="2"/>
      <c r="G3074" s="13">
        <f>IF($B3074="IN",$D3074,0)</f>
      </c>
      <c r="H3074" s="13">
        <f>IF($B3074="OUT",$D3074,0)</f>
      </c>
    </row>
    <row x14ac:dyDescent="0.25" r="3075" customHeight="1" ht="17.25">
      <c r="A3075" s="52"/>
      <c r="B3075" s="2"/>
      <c r="C3075" s="2"/>
      <c r="D3075" s="3"/>
      <c r="E3075" s="3"/>
      <c r="F3075" s="2"/>
      <c r="G3075" s="13">
        <f>IF($B3075="IN",$D3075,0)</f>
      </c>
      <c r="H3075" s="13">
        <f>IF($B3075="OUT",$D3075,0)</f>
      </c>
    </row>
    <row x14ac:dyDescent="0.25" r="3076" customHeight="1" ht="17.25">
      <c r="A3076" s="52"/>
      <c r="B3076" s="2"/>
      <c r="C3076" s="2"/>
      <c r="D3076" s="3"/>
      <c r="E3076" s="3"/>
      <c r="F3076" s="2"/>
      <c r="G3076" s="13">
        <f>IF($B3076="IN",$D3076,0)</f>
      </c>
      <c r="H3076" s="13">
        <f>IF($B3076="OUT",$D3076,0)</f>
      </c>
    </row>
    <row x14ac:dyDescent="0.25" r="3077" customHeight="1" ht="17.25">
      <c r="A3077" s="52"/>
      <c r="B3077" s="2"/>
      <c r="C3077" s="2"/>
      <c r="D3077" s="3"/>
      <c r="E3077" s="3"/>
      <c r="F3077" s="2"/>
      <c r="G3077" s="13">
        <f>IF($B3077="IN",$D3077,0)</f>
      </c>
      <c r="H3077" s="13">
        <f>IF($B3077="OUT",$D3077,0)</f>
      </c>
    </row>
    <row x14ac:dyDescent="0.25" r="3078" customHeight="1" ht="17.25">
      <c r="A3078" s="52"/>
      <c r="B3078" s="2"/>
      <c r="C3078" s="2"/>
      <c r="D3078" s="3"/>
      <c r="E3078" s="3"/>
      <c r="F3078" s="2"/>
      <c r="G3078" s="13">
        <f>IF($B3078="IN",$D3078,0)</f>
      </c>
      <c r="H3078" s="13">
        <f>IF($B3078="OUT",$D3078,0)</f>
      </c>
    </row>
    <row x14ac:dyDescent="0.25" r="3079" customHeight="1" ht="17.25">
      <c r="A3079" s="52"/>
      <c r="B3079" s="2"/>
      <c r="C3079" s="2"/>
      <c r="D3079" s="3"/>
      <c r="E3079" s="3"/>
      <c r="F3079" s="2"/>
      <c r="G3079" s="13">
        <f>IF($B3079="IN",$D3079,0)</f>
      </c>
      <c r="H3079" s="13">
        <f>IF($B3079="OUT",$D3079,0)</f>
      </c>
    </row>
    <row x14ac:dyDescent="0.25" r="3080" customHeight="1" ht="17.25">
      <c r="A3080" s="52"/>
      <c r="B3080" s="2"/>
      <c r="C3080" s="2"/>
      <c r="D3080" s="3"/>
      <c r="E3080" s="3"/>
      <c r="F3080" s="2"/>
      <c r="G3080" s="13">
        <f>IF($B3080="IN",$D3080,0)</f>
      </c>
      <c r="H3080" s="13">
        <f>IF($B3080="OUT",$D3080,0)</f>
      </c>
    </row>
    <row x14ac:dyDescent="0.25" r="3081" customHeight="1" ht="17.25">
      <c r="A3081" s="52"/>
      <c r="B3081" s="2"/>
      <c r="C3081" s="2"/>
      <c r="D3081" s="3"/>
      <c r="E3081" s="3"/>
      <c r="F3081" s="2"/>
      <c r="G3081" s="13">
        <f>IF($B3081="IN",$D3081,0)</f>
      </c>
      <c r="H3081" s="13">
        <f>IF($B3081="OUT",$D3081,0)</f>
      </c>
    </row>
    <row x14ac:dyDescent="0.25" r="3082" customHeight="1" ht="17.25">
      <c r="A3082" s="52"/>
      <c r="B3082" s="2"/>
      <c r="C3082" s="2"/>
      <c r="D3082" s="3"/>
      <c r="E3082" s="3"/>
      <c r="F3082" s="2"/>
      <c r="G3082" s="13">
        <f>IF($B3082="IN",$D3082,0)</f>
      </c>
      <c r="H3082" s="13">
        <f>IF($B3082="OUT",$D3082,0)</f>
      </c>
    </row>
    <row x14ac:dyDescent="0.25" r="3083" customHeight="1" ht="17.25">
      <c r="A3083" s="52"/>
      <c r="B3083" s="2"/>
      <c r="C3083" s="2"/>
      <c r="D3083" s="3"/>
      <c r="E3083" s="3"/>
      <c r="F3083" s="2"/>
      <c r="G3083" s="13">
        <f>IF($B3083="IN",$D3083,0)</f>
      </c>
      <c r="H3083" s="13">
        <f>IF($B3083="OUT",$D3083,0)</f>
      </c>
    </row>
    <row x14ac:dyDescent="0.25" r="3084" customHeight="1" ht="17.25">
      <c r="A3084" s="52"/>
      <c r="B3084" s="2"/>
      <c r="C3084" s="2"/>
      <c r="D3084" s="3"/>
      <c r="E3084" s="3"/>
      <c r="F3084" s="2"/>
      <c r="G3084" s="13">
        <f>IF($B3084="IN",$D3084,0)</f>
      </c>
      <c r="H3084" s="13">
        <f>IF($B3084="OUT",$D3084,0)</f>
      </c>
    </row>
    <row x14ac:dyDescent="0.25" r="3085" customHeight="1" ht="17.25">
      <c r="A3085" s="52"/>
      <c r="B3085" s="2"/>
      <c r="C3085" s="2"/>
      <c r="D3085" s="3"/>
      <c r="E3085" s="3"/>
      <c r="F3085" s="2"/>
      <c r="G3085" s="13">
        <f>IF($B3085="IN",$D3085,0)</f>
      </c>
      <c r="H3085" s="13">
        <f>IF($B3085="OUT",$D3085,0)</f>
      </c>
    </row>
    <row x14ac:dyDescent="0.25" r="3086" customHeight="1" ht="17.25">
      <c r="A3086" s="52"/>
      <c r="B3086" s="2"/>
      <c r="C3086" s="2"/>
      <c r="D3086" s="3"/>
      <c r="E3086" s="3"/>
      <c r="F3086" s="2"/>
      <c r="G3086" s="13">
        <f>IF($B3086="IN",$D3086,0)</f>
      </c>
      <c r="H3086" s="13">
        <f>IF($B3086="OUT",$D3086,0)</f>
      </c>
    </row>
    <row x14ac:dyDescent="0.25" r="3087" customHeight="1" ht="17.25">
      <c r="A3087" s="52"/>
      <c r="B3087" s="2"/>
      <c r="C3087" s="2"/>
      <c r="D3087" s="3"/>
      <c r="E3087" s="3"/>
      <c r="F3087" s="2"/>
      <c r="G3087" s="13">
        <f>IF($B3087="IN",$D3087,0)</f>
      </c>
      <c r="H3087" s="13">
        <f>IF($B3087="OUT",$D3087,0)</f>
      </c>
    </row>
    <row x14ac:dyDescent="0.25" r="3088" customHeight="1" ht="17.25">
      <c r="A3088" s="52"/>
      <c r="B3088" s="2"/>
      <c r="C3088" s="2"/>
      <c r="D3088" s="3"/>
      <c r="E3088" s="3"/>
      <c r="F3088" s="2"/>
      <c r="G3088" s="13">
        <f>IF($B3088="IN",$D3088,0)</f>
      </c>
      <c r="H3088" s="13">
        <f>IF($B3088="OUT",$D3088,0)</f>
      </c>
    </row>
    <row x14ac:dyDescent="0.25" r="3089" customHeight="1" ht="17.25">
      <c r="A3089" s="52"/>
      <c r="B3089" s="2"/>
      <c r="C3089" s="2"/>
      <c r="D3089" s="3"/>
      <c r="E3089" s="3"/>
      <c r="F3089" s="2"/>
      <c r="G3089" s="13">
        <f>IF($B3089="IN",$D3089,0)</f>
      </c>
      <c r="H3089" s="13">
        <f>IF($B3089="OUT",$D3089,0)</f>
      </c>
    </row>
    <row x14ac:dyDescent="0.25" r="3090" customHeight="1" ht="17.25">
      <c r="A3090" s="52"/>
      <c r="B3090" s="2"/>
      <c r="C3090" s="2"/>
      <c r="D3090" s="3"/>
      <c r="E3090" s="3"/>
      <c r="F3090" s="2"/>
      <c r="G3090" s="13">
        <f>IF($B3090="IN",$D3090,0)</f>
      </c>
      <c r="H3090" s="13">
        <f>IF($B3090="OUT",$D3090,0)</f>
      </c>
    </row>
    <row x14ac:dyDescent="0.25" r="3091" customHeight="1" ht="17.25">
      <c r="A3091" s="52"/>
      <c r="B3091" s="2"/>
      <c r="C3091" s="2"/>
      <c r="D3091" s="3"/>
      <c r="E3091" s="3"/>
      <c r="F3091" s="2"/>
      <c r="G3091" s="13">
        <f>IF($B3091="IN",$D3091,0)</f>
      </c>
      <c r="H3091" s="13">
        <f>IF($B3091="OUT",$D3091,0)</f>
      </c>
    </row>
    <row x14ac:dyDescent="0.25" r="3092" customHeight="1" ht="17.25">
      <c r="A3092" s="52"/>
      <c r="B3092" s="2"/>
      <c r="C3092" s="2"/>
      <c r="D3092" s="3"/>
      <c r="E3092" s="3"/>
      <c r="F3092" s="2"/>
      <c r="G3092" s="13">
        <f>IF($B3092="IN",$D3092,0)</f>
      </c>
      <c r="H3092" s="13">
        <f>IF($B3092="OUT",$D3092,0)</f>
      </c>
    </row>
    <row x14ac:dyDescent="0.25" r="3093" customHeight="1" ht="17.25">
      <c r="A3093" s="52"/>
      <c r="B3093" s="2"/>
      <c r="C3093" s="2"/>
      <c r="D3093" s="3"/>
      <c r="E3093" s="3"/>
      <c r="F3093" s="2"/>
      <c r="G3093" s="13">
        <f>IF($B3093="IN",$D3093,0)</f>
      </c>
      <c r="H3093" s="13">
        <f>IF($B3093="OUT",$D3093,0)</f>
      </c>
    </row>
    <row x14ac:dyDescent="0.25" r="3094" customHeight="1" ht="17.25">
      <c r="A3094" s="52"/>
      <c r="B3094" s="2"/>
      <c r="C3094" s="2"/>
      <c r="D3094" s="3"/>
      <c r="E3094" s="3"/>
      <c r="F3094" s="2"/>
      <c r="G3094" s="13">
        <f>IF($B3094="IN",$D3094,0)</f>
      </c>
      <c r="H3094" s="13">
        <f>IF($B3094="OUT",$D3094,0)</f>
      </c>
    </row>
    <row x14ac:dyDescent="0.25" r="3095" customHeight="1" ht="17.25">
      <c r="A3095" s="52"/>
      <c r="B3095" s="2"/>
      <c r="C3095" s="2"/>
      <c r="D3095" s="3"/>
      <c r="E3095" s="3"/>
      <c r="F3095" s="2"/>
      <c r="G3095" s="13">
        <f>IF($B3095="IN",$D3095,0)</f>
      </c>
      <c r="H3095" s="13">
        <f>IF($B3095="OUT",$D3095,0)</f>
      </c>
    </row>
    <row x14ac:dyDescent="0.25" r="3096" customHeight="1" ht="17.25">
      <c r="A3096" s="52"/>
      <c r="B3096" s="2"/>
      <c r="C3096" s="2"/>
      <c r="D3096" s="3"/>
      <c r="E3096" s="3"/>
      <c r="F3096" s="2"/>
      <c r="G3096" s="13">
        <f>IF($B3096="IN",$D3096,0)</f>
      </c>
      <c r="H3096" s="13">
        <f>IF($B3096="OUT",$D3096,0)</f>
      </c>
    </row>
    <row x14ac:dyDescent="0.25" r="3097" customHeight="1" ht="17.25">
      <c r="A3097" s="52"/>
      <c r="B3097" s="2"/>
      <c r="C3097" s="2"/>
      <c r="D3097" s="3"/>
      <c r="E3097" s="3"/>
      <c r="F3097" s="2"/>
      <c r="G3097" s="13">
        <f>IF($B3097="IN",$D3097,0)</f>
      </c>
      <c r="H3097" s="13">
        <f>IF($B3097="OUT",$D3097,0)</f>
      </c>
    </row>
    <row x14ac:dyDescent="0.25" r="3098" customHeight="1" ht="17.25">
      <c r="A3098" s="52"/>
      <c r="B3098" s="2"/>
      <c r="C3098" s="2"/>
      <c r="D3098" s="3"/>
      <c r="E3098" s="3"/>
      <c r="F3098" s="2"/>
      <c r="G3098" s="13">
        <f>IF($B3098="IN",$D3098,0)</f>
      </c>
      <c r="H3098" s="13">
        <f>IF($B3098="OUT",$D3098,0)</f>
      </c>
    </row>
    <row x14ac:dyDescent="0.25" r="3099" customHeight="1" ht="17.25">
      <c r="A3099" s="52"/>
      <c r="B3099" s="2"/>
      <c r="C3099" s="2"/>
      <c r="D3099" s="3"/>
      <c r="E3099" s="3"/>
      <c r="F3099" s="2"/>
      <c r="G3099" s="13">
        <f>IF($B3099="IN",$D3099,0)</f>
      </c>
      <c r="H3099" s="13">
        <f>IF($B3099="OUT",$D3099,0)</f>
      </c>
    </row>
    <row x14ac:dyDescent="0.25" r="3100" customHeight="1" ht="17.25">
      <c r="A3100" s="52"/>
      <c r="B3100" s="2"/>
      <c r="C3100" s="2"/>
      <c r="D3100" s="3"/>
      <c r="E3100" s="3"/>
      <c r="F3100" s="2"/>
      <c r="G3100" s="13">
        <f>IF($B3100="IN",$D3100,0)</f>
      </c>
      <c r="H3100" s="13">
        <f>IF($B3100="OUT",$D3100,0)</f>
      </c>
    </row>
    <row x14ac:dyDescent="0.25" r="3101" customHeight="1" ht="17.25">
      <c r="A3101" s="52"/>
      <c r="B3101" s="2"/>
      <c r="C3101" s="2"/>
      <c r="D3101" s="3"/>
      <c r="E3101" s="3"/>
      <c r="F3101" s="2"/>
      <c r="G3101" s="13">
        <f>IF($B3101="IN",$D3101,0)</f>
      </c>
      <c r="H3101" s="13">
        <f>IF($B3101="OUT",$D3101,0)</f>
      </c>
    </row>
    <row x14ac:dyDescent="0.25" r="3102" customHeight="1" ht="17.25">
      <c r="A3102" s="52"/>
      <c r="B3102" s="2"/>
      <c r="C3102" s="2"/>
      <c r="D3102" s="3"/>
      <c r="E3102" s="3"/>
      <c r="F3102" s="2"/>
      <c r="G3102" s="13">
        <f>IF($B3102="IN",$D3102,0)</f>
      </c>
      <c r="H3102" s="13">
        <f>IF($B3102="OUT",$D3102,0)</f>
      </c>
    </row>
    <row x14ac:dyDescent="0.25" r="3103" customHeight="1" ht="17.25">
      <c r="A3103" s="52"/>
      <c r="B3103" s="2"/>
      <c r="C3103" s="2"/>
      <c r="D3103" s="3"/>
      <c r="E3103" s="3"/>
      <c r="F3103" s="2"/>
      <c r="G3103" s="13">
        <f>IF($B3103="IN",$D3103,0)</f>
      </c>
      <c r="H3103" s="13">
        <f>IF($B3103="OUT",$D3103,0)</f>
      </c>
    </row>
    <row x14ac:dyDescent="0.25" r="3104" customHeight="1" ht="17.25">
      <c r="A3104" s="52"/>
      <c r="B3104" s="2"/>
      <c r="C3104" s="2"/>
      <c r="D3104" s="3"/>
      <c r="E3104" s="3"/>
      <c r="F3104" s="2"/>
      <c r="G3104" s="13">
        <f>IF($B3104="IN",$D3104,0)</f>
      </c>
      <c r="H3104" s="13">
        <f>IF($B3104="OUT",$D3104,0)</f>
      </c>
    </row>
    <row x14ac:dyDescent="0.25" r="3105" customHeight="1" ht="17.25">
      <c r="A3105" s="52"/>
      <c r="B3105" s="2"/>
      <c r="C3105" s="2"/>
      <c r="D3105" s="3"/>
      <c r="E3105" s="3"/>
      <c r="F3105" s="2"/>
      <c r="G3105" s="13">
        <f>IF($B3105="IN",$D3105,0)</f>
      </c>
      <c r="H3105" s="13">
        <f>IF($B3105="OUT",$D3105,0)</f>
      </c>
    </row>
    <row x14ac:dyDescent="0.25" r="3106" customHeight="1" ht="17.25">
      <c r="A3106" s="52"/>
      <c r="B3106" s="2"/>
      <c r="C3106" s="2"/>
      <c r="D3106" s="3"/>
      <c r="E3106" s="3"/>
      <c r="F3106" s="2"/>
      <c r="G3106" s="13">
        <f>IF($B3106="IN",$D3106,0)</f>
      </c>
      <c r="H3106" s="13">
        <f>IF($B3106="OUT",$D3106,0)</f>
      </c>
    </row>
    <row x14ac:dyDescent="0.25" r="3107" customHeight="1" ht="17.25">
      <c r="A3107" s="52"/>
      <c r="B3107" s="2"/>
      <c r="C3107" s="2"/>
      <c r="D3107" s="3"/>
      <c r="E3107" s="3"/>
      <c r="F3107" s="2"/>
      <c r="G3107" s="13">
        <f>IF($B3107="IN",$D3107,0)</f>
      </c>
      <c r="H3107" s="13">
        <f>IF($B3107="OUT",$D3107,0)</f>
      </c>
    </row>
    <row x14ac:dyDescent="0.25" r="3108" customHeight="1" ht="17.25">
      <c r="A3108" s="52"/>
      <c r="B3108" s="2"/>
      <c r="C3108" s="2"/>
      <c r="D3108" s="3"/>
      <c r="E3108" s="3"/>
      <c r="F3108" s="2"/>
      <c r="G3108" s="13">
        <f>IF($B3108="IN",$D3108,0)</f>
      </c>
      <c r="H3108" s="13">
        <f>IF($B3108="OUT",$D3108,0)</f>
      </c>
    </row>
    <row x14ac:dyDescent="0.25" r="3109" customHeight="1" ht="17.25">
      <c r="A3109" s="52"/>
      <c r="B3109" s="2"/>
      <c r="C3109" s="2"/>
      <c r="D3109" s="3"/>
      <c r="E3109" s="3"/>
      <c r="F3109" s="2"/>
      <c r="G3109" s="13">
        <f>IF($B3109="IN",$D3109,0)</f>
      </c>
      <c r="H3109" s="13">
        <f>IF($B3109="OUT",$D3109,0)</f>
      </c>
    </row>
    <row x14ac:dyDescent="0.25" r="3110" customHeight="1" ht="17.25">
      <c r="A3110" s="52"/>
      <c r="B3110" s="2"/>
      <c r="C3110" s="2"/>
      <c r="D3110" s="3"/>
      <c r="E3110" s="3"/>
      <c r="F3110" s="2"/>
      <c r="G3110" s="13">
        <f>IF($B3110="IN",$D3110,0)</f>
      </c>
      <c r="H3110" s="13">
        <f>IF($B3110="OUT",$D3110,0)</f>
      </c>
    </row>
    <row x14ac:dyDescent="0.25" r="3111" customHeight="1" ht="17.25">
      <c r="A3111" s="52"/>
      <c r="B3111" s="2"/>
      <c r="C3111" s="2"/>
      <c r="D3111" s="3"/>
      <c r="E3111" s="3"/>
      <c r="F3111" s="2"/>
      <c r="G3111" s="13">
        <f>IF($B3111="IN",$D3111,0)</f>
      </c>
      <c r="H3111" s="13">
        <f>IF($B3111="OUT",$D3111,0)</f>
      </c>
    </row>
    <row x14ac:dyDescent="0.25" r="3112" customHeight="1" ht="17.25">
      <c r="A3112" s="52"/>
      <c r="B3112" s="2"/>
      <c r="C3112" s="2"/>
      <c r="D3112" s="3"/>
      <c r="E3112" s="3"/>
      <c r="F3112" s="2"/>
      <c r="G3112" s="13">
        <f>IF($B3112="IN",$D3112,0)</f>
      </c>
      <c r="H3112" s="13">
        <f>IF($B3112="OUT",$D3112,0)</f>
      </c>
    </row>
    <row x14ac:dyDescent="0.25" r="3113" customHeight="1" ht="17.25">
      <c r="A3113" s="52"/>
      <c r="B3113" s="2"/>
      <c r="C3113" s="2"/>
      <c r="D3113" s="3"/>
      <c r="E3113" s="3"/>
      <c r="F3113" s="2"/>
      <c r="G3113" s="13">
        <f>IF($B3113="IN",$D3113,0)</f>
      </c>
      <c r="H3113" s="13">
        <f>IF($B3113="OUT",$D3113,0)</f>
      </c>
    </row>
    <row x14ac:dyDescent="0.25" r="3114" customHeight="1" ht="17.25">
      <c r="A3114" s="52"/>
      <c r="B3114" s="2"/>
      <c r="C3114" s="2"/>
      <c r="D3114" s="3"/>
      <c r="E3114" s="3"/>
      <c r="F3114" s="2"/>
      <c r="G3114" s="13">
        <f>IF($B3114="IN",$D3114,0)</f>
      </c>
      <c r="H3114" s="13">
        <f>IF($B3114="OUT",$D3114,0)</f>
      </c>
    </row>
    <row x14ac:dyDescent="0.25" r="3115" customHeight="1" ht="17.25">
      <c r="A3115" s="52"/>
      <c r="B3115" s="2"/>
      <c r="C3115" s="2"/>
      <c r="D3115" s="3"/>
      <c r="E3115" s="3"/>
      <c r="F3115" s="2"/>
      <c r="G3115" s="13">
        <f>IF($B3115="IN",$D3115,0)</f>
      </c>
      <c r="H3115" s="13">
        <f>IF($B3115="OUT",$D3115,0)</f>
      </c>
    </row>
    <row x14ac:dyDescent="0.25" r="3116" customHeight="1" ht="17.25">
      <c r="A3116" s="52"/>
      <c r="B3116" s="2"/>
      <c r="C3116" s="2"/>
      <c r="D3116" s="3"/>
      <c r="E3116" s="3"/>
      <c r="F3116" s="2"/>
      <c r="G3116" s="13">
        <f>IF($B3116="IN",$D3116,0)</f>
      </c>
      <c r="H3116" s="13">
        <f>IF($B3116="OUT",$D3116,0)</f>
      </c>
    </row>
    <row x14ac:dyDescent="0.25" r="3117" customHeight="1" ht="17.25">
      <c r="A3117" s="52"/>
      <c r="B3117" s="2"/>
      <c r="C3117" s="2"/>
      <c r="D3117" s="3"/>
      <c r="E3117" s="3"/>
      <c r="F3117" s="2"/>
      <c r="G3117" s="13">
        <f>IF($B3117="IN",$D3117,0)</f>
      </c>
      <c r="H3117" s="13">
        <f>IF($B3117="OUT",$D3117,0)</f>
      </c>
    </row>
    <row x14ac:dyDescent="0.25" r="3118" customHeight="1" ht="17.25">
      <c r="A3118" s="52"/>
      <c r="B3118" s="2"/>
      <c r="C3118" s="2"/>
      <c r="D3118" s="3"/>
      <c r="E3118" s="3"/>
      <c r="F3118" s="2"/>
      <c r="G3118" s="13">
        <f>IF($B3118="IN",$D3118,0)</f>
      </c>
      <c r="H3118" s="13">
        <f>IF($B3118="OUT",$D3118,0)</f>
      </c>
    </row>
    <row x14ac:dyDescent="0.25" r="3119" customHeight="1" ht="17.25">
      <c r="A3119" s="52"/>
      <c r="B3119" s="2"/>
      <c r="C3119" s="2"/>
      <c r="D3119" s="3"/>
      <c r="E3119" s="3"/>
      <c r="F3119" s="2"/>
      <c r="G3119" s="13">
        <f>IF($B3119="IN",$D3119,0)</f>
      </c>
      <c r="H3119" s="13">
        <f>IF($B3119="OUT",$D3119,0)</f>
      </c>
    </row>
    <row x14ac:dyDescent="0.25" r="3120" customHeight="1" ht="17.25">
      <c r="A3120" s="52"/>
      <c r="B3120" s="2"/>
      <c r="C3120" s="2"/>
      <c r="D3120" s="3"/>
      <c r="E3120" s="3"/>
      <c r="F3120" s="2"/>
      <c r="G3120" s="13">
        <f>IF($B3120="IN",$D3120,0)</f>
      </c>
      <c r="H3120" s="13">
        <f>IF($B3120="OUT",$D3120,0)</f>
      </c>
    </row>
    <row x14ac:dyDescent="0.25" r="3121" customHeight="1" ht="17.25">
      <c r="A3121" s="52"/>
      <c r="B3121" s="2"/>
      <c r="C3121" s="2"/>
      <c r="D3121" s="3"/>
      <c r="E3121" s="3"/>
      <c r="F3121" s="2"/>
      <c r="G3121" s="13">
        <f>IF($B3121="IN",$D3121,0)</f>
      </c>
      <c r="H3121" s="13">
        <f>IF($B3121="OUT",$D3121,0)</f>
      </c>
    </row>
    <row x14ac:dyDescent="0.25" r="3122" customHeight="1" ht="17.25">
      <c r="A3122" s="52"/>
      <c r="B3122" s="2"/>
      <c r="C3122" s="2"/>
      <c r="D3122" s="3"/>
      <c r="E3122" s="3"/>
      <c r="F3122" s="2"/>
      <c r="G3122" s="13">
        <f>IF($B3122="IN",$D3122,0)</f>
      </c>
      <c r="H3122" s="13">
        <f>IF($B3122="OUT",$D3122,0)</f>
      </c>
    </row>
    <row x14ac:dyDescent="0.25" r="3123" customHeight="1" ht="17.25">
      <c r="A3123" s="52"/>
      <c r="B3123" s="2"/>
      <c r="C3123" s="2"/>
      <c r="D3123" s="3"/>
      <c r="E3123" s="3"/>
      <c r="F3123" s="2"/>
      <c r="G3123" s="13">
        <f>IF($B3123="IN",$D3123,0)</f>
      </c>
      <c r="H3123" s="13">
        <f>IF($B3123="OUT",$D3123,0)</f>
      </c>
    </row>
    <row x14ac:dyDescent="0.25" r="3124" customHeight="1" ht="17.25">
      <c r="A3124" s="52"/>
      <c r="B3124" s="2"/>
      <c r="C3124" s="2"/>
      <c r="D3124" s="3"/>
      <c r="E3124" s="3"/>
      <c r="F3124" s="2"/>
      <c r="G3124" s="13">
        <f>IF($B3124="IN",$D3124,0)</f>
      </c>
      <c r="H3124" s="13">
        <f>IF($B3124="OUT",$D3124,0)</f>
      </c>
    </row>
    <row x14ac:dyDescent="0.25" r="3125" customHeight="1" ht="17.25">
      <c r="A3125" s="52"/>
      <c r="B3125" s="2"/>
      <c r="C3125" s="2"/>
      <c r="D3125" s="3"/>
      <c r="E3125" s="3"/>
      <c r="F3125" s="2"/>
      <c r="G3125" s="13">
        <f>IF($B3125="IN",$D3125,0)</f>
      </c>
      <c r="H3125" s="13">
        <f>IF($B3125="OUT",$D3125,0)</f>
      </c>
    </row>
    <row x14ac:dyDescent="0.25" r="3126" customHeight="1" ht="17.25">
      <c r="A3126" s="52"/>
      <c r="B3126" s="2"/>
      <c r="C3126" s="2"/>
      <c r="D3126" s="3"/>
      <c r="E3126" s="3"/>
      <c r="F3126" s="2"/>
      <c r="G3126" s="13">
        <f>IF($B3126="IN",$D3126,0)</f>
      </c>
      <c r="H3126" s="13">
        <f>IF($B3126="OUT",$D3126,0)</f>
      </c>
    </row>
    <row x14ac:dyDescent="0.25" r="3127" customHeight="1" ht="17.25">
      <c r="A3127" s="52"/>
      <c r="B3127" s="2"/>
      <c r="C3127" s="2"/>
      <c r="D3127" s="3"/>
      <c r="E3127" s="3"/>
      <c r="F3127" s="2"/>
      <c r="G3127" s="13">
        <f>IF($B3127="IN",$D3127,0)</f>
      </c>
      <c r="H3127" s="13">
        <f>IF($B3127="OUT",$D3127,0)</f>
      </c>
    </row>
    <row x14ac:dyDescent="0.25" r="3128" customHeight="1" ht="17.25">
      <c r="A3128" s="52"/>
      <c r="B3128" s="2"/>
      <c r="C3128" s="2"/>
      <c r="D3128" s="3"/>
      <c r="E3128" s="3"/>
      <c r="F3128" s="2"/>
      <c r="G3128" s="13">
        <f>IF($B3128="IN",$D3128,0)</f>
      </c>
      <c r="H3128" s="13">
        <f>IF($B3128="OUT",$D3128,0)</f>
      </c>
    </row>
    <row x14ac:dyDescent="0.25" r="3129" customHeight="1" ht="17.25">
      <c r="A3129" s="52"/>
      <c r="B3129" s="2"/>
      <c r="C3129" s="2"/>
      <c r="D3129" s="3"/>
      <c r="E3129" s="3"/>
      <c r="F3129" s="2"/>
      <c r="G3129" s="13">
        <f>IF($B3129="IN",$D3129,0)</f>
      </c>
      <c r="H3129" s="13">
        <f>IF($B3129="OUT",$D3129,0)</f>
      </c>
    </row>
    <row x14ac:dyDescent="0.25" r="3130" customHeight="1" ht="17.25">
      <c r="A3130" s="52"/>
      <c r="B3130" s="2"/>
      <c r="C3130" s="2"/>
      <c r="D3130" s="3"/>
      <c r="E3130" s="3"/>
      <c r="F3130" s="2"/>
      <c r="G3130" s="13">
        <f>IF($B3130="IN",$D3130,0)</f>
      </c>
      <c r="H3130" s="13">
        <f>IF($B3130="OUT",$D3130,0)</f>
      </c>
    </row>
    <row x14ac:dyDescent="0.25" r="3131" customHeight="1" ht="17.25">
      <c r="A3131" s="52"/>
      <c r="B3131" s="2"/>
      <c r="C3131" s="2"/>
      <c r="D3131" s="3"/>
      <c r="E3131" s="3"/>
      <c r="F3131" s="2"/>
      <c r="G3131" s="13">
        <f>IF($B3131="IN",$D3131,0)</f>
      </c>
      <c r="H3131" s="13">
        <f>IF($B3131="OUT",$D3131,0)</f>
      </c>
    </row>
    <row x14ac:dyDescent="0.25" r="3132" customHeight="1" ht="17.25">
      <c r="A3132" s="52"/>
      <c r="B3132" s="2"/>
      <c r="C3132" s="2"/>
      <c r="D3132" s="3"/>
      <c r="E3132" s="3"/>
      <c r="F3132" s="2"/>
      <c r="G3132" s="13">
        <f>IF($B3132="IN",$D3132,0)</f>
      </c>
      <c r="H3132" s="13">
        <f>IF($B3132="OUT",$D3132,0)</f>
      </c>
    </row>
    <row x14ac:dyDescent="0.25" r="3133" customHeight="1" ht="17.25">
      <c r="A3133" s="52"/>
      <c r="B3133" s="2"/>
      <c r="C3133" s="2"/>
      <c r="D3133" s="3"/>
      <c r="E3133" s="3"/>
      <c r="F3133" s="2"/>
      <c r="G3133" s="13">
        <f>IF($B3133="IN",$D3133,0)</f>
      </c>
      <c r="H3133" s="13">
        <f>IF($B3133="OUT",$D3133,0)</f>
      </c>
    </row>
    <row x14ac:dyDescent="0.25" r="3134" customHeight="1" ht="17.25">
      <c r="A3134" s="52"/>
      <c r="B3134" s="2"/>
      <c r="C3134" s="2"/>
      <c r="D3134" s="3"/>
      <c r="E3134" s="3"/>
      <c r="F3134" s="2"/>
      <c r="G3134" s="13">
        <f>IF($B3134="IN",$D3134,0)</f>
      </c>
      <c r="H3134" s="13">
        <f>IF($B3134="OUT",$D3134,0)</f>
      </c>
    </row>
    <row x14ac:dyDescent="0.25" r="3135" customHeight="1" ht="17.25">
      <c r="A3135" s="52"/>
      <c r="B3135" s="2"/>
      <c r="C3135" s="2"/>
      <c r="D3135" s="3"/>
      <c r="E3135" s="3"/>
      <c r="F3135" s="2"/>
      <c r="G3135" s="13">
        <f>IF($B3135="IN",$D3135,0)</f>
      </c>
      <c r="H3135" s="13">
        <f>IF($B3135="OUT",$D3135,0)</f>
      </c>
    </row>
    <row x14ac:dyDescent="0.25" r="3136" customHeight="1" ht="17.25">
      <c r="A3136" s="52"/>
      <c r="B3136" s="2"/>
      <c r="C3136" s="2"/>
      <c r="D3136" s="3"/>
      <c r="E3136" s="3"/>
      <c r="F3136" s="2"/>
      <c r="G3136" s="13">
        <f>IF($B3136="IN",$D3136,0)</f>
      </c>
      <c r="H3136" s="13">
        <f>IF($B3136="OUT",$D3136,0)</f>
      </c>
    </row>
    <row x14ac:dyDescent="0.25" r="3137" customHeight="1" ht="17.25">
      <c r="A3137" s="52"/>
      <c r="B3137" s="2"/>
      <c r="C3137" s="2"/>
      <c r="D3137" s="3"/>
      <c r="E3137" s="3"/>
      <c r="F3137" s="2"/>
      <c r="G3137" s="13">
        <f>IF($B3137="IN",$D3137,0)</f>
      </c>
      <c r="H3137" s="13">
        <f>IF($B3137="OUT",$D3137,0)</f>
      </c>
    </row>
    <row x14ac:dyDescent="0.25" r="3138" customHeight="1" ht="17.25">
      <c r="A3138" s="52"/>
      <c r="B3138" s="2"/>
      <c r="C3138" s="2"/>
      <c r="D3138" s="3"/>
      <c r="E3138" s="3"/>
      <c r="F3138" s="2"/>
      <c r="G3138" s="13">
        <f>IF($B3138="IN",$D3138,0)</f>
      </c>
      <c r="H3138" s="13">
        <f>IF($B3138="OUT",$D3138,0)</f>
      </c>
    </row>
    <row x14ac:dyDescent="0.25" r="3139" customHeight="1" ht="17.25">
      <c r="A3139" s="52"/>
      <c r="B3139" s="2"/>
      <c r="C3139" s="2"/>
      <c r="D3139" s="3"/>
      <c r="E3139" s="3"/>
      <c r="F3139" s="2"/>
      <c r="G3139" s="13">
        <f>IF($B3139="IN",$D3139,0)</f>
      </c>
      <c r="H3139" s="13">
        <f>IF($B3139="OUT",$D3139,0)</f>
      </c>
    </row>
    <row x14ac:dyDescent="0.25" r="3140" customHeight="1" ht="17.25">
      <c r="A3140" s="52"/>
      <c r="B3140" s="2"/>
      <c r="C3140" s="2"/>
      <c r="D3140" s="3"/>
      <c r="E3140" s="3"/>
      <c r="F3140" s="2"/>
      <c r="G3140" s="13">
        <f>IF($B3140="IN",$D3140,0)</f>
      </c>
      <c r="H3140" s="13">
        <f>IF($B3140="OUT",$D3140,0)</f>
      </c>
    </row>
    <row x14ac:dyDescent="0.25" r="3141" customHeight="1" ht="17.25">
      <c r="A3141" s="52"/>
      <c r="B3141" s="2"/>
      <c r="C3141" s="2"/>
      <c r="D3141" s="3"/>
      <c r="E3141" s="3"/>
      <c r="F3141" s="2"/>
      <c r="G3141" s="13">
        <f>IF($B3141="IN",$D3141,0)</f>
      </c>
      <c r="H3141" s="13">
        <f>IF($B3141="OUT",$D3141,0)</f>
      </c>
    </row>
    <row x14ac:dyDescent="0.25" r="3142" customHeight="1" ht="17.25">
      <c r="A3142" s="52"/>
      <c r="B3142" s="2"/>
      <c r="C3142" s="2"/>
      <c r="D3142" s="3"/>
      <c r="E3142" s="3"/>
      <c r="F3142" s="2"/>
      <c r="G3142" s="13">
        <f>IF($B3142="IN",$D3142,0)</f>
      </c>
      <c r="H3142" s="13">
        <f>IF($B3142="OUT",$D3142,0)</f>
      </c>
    </row>
    <row x14ac:dyDescent="0.25" r="3143" customHeight="1" ht="17.25">
      <c r="A3143" s="52"/>
      <c r="B3143" s="2"/>
      <c r="C3143" s="2"/>
      <c r="D3143" s="3"/>
      <c r="E3143" s="3"/>
      <c r="F3143" s="2"/>
      <c r="G3143" s="13">
        <f>IF($B3143="IN",$D3143,0)</f>
      </c>
      <c r="H3143" s="13">
        <f>IF($B3143="OUT",$D3143,0)</f>
      </c>
    </row>
    <row x14ac:dyDescent="0.25" r="3144" customHeight="1" ht="17.25">
      <c r="A3144" s="52"/>
      <c r="B3144" s="2"/>
      <c r="C3144" s="2"/>
      <c r="D3144" s="3"/>
      <c r="E3144" s="3"/>
      <c r="F3144" s="2"/>
      <c r="G3144" s="13">
        <f>IF($B3144="IN",$D3144,0)</f>
      </c>
      <c r="H3144" s="13">
        <f>IF($B3144="OUT",$D3144,0)</f>
      </c>
    </row>
    <row x14ac:dyDescent="0.25" r="3145" customHeight="1" ht="17.25">
      <c r="A3145" s="52"/>
      <c r="B3145" s="2"/>
      <c r="C3145" s="2"/>
      <c r="D3145" s="3"/>
      <c r="E3145" s="3"/>
      <c r="F3145" s="2"/>
      <c r="G3145" s="13">
        <f>IF($B3145="IN",$D3145,0)</f>
      </c>
      <c r="H3145" s="13">
        <f>IF($B3145="OUT",$D3145,0)</f>
      </c>
    </row>
    <row x14ac:dyDescent="0.25" r="3146" customHeight="1" ht="17.25">
      <c r="A3146" s="52"/>
      <c r="B3146" s="2"/>
      <c r="C3146" s="2"/>
      <c r="D3146" s="3"/>
      <c r="E3146" s="3"/>
      <c r="F3146" s="2"/>
      <c r="G3146" s="13">
        <f>IF($B3146="IN",$D3146,0)</f>
      </c>
      <c r="H3146" s="13">
        <f>IF($B3146="OUT",$D3146,0)</f>
      </c>
    </row>
    <row x14ac:dyDescent="0.25" r="3147" customHeight="1" ht="17.25">
      <c r="A3147" s="52"/>
      <c r="B3147" s="2"/>
      <c r="C3147" s="2"/>
      <c r="D3147" s="3"/>
      <c r="E3147" s="3"/>
      <c r="F3147" s="2"/>
      <c r="G3147" s="13">
        <f>IF($B3147="IN",$D3147,0)</f>
      </c>
      <c r="H3147" s="13">
        <f>IF($B3147="OUT",$D3147,0)</f>
      </c>
    </row>
    <row x14ac:dyDescent="0.25" r="3148" customHeight="1" ht="17.25">
      <c r="A3148" s="52"/>
      <c r="B3148" s="2"/>
      <c r="C3148" s="2"/>
      <c r="D3148" s="3"/>
      <c r="E3148" s="3"/>
      <c r="F3148" s="2"/>
      <c r="G3148" s="13">
        <f>IF($B3148="IN",$D3148,0)</f>
      </c>
      <c r="H3148" s="13">
        <f>IF($B3148="OUT",$D3148,0)</f>
      </c>
    </row>
    <row x14ac:dyDescent="0.25" r="3149" customHeight="1" ht="17.25">
      <c r="A3149" s="52"/>
      <c r="B3149" s="2"/>
      <c r="C3149" s="2"/>
      <c r="D3149" s="3"/>
      <c r="E3149" s="3"/>
      <c r="F3149" s="2"/>
      <c r="G3149" s="13">
        <f>IF($B3149="IN",$D3149,0)</f>
      </c>
      <c r="H3149" s="13">
        <f>IF($B3149="OUT",$D3149,0)</f>
      </c>
    </row>
    <row x14ac:dyDescent="0.25" r="3150" customHeight="1" ht="17.25">
      <c r="A3150" s="52"/>
      <c r="B3150" s="2"/>
      <c r="C3150" s="2"/>
      <c r="D3150" s="3"/>
      <c r="E3150" s="3"/>
      <c r="F3150" s="2"/>
      <c r="G3150" s="13">
        <f>IF($B3150="IN",$D3150,0)</f>
      </c>
      <c r="H3150" s="13">
        <f>IF($B3150="OUT",$D3150,0)</f>
      </c>
    </row>
    <row x14ac:dyDescent="0.25" r="3151" customHeight="1" ht="17.25">
      <c r="A3151" s="52"/>
      <c r="B3151" s="2"/>
      <c r="C3151" s="2"/>
      <c r="D3151" s="3"/>
      <c r="E3151" s="3"/>
      <c r="F3151" s="2"/>
      <c r="G3151" s="13">
        <f>IF($B3151="IN",$D3151,0)</f>
      </c>
      <c r="H3151" s="13">
        <f>IF($B3151="OUT",$D3151,0)</f>
      </c>
    </row>
    <row x14ac:dyDescent="0.25" r="3152" customHeight="1" ht="17.25">
      <c r="A3152" s="52"/>
      <c r="B3152" s="2"/>
      <c r="C3152" s="2"/>
      <c r="D3152" s="3"/>
      <c r="E3152" s="3"/>
      <c r="F3152" s="2"/>
      <c r="G3152" s="13">
        <f>IF($B3152="IN",$D3152,0)</f>
      </c>
      <c r="H3152" s="13">
        <f>IF($B3152="OUT",$D3152,0)</f>
      </c>
    </row>
    <row x14ac:dyDescent="0.25" r="3153" customHeight="1" ht="17.25">
      <c r="A3153" s="52"/>
      <c r="B3153" s="2"/>
      <c r="C3153" s="2"/>
      <c r="D3153" s="3"/>
      <c r="E3153" s="3"/>
      <c r="F3153" s="2"/>
      <c r="G3153" s="13">
        <f>IF($B3153="IN",$D3153,0)</f>
      </c>
      <c r="H3153" s="13">
        <f>IF($B3153="OUT",$D3153,0)</f>
      </c>
    </row>
    <row x14ac:dyDescent="0.25" r="3154" customHeight="1" ht="17.25">
      <c r="A3154" s="52"/>
      <c r="B3154" s="2"/>
      <c r="C3154" s="2"/>
      <c r="D3154" s="3"/>
      <c r="E3154" s="3"/>
      <c r="F3154" s="2"/>
      <c r="G3154" s="13">
        <f>IF($B3154="IN",$D3154,0)</f>
      </c>
      <c r="H3154" s="13">
        <f>IF($B3154="OUT",$D3154,0)</f>
      </c>
    </row>
    <row x14ac:dyDescent="0.25" r="3155" customHeight="1" ht="17.25">
      <c r="A3155" s="52"/>
      <c r="B3155" s="2"/>
      <c r="C3155" s="2"/>
      <c r="D3155" s="3"/>
      <c r="E3155" s="3"/>
      <c r="F3155" s="2"/>
      <c r="G3155" s="13">
        <f>IF($B3155="IN",$D3155,0)</f>
      </c>
      <c r="H3155" s="13">
        <f>IF($B3155="OUT",$D3155,0)</f>
      </c>
    </row>
    <row x14ac:dyDescent="0.25" r="3156" customHeight="1" ht="17.25">
      <c r="A3156" s="52"/>
      <c r="B3156" s="2"/>
      <c r="C3156" s="2"/>
      <c r="D3156" s="3"/>
      <c r="E3156" s="3"/>
      <c r="F3156" s="2"/>
      <c r="G3156" s="13">
        <f>IF($B3156="IN",$D3156,0)</f>
      </c>
      <c r="H3156" s="13">
        <f>IF($B3156="OUT",$D3156,0)</f>
      </c>
    </row>
    <row x14ac:dyDescent="0.25" r="3157" customHeight="1" ht="17.25">
      <c r="A3157" s="52"/>
      <c r="B3157" s="2"/>
      <c r="C3157" s="2"/>
      <c r="D3157" s="3"/>
      <c r="E3157" s="3"/>
      <c r="F3157" s="2"/>
      <c r="G3157" s="13">
        <f>IF($B3157="IN",$D3157,0)</f>
      </c>
      <c r="H3157" s="13">
        <f>IF($B3157="OUT",$D3157,0)</f>
      </c>
    </row>
    <row x14ac:dyDescent="0.25" r="3158" customHeight="1" ht="17.25">
      <c r="A3158" s="52"/>
      <c r="B3158" s="2"/>
      <c r="C3158" s="2"/>
      <c r="D3158" s="3"/>
      <c r="E3158" s="3"/>
      <c r="F3158" s="2"/>
      <c r="G3158" s="13">
        <f>IF($B3158="IN",$D3158,0)</f>
      </c>
      <c r="H3158" s="13">
        <f>IF($B3158="OUT",$D3158,0)</f>
      </c>
    </row>
    <row x14ac:dyDescent="0.25" r="3159" customHeight="1" ht="17.25">
      <c r="A3159" s="52"/>
      <c r="B3159" s="2"/>
      <c r="C3159" s="2"/>
      <c r="D3159" s="3"/>
      <c r="E3159" s="3"/>
      <c r="F3159" s="2"/>
      <c r="G3159" s="13">
        <f>IF($B3159="IN",$D3159,0)</f>
      </c>
      <c r="H3159" s="13">
        <f>IF($B3159="OUT",$D3159,0)</f>
      </c>
    </row>
    <row x14ac:dyDescent="0.25" r="3160" customHeight="1" ht="17.25">
      <c r="A3160" s="52"/>
      <c r="B3160" s="2"/>
      <c r="C3160" s="2"/>
      <c r="D3160" s="3"/>
      <c r="E3160" s="3"/>
      <c r="F3160" s="2"/>
      <c r="G3160" s="13">
        <f>IF($B3160="IN",$D3160,0)</f>
      </c>
      <c r="H3160" s="13">
        <f>IF($B3160="OUT",$D3160,0)</f>
      </c>
    </row>
    <row x14ac:dyDescent="0.25" r="3161" customHeight="1" ht="17.25">
      <c r="A3161" s="52"/>
      <c r="B3161" s="2"/>
      <c r="C3161" s="2"/>
      <c r="D3161" s="3"/>
      <c r="E3161" s="3"/>
      <c r="F3161" s="2"/>
      <c r="G3161" s="13">
        <f>IF($B3161="IN",$D3161,0)</f>
      </c>
      <c r="H3161" s="13">
        <f>IF($B3161="OUT",$D3161,0)</f>
      </c>
    </row>
    <row x14ac:dyDescent="0.25" r="3162" customHeight="1" ht="17.25">
      <c r="A3162" s="52"/>
      <c r="B3162" s="2"/>
      <c r="C3162" s="2"/>
      <c r="D3162" s="3"/>
      <c r="E3162" s="3"/>
      <c r="F3162" s="2"/>
      <c r="G3162" s="13">
        <f>IF($B3162="IN",$D3162,0)</f>
      </c>
      <c r="H3162" s="13">
        <f>IF($B3162="OUT",$D3162,0)</f>
      </c>
    </row>
    <row x14ac:dyDescent="0.25" r="3163" customHeight="1" ht="17.25">
      <c r="A3163" s="52"/>
      <c r="B3163" s="2"/>
      <c r="C3163" s="2"/>
      <c r="D3163" s="3"/>
      <c r="E3163" s="3"/>
      <c r="F3163" s="2"/>
      <c r="G3163" s="13">
        <f>IF($B3163="IN",$D3163,0)</f>
      </c>
      <c r="H3163" s="13">
        <f>IF($B3163="OUT",$D3163,0)</f>
      </c>
    </row>
    <row x14ac:dyDescent="0.25" r="3164" customHeight="1" ht="17.25">
      <c r="A3164" s="52"/>
      <c r="B3164" s="2"/>
      <c r="C3164" s="2"/>
      <c r="D3164" s="3"/>
      <c r="E3164" s="3"/>
      <c r="F3164" s="2"/>
      <c r="G3164" s="13">
        <f>IF($B3164="IN",$D3164,0)</f>
      </c>
      <c r="H3164" s="13">
        <f>IF($B3164="OUT",$D3164,0)</f>
      </c>
    </row>
    <row x14ac:dyDescent="0.25" r="3165" customHeight="1" ht="17.25">
      <c r="A3165" s="52"/>
      <c r="B3165" s="2"/>
      <c r="C3165" s="2"/>
      <c r="D3165" s="3"/>
      <c r="E3165" s="3"/>
      <c r="F3165" s="2"/>
      <c r="G3165" s="13">
        <f>IF($B3165="IN",$D3165,0)</f>
      </c>
      <c r="H3165" s="13">
        <f>IF($B3165="OUT",$D3165,0)</f>
      </c>
    </row>
    <row x14ac:dyDescent="0.25" r="3166" customHeight="1" ht="17.25">
      <c r="A3166" s="52"/>
      <c r="B3166" s="2"/>
      <c r="C3166" s="2"/>
      <c r="D3166" s="3"/>
      <c r="E3166" s="3"/>
      <c r="F3166" s="2"/>
      <c r="G3166" s="13">
        <f>IF($B3166="IN",$D3166,0)</f>
      </c>
      <c r="H3166" s="13">
        <f>IF($B3166="OUT",$D3166,0)</f>
      </c>
    </row>
    <row x14ac:dyDescent="0.25" r="3167" customHeight="1" ht="17.25">
      <c r="A3167" s="52"/>
      <c r="B3167" s="2"/>
      <c r="C3167" s="2"/>
      <c r="D3167" s="3"/>
      <c r="E3167" s="3"/>
      <c r="F3167" s="2"/>
      <c r="G3167" s="13">
        <f>IF($B3167="IN",$D3167,0)</f>
      </c>
      <c r="H3167" s="13">
        <f>IF($B3167="OUT",$D3167,0)</f>
      </c>
    </row>
    <row x14ac:dyDescent="0.25" r="3168" customHeight="1" ht="17.25">
      <c r="A3168" s="52"/>
      <c r="B3168" s="2"/>
      <c r="C3168" s="2"/>
      <c r="D3168" s="3"/>
      <c r="E3168" s="3"/>
      <c r="F3168" s="2"/>
      <c r="G3168" s="13">
        <f>IF($B3168="IN",$D3168,0)</f>
      </c>
      <c r="H3168" s="13">
        <f>IF($B3168="OUT",$D3168,0)</f>
      </c>
    </row>
    <row x14ac:dyDescent="0.25" r="3169" customHeight="1" ht="17.25">
      <c r="A3169" s="52"/>
      <c r="B3169" s="2"/>
      <c r="C3169" s="2"/>
      <c r="D3169" s="3"/>
      <c r="E3169" s="3"/>
      <c r="F3169" s="2"/>
      <c r="G3169" s="13">
        <f>IF($B3169="IN",$D3169,0)</f>
      </c>
      <c r="H3169" s="13">
        <f>IF($B3169="OUT",$D3169,0)</f>
      </c>
    </row>
    <row x14ac:dyDescent="0.25" r="3170" customHeight="1" ht="17.25">
      <c r="A3170" s="52"/>
      <c r="B3170" s="2"/>
      <c r="C3170" s="2"/>
      <c r="D3170" s="3"/>
      <c r="E3170" s="3"/>
      <c r="F3170" s="2"/>
      <c r="G3170" s="13">
        <f>IF($B3170="IN",$D3170,0)</f>
      </c>
      <c r="H3170" s="13">
        <f>IF($B3170="OUT",$D3170,0)</f>
      </c>
    </row>
    <row x14ac:dyDescent="0.25" r="3171" customHeight="1" ht="17.25">
      <c r="A3171" s="52"/>
      <c r="B3171" s="2"/>
      <c r="C3171" s="2"/>
      <c r="D3171" s="3"/>
      <c r="E3171" s="3"/>
      <c r="F3171" s="2"/>
      <c r="G3171" s="13">
        <f>IF($B3171="IN",$D3171,0)</f>
      </c>
      <c r="H3171" s="13">
        <f>IF($B3171="OUT",$D3171,0)</f>
      </c>
    </row>
    <row x14ac:dyDescent="0.25" r="3172" customHeight="1" ht="17.25">
      <c r="A3172" s="52"/>
      <c r="B3172" s="2"/>
      <c r="C3172" s="2"/>
      <c r="D3172" s="3"/>
      <c r="E3172" s="3"/>
      <c r="F3172" s="2"/>
      <c r="G3172" s="13">
        <f>IF($B3172="IN",$D3172,0)</f>
      </c>
      <c r="H3172" s="13">
        <f>IF($B3172="OUT",$D3172,0)</f>
      </c>
    </row>
    <row x14ac:dyDescent="0.25" r="3173" customHeight="1" ht="17.25">
      <c r="A3173" s="52"/>
      <c r="B3173" s="2"/>
      <c r="C3173" s="2"/>
      <c r="D3173" s="3"/>
      <c r="E3173" s="3"/>
      <c r="F3173" s="2"/>
      <c r="G3173" s="13">
        <f>IF($B3173="IN",$D3173,0)</f>
      </c>
      <c r="H3173" s="13">
        <f>IF($B3173="OUT",$D3173,0)</f>
      </c>
    </row>
    <row x14ac:dyDescent="0.25" r="3174" customHeight="1" ht="17.25">
      <c r="A3174" s="52"/>
      <c r="B3174" s="2"/>
      <c r="C3174" s="2"/>
      <c r="D3174" s="3"/>
      <c r="E3174" s="3"/>
      <c r="F3174" s="2"/>
      <c r="G3174" s="13">
        <f>IF($B3174="IN",$D3174,0)</f>
      </c>
      <c r="H3174" s="13">
        <f>IF($B3174="OUT",$D3174,0)</f>
      </c>
    </row>
    <row x14ac:dyDescent="0.25" r="3175" customHeight="1" ht="17.25">
      <c r="A3175" s="52"/>
      <c r="B3175" s="2"/>
      <c r="C3175" s="2"/>
      <c r="D3175" s="3"/>
      <c r="E3175" s="3"/>
      <c r="F3175" s="2"/>
      <c r="G3175" s="13">
        <f>IF($B3175="IN",$D3175,0)</f>
      </c>
      <c r="H3175" s="13">
        <f>IF($B3175="OUT",$D3175,0)</f>
      </c>
    </row>
    <row x14ac:dyDescent="0.25" r="3176" customHeight="1" ht="17.25">
      <c r="A3176" s="52"/>
      <c r="B3176" s="2"/>
      <c r="C3176" s="2"/>
      <c r="D3176" s="3"/>
      <c r="E3176" s="3"/>
      <c r="F3176" s="2"/>
      <c r="G3176" s="13">
        <f>IF($B3176="IN",$D3176,0)</f>
      </c>
      <c r="H3176" s="13">
        <f>IF($B3176="OUT",$D3176,0)</f>
      </c>
    </row>
    <row x14ac:dyDescent="0.25" r="3177" customHeight="1" ht="17.25">
      <c r="A3177" s="52"/>
      <c r="B3177" s="2"/>
      <c r="C3177" s="2"/>
      <c r="D3177" s="3"/>
      <c r="E3177" s="3"/>
      <c r="F3177" s="2"/>
      <c r="G3177" s="13">
        <f>IF($B3177="IN",$D3177,0)</f>
      </c>
      <c r="H3177" s="13">
        <f>IF($B3177="OUT",$D3177,0)</f>
      </c>
    </row>
    <row x14ac:dyDescent="0.25" r="3178" customHeight="1" ht="17.25">
      <c r="A3178" s="52"/>
      <c r="B3178" s="2"/>
      <c r="C3178" s="2"/>
      <c r="D3178" s="3"/>
      <c r="E3178" s="3"/>
      <c r="F3178" s="2"/>
      <c r="G3178" s="13">
        <f>IF($B3178="IN",$D3178,0)</f>
      </c>
      <c r="H3178" s="13">
        <f>IF($B3178="OUT",$D3178,0)</f>
      </c>
    </row>
    <row x14ac:dyDescent="0.25" r="3179" customHeight="1" ht="17.25">
      <c r="A3179" s="52"/>
      <c r="B3179" s="2"/>
      <c r="C3179" s="2"/>
      <c r="D3179" s="3"/>
      <c r="E3179" s="3"/>
      <c r="F3179" s="2"/>
      <c r="G3179" s="13">
        <f>IF($B3179="IN",$D3179,0)</f>
      </c>
      <c r="H3179" s="13">
        <f>IF($B3179="OUT",$D3179,0)</f>
      </c>
    </row>
    <row x14ac:dyDescent="0.25" r="3180" customHeight="1" ht="17.25">
      <c r="A3180" s="52"/>
      <c r="B3180" s="2"/>
      <c r="C3180" s="2"/>
      <c r="D3180" s="3"/>
      <c r="E3180" s="3"/>
      <c r="F3180" s="2"/>
      <c r="G3180" s="13">
        <f>IF($B3180="IN",$D3180,0)</f>
      </c>
      <c r="H3180" s="13">
        <f>IF($B3180="OUT",$D3180,0)</f>
      </c>
    </row>
    <row x14ac:dyDescent="0.25" r="3181" customHeight="1" ht="17.25">
      <c r="A3181" s="52"/>
      <c r="B3181" s="2"/>
      <c r="C3181" s="2"/>
      <c r="D3181" s="3"/>
      <c r="E3181" s="3"/>
      <c r="F3181" s="2"/>
      <c r="G3181" s="13">
        <f>IF($B3181="IN",$D3181,0)</f>
      </c>
      <c r="H3181" s="13">
        <f>IF($B3181="OUT",$D3181,0)</f>
      </c>
    </row>
    <row x14ac:dyDescent="0.25" r="3182" customHeight="1" ht="17.25">
      <c r="A3182" s="52"/>
      <c r="B3182" s="2"/>
      <c r="C3182" s="2"/>
      <c r="D3182" s="3"/>
      <c r="E3182" s="3"/>
      <c r="F3182" s="2"/>
      <c r="G3182" s="13">
        <f>IF($B3182="IN",$D3182,0)</f>
      </c>
      <c r="H3182" s="13">
        <f>IF($B3182="OUT",$D3182,0)</f>
      </c>
    </row>
    <row x14ac:dyDescent="0.25" r="3183" customHeight="1" ht="17.25">
      <c r="A3183" s="52"/>
      <c r="B3183" s="2"/>
      <c r="C3183" s="2"/>
      <c r="D3183" s="3"/>
      <c r="E3183" s="3"/>
      <c r="F3183" s="2"/>
      <c r="G3183" s="13">
        <f>IF($B3183="IN",$D3183,0)</f>
      </c>
      <c r="H3183" s="13">
        <f>IF($B3183="OUT",$D3183,0)</f>
      </c>
    </row>
    <row x14ac:dyDescent="0.25" r="3184" customHeight="1" ht="17.25">
      <c r="A3184" s="52"/>
      <c r="B3184" s="2"/>
      <c r="C3184" s="2"/>
      <c r="D3184" s="3"/>
      <c r="E3184" s="3"/>
      <c r="F3184" s="2"/>
      <c r="G3184" s="13">
        <f>IF($B3184="IN",$D3184,0)</f>
      </c>
      <c r="H3184" s="13">
        <f>IF($B3184="OUT",$D3184,0)</f>
      </c>
    </row>
    <row x14ac:dyDescent="0.25" r="3185" customHeight="1" ht="17.25">
      <c r="A3185" s="52"/>
      <c r="B3185" s="2"/>
      <c r="C3185" s="2"/>
      <c r="D3185" s="3"/>
      <c r="E3185" s="3"/>
      <c r="F3185" s="2"/>
      <c r="G3185" s="13">
        <f>IF($B3185="IN",$D3185,0)</f>
      </c>
      <c r="H3185" s="13">
        <f>IF($B3185="OUT",$D3185,0)</f>
      </c>
    </row>
    <row x14ac:dyDescent="0.25" r="3186" customHeight="1" ht="17.25">
      <c r="A3186" s="52"/>
      <c r="B3186" s="2"/>
      <c r="C3186" s="2"/>
      <c r="D3186" s="3"/>
      <c r="E3186" s="3"/>
      <c r="F3186" s="2"/>
      <c r="G3186" s="13">
        <f>IF($B3186="IN",$D3186,0)</f>
      </c>
      <c r="H3186" s="13">
        <f>IF($B3186="OUT",$D3186,0)</f>
      </c>
    </row>
    <row x14ac:dyDescent="0.25" r="3187" customHeight="1" ht="17.25">
      <c r="A3187" s="52"/>
      <c r="B3187" s="2"/>
      <c r="C3187" s="2"/>
      <c r="D3187" s="3"/>
      <c r="E3187" s="3"/>
      <c r="F3187" s="2"/>
      <c r="G3187" s="13">
        <f>IF($B3187="IN",$D3187,0)</f>
      </c>
      <c r="H3187" s="13">
        <f>IF($B3187="OUT",$D3187,0)</f>
      </c>
    </row>
    <row x14ac:dyDescent="0.25" r="3188" customHeight="1" ht="17.25">
      <c r="A3188" s="52"/>
      <c r="B3188" s="2"/>
      <c r="C3188" s="2"/>
      <c r="D3188" s="3"/>
      <c r="E3188" s="3"/>
      <c r="F3188" s="2"/>
      <c r="G3188" s="13">
        <f>IF($B3188="IN",$D3188,0)</f>
      </c>
      <c r="H3188" s="13">
        <f>IF($B3188="OUT",$D3188,0)</f>
      </c>
    </row>
    <row x14ac:dyDescent="0.25" r="3189" customHeight="1" ht="17.25">
      <c r="A3189" s="52"/>
      <c r="B3189" s="2"/>
      <c r="C3189" s="2"/>
      <c r="D3189" s="3"/>
      <c r="E3189" s="3"/>
      <c r="F3189" s="2"/>
      <c r="G3189" s="13">
        <f>IF($B3189="IN",$D3189,0)</f>
      </c>
      <c r="H3189" s="13">
        <f>IF($B3189="OUT",$D3189,0)</f>
      </c>
    </row>
    <row x14ac:dyDescent="0.25" r="3190" customHeight="1" ht="17.25">
      <c r="A3190" s="52"/>
      <c r="B3190" s="2"/>
      <c r="C3190" s="2"/>
      <c r="D3190" s="3"/>
      <c r="E3190" s="3"/>
      <c r="F3190" s="2"/>
      <c r="G3190" s="13">
        <f>IF($B3190="IN",$D3190,0)</f>
      </c>
      <c r="H3190" s="13">
        <f>IF($B3190="OUT",$D3190,0)</f>
      </c>
    </row>
    <row x14ac:dyDescent="0.25" r="3191" customHeight="1" ht="17.25">
      <c r="A3191" s="52"/>
      <c r="B3191" s="2"/>
      <c r="C3191" s="2"/>
      <c r="D3191" s="3"/>
      <c r="E3191" s="3"/>
      <c r="F3191" s="2"/>
      <c r="G3191" s="13">
        <f>IF($B3191="IN",$D3191,0)</f>
      </c>
      <c r="H3191" s="13">
        <f>IF($B3191="OUT",$D3191,0)</f>
      </c>
    </row>
    <row x14ac:dyDescent="0.25" r="3192" customHeight="1" ht="17.25">
      <c r="A3192" s="52"/>
      <c r="B3192" s="2"/>
      <c r="C3192" s="2"/>
      <c r="D3192" s="3"/>
      <c r="E3192" s="3"/>
      <c r="F3192" s="2"/>
      <c r="G3192" s="13">
        <f>IF($B3192="IN",$D3192,0)</f>
      </c>
      <c r="H3192" s="13">
        <f>IF($B3192="OUT",$D3192,0)</f>
      </c>
    </row>
    <row x14ac:dyDescent="0.25" r="3193" customHeight="1" ht="17.25">
      <c r="A3193" s="52"/>
      <c r="B3193" s="2"/>
      <c r="C3193" s="2"/>
      <c r="D3193" s="3"/>
      <c r="E3193" s="3"/>
      <c r="F3193" s="2"/>
      <c r="G3193" s="13">
        <f>IF($B3193="IN",$D3193,0)</f>
      </c>
      <c r="H3193" s="13">
        <f>IF($B3193="OUT",$D3193,0)</f>
      </c>
    </row>
    <row x14ac:dyDescent="0.25" r="3194" customHeight="1" ht="17.25">
      <c r="A3194" s="52"/>
      <c r="B3194" s="2"/>
      <c r="C3194" s="2"/>
      <c r="D3194" s="3"/>
      <c r="E3194" s="3"/>
      <c r="F3194" s="2"/>
      <c r="G3194" s="13">
        <f>IF($B3194="IN",$D3194,0)</f>
      </c>
      <c r="H3194" s="13">
        <f>IF($B3194="OUT",$D3194,0)</f>
      </c>
    </row>
    <row x14ac:dyDescent="0.25" r="3195" customHeight="1" ht="17.25">
      <c r="A3195" s="52"/>
      <c r="B3195" s="2"/>
      <c r="C3195" s="2"/>
      <c r="D3195" s="3"/>
      <c r="E3195" s="3"/>
      <c r="F3195" s="2"/>
      <c r="G3195" s="13">
        <f>IF($B3195="IN",$D3195,0)</f>
      </c>
      <c r="H3195" s="13">
        <f>IF($B3195="OUT",$D3195,0)</f>
      </c>
    </row>
    <row x14ac:dyDescent="0.25" r="3196" customHeight="1" ht="17.25">
      <c r="A3196" s="52"/>
      <c r="B3196" s="2"/>
      <c r="C3196" s="2"/>
      <c r="D3196" s="3"/>
      <c r="E3196" s="3"/>
      <c r="F3196" s="2"/>
      <c r="G3196" s="13">
        <f>IF($B3196="IN",$D3196,0)</f>
      </c>
      <c r="H3196" s="13">
        <f>IF($B3196="OUT",$D3196,0)</f>
      </c>
    </row>
    <row x14ac:dyDescent="0.25" r="3197" customHeight="1" ht="17.25">
      <c r="A3197" s="52"/>
      <c r="B3197" s="2"/>
      <c r="C3197" s="2"/>
      <c r="D3197" s="3"/>
      <c r="E3197" s="3"/>
      <c r="F3197" s="2"/>
      <c r="G3197" s="13">
        <f>IF($B3197="IN",$D3197,0)</f>
      </c>
      <c r="H3197" s="13">
        <f>IF($B3197="OUT",$D3197,0)</f>
      </c>
    </row>
    <row x14ac:dyDescent="0.25" r="3198" customHeight="1" ht="17.25">
      <c r="A3198" s="52"/>
      <c r="B3198" s="2"/>
      <c r="C3198" s="2"/>
      <c r="D3198" s="3"/>
      <c r="E3198" s="3"/>
      <c r="F3198" s="2"/>
      <c r="G3198" s="13">
        <f>IF($B3198="IN",$D3198,0)</f>
      </c>
      <c r="H3198" s="13">
        <f>IF($B3198="OUT",$D3198,0)</f>
      </c>
    </row>
    <row x14ac:dyDescent="0.25" r="3199" customHeight="1" ht="17.25">
      <c r="A3199" s="52"/>
      <c r="B3199" s="2"/>
      <c r="C3199" s="2"/>
      <c r="D3199" s="3"/>
      <c r="E3199" s="3"/>
      <c r="F3199" s="2"/>
      <c r="G3199" s="13">
        <f>IF($B3199="IN",$D3199,0)</f>
      </c>
      <c r="H3199" s="13">
        <f>IF($B3199="OUT",$D3199,0)</f>
      </c>
    </row>
    <row x14ac:dyDescent="0.25" r="3200" customHeight="1" ht="17.25">
      <c r="A3200" s="52"/>
      <c r="B3200" s="2"/>
      <c r="C3200" s="2"/>
      <c r="D3200" s="3"/>
      <c r="E3200" s="3"/>
      <c r="F3200" s="2"/>
      <c r="G3200" s="13">
        <f>IF($B3200="IN",$D3200,0)</f>
      </c>
      <c r="H3200" s="13">
        <f>IF($B3200="OUT",$D3200,0)</f>
      </c>
    </row>
    <row x14ac:dyDescent="0.25" r="3201" customHeight="1" ht="17.25">
      <c r="A3201" s="52"/>
      <c r="B3201" s="2"/>
      <c r="C3201" s="2"/>
      <c r="D3201" s="3"/>
      <c r="E3201" s="3"/>
      <c r="F3201" s="2"/>
      <c r="G3201" s="13">
        <f>IF($B3201="IN",$D3201,0)</f>
      </c>
      <c r="H3201" s="13">
        <f>IF($B3201="OUT",$D3201,0)</f>
      </c>
    </row>
    <row x14ac:dyDescent="0.25" r="3202" customHeight="1" ht="17.25">
      <c r="A3202" s="52"/>
      <c r="B3202" s="2"/>
      <c r="C3202" s="2"/>
      <c r="D3202" s="3"/>
      <c r="E3202" s="3"/>
      <c r="F3202" s="2"/>
      <c r="G3202" s="13">
        <f>IF($B3202="IN",$D3202,0)</f>
      </c>
      <c r="H3202" s="13">
        <f>IF($B3202="OUT",$D3202,0)</f>
      </c>
    </row>
    <row x14ac:dyDescent="0.25" r="3203" customHeight="1" ht="17.25">
      <c r="A3203" s="52"/>
      <c r="B3203" s="2"/>
      <c r="C3203" s="2"/>
      <c r="D3203" s="3"/>
      <c r="E3203" s="3"/>
      <c r="F3203" s="2"/>
      <c r="G3203" s="13">
        <f>IF($B3203="IN",$D3203,0)</f>
      </c>
      <c r="H3203" s="13">
        <f>IF($B3203="OUT",$D3203,0)</f>
      </c>
    </row>
    <row x14ac:dyDescent="0.25" r="3204" customHeight="1" ht="17.25">
      <c r="A3204" s="52"/>
      <c r="B3204" s="2"/>
      <c r="C3204" s="2"/>
      <c r="D3204" s="3"/>
      <c r="E3204" s="3"/>
      <c r="F3204" s="2"/>
      <c r="G3204" s="13">
        <f>IF($B3204="IN",$D3204,0)</f>
      </c>
      <c r="H3204" s="13">
        <f>IF($B3204="OUT",$D3204,0)</f>
      </c>
    </row>
    <row x14ac:dyDescent="0.25" r="3205" customHeight="1" ht="17.25">
      <c r="A3205" s="52"/>
      <c r="B3205" s="2"/>
      <c r="C3205" s="2"/>
      <c r="D3205" s="3"/>
      <c r="E3205" s="3"/>
      <c r="F3205" s="2"/>
      <c r="G3205" s="13">
        <f>IF($B3205="IN",$D3205,0)</f>
      </c>
      <c r="H3205" s="13">
        <f>IF($B3205="OUT",$D3205,0)</f>
      </c>
    </row>
    <row x14ac:dyDescent="0.25" r="3206" customHeight="1" ht="17.25">
      <c r="A3206" s="52"/>
      <c r="B3206" s="2"/>
      <c r="C3206" s="2"/>
      <c r="D3206" s="3"/>
      <c r="E3206" s="3"/>
      <c r="F3206" s="2"/>
      <c r="G3206" s="13">
        <f>IF($B3206="IN",$D3206,0)</f>
      </c>
      <c r="H3206" s="13">
        <f>IF($B3206="OUT",$D3206,0)</f>
      </c>
    </row>
    <row x14ac:dyDescent="0.25" r="3207" customHeight="1" ht="17.25">
      <c r="A3207" s="52"/>
      <c r="B3207" s="2"/>
      <c r="C3207" s="2"/>
      <c r="D3207" s="3"/>
      <c r="E3207" s="3"/>
      <c r="F3207" s="2"/>
      <c r="G3207" s="13">
        <f>IF($B3207="IN",$D3207,0)</f>
      </c>
      <c r="H3207" s="13">
        <f>IF($B3207="OUT",$D3207,0)</f>
      </c>
    </row>
    <row x14ac:dyDescent="0.25" r="3208" customHeight="1" ht="17.25">
      <c r="A3208" s="52"/>
      <c r="B3208" s="2"/>
      <c r="C3208" s="2"/>
      <c r="D3208" s="3"/>
      <c r="E3208" s="3"/>
      <c r="F3208" s="2"/>
      <c r="G3208" s="13">
        <f>IF($B3208="IN",$D3208,0)</f>
      </c>
      <c r="H3208" s="13">
        <f>IF($B3208="OUT",$D3208,0)</f>
      </c>
    </row>
    <row x14ac:dyDescent="0.25" r="3209" customHeight="1" ht="17.25">
      <c r="A3209" s="52"/>
      <c r="B3209" s="2"/>
      <c r="C3209" s="2"/>
      <c r="D3209" s="3"/>
      <c r="E3209" s="3"/>
      <c r="F3209" s="2"/>
      <c r="G3209" s="13">
        <f>IF($B3209="IN",$D3209,0)</f>
      </c>
      <c r="H3209" s="13">
        <f>IF($B3209="OUT",$D3209,0)</f>
      </c>
    </row>
    <row x14ac:dyDescent="0.25" r="3210" customHeight="1" ht="17.25">
      <c r="A3210" s="52"/>
      <c r="B3210" s="2"/>
      <c r="C3210" s="2"/>
      <c r="D3210" s="3"/>
      <c r="E3210" s="3"/>
      <c r="F3210" s="2"/>
      <c r="G3210" s="13">
        <f>IF($B3210="IN",$D3210,0)</f>
      </c>
      <c r="H3210" s="13">
        <f>IF($B3210="OUT",$D3210,0)</f>
      </c>
    </row>
    <row x14ac:dyDescent="0.25" r="3211" customHeight="1" ht="17.25">
      <c r="A3211" s="52"/>
      <c r="B3211" s="2"/>
      <c r="C3211" s="2"/>
      <c r="D3211" s="3"/>
      <c r="E3211" s="3"/>
      <c r="F3211" s="2"/>
      <c r="G3211" s="13">
        <f>IF($B3211="IN",$D3211,0)</f>
      </c>
      <c r="H3211" s="13">
        <f>IF($B3211="OUT",$D3211,0)</f>
      </c>
    </row>
    <row x14ac:dyDescent="0.25" r="3212" customHeight="1" ht="17.25">
      <c r="A3212" s="52"/>
      <c r="B3212" s="2"/>
      <c r="C3212" s="2"/>
      <c r="D3212" s="3"/>
      <c r="E3212" s="3"/>
      <c r="F3212" s="2"/>
      <c r="G3212" s="13">
        <f>IF($B3212="IN",$D3212,0)</f>
      </c>
      <c r="H3212" s="13">
        <f>IF($B3212="OUT",$D3212,0)</f>
      </c>
    </row>
    <row x14ac:dyDescent="0.25" r="3213" customHeight="1" ht="17.25">
      <c r="A3213" s="52"/>
      <c r="B3213" s="2"/>
      <c r="C3213" s="2"/>
      <c r="D3213" s="3"/>
      <c r="E3213" s="3"/>
      <c r="F3213" s="2"/>
      <c r="G3213" s="13">
        <f>IF($B3213="IN",$D3213,0)</f>
      </c>
      <c r="H3213" s="13">
        <f>IF($B3213="OUT",$D3213,0)</f>
      </c>
    </row>
    <row x14ac:dyDescent="0.25" r="3214" customHeight="1" ht="17.25">
      <c r="A3214" s="52"/>
      <c r="B3214" s="2"/>
      <c r="C3214" s="2"/>
      <c r="D3214" s="3"/>
      <c r="E3214" s="3"/>
      <c r="F3214" s="2"/>
      <c r="G3214" s="13">
        <f>IF($B3214="IN",$D3214,0)</f>
      </c>
      <c r="H3214" s="13">
        <f>IF($B3214="OUT",$D3214,0)</f>
      </c>
    </row>
    <row x14ac:dyDescent="0.25" r="3215" customHeight="1" ht="17.25">
      <c r="A3215" s="52"/>
      <c r="B3215" s="2"/>
      <c r="C3215" s="2"/>
      <c r="D3215" s="3"/>
      <c r="E3215" s="3"/>
      <c r="F3215" s="2"/>
      <c r="G3215" s="13">
        <f>IF($B3215="IN",$D3215,0)</f>
      </c>
      <c r="H3215" s="13">
        <f>IF($B3215="OUT",$D3215,0)</f>
      </c>
    </row>
    <row x14ac:dyDescent="0.25" r="3216" customHeight="1" ht="17.25">
      <c r="A3216" s="52"/>
      <c r="B3216" s="2"/>
      <c r="C3216" s="2"/>
      <c r="D3216" s="3"/>
      <c r="E3216" s="3"/>
      <c r="F3216" s="2"/>
      <c r="G3216" s="13">
        <f>IF($B3216="IN",$D3216,0)</f>
      </c>
      <c r="H3216" s="13">
        <f>IF($B3216="OUT",$D3216,0)</f>
      </c>
    </row>
    <row x14ac:dyDescent="0.25" r="3217" customHeight="1" ht="17.25">
      <c r="A3217" s="52"/>
      <c r="B3217" s="2"/>
      <c r="C3217" s="2"/>
      <c r="D3217" s="3"/>
      <c r="E3217" s="3"/>
      <c r="F3217" s="2"/>
      <c r="G3217" s="13">
        <f>IF($B3217="IN",$D3217,0)</f>
      </c>
      <c r="H3217" s="13">
        <f>IF($B3217="OUT",$D3217,0)</f>
      </c>
    </row>
    <row x14ac:dyDescent="0.25" r="3218" customHeight="1" ht="17.25">
      <c r="A3218" s="52"/>
      <c r="B3218" s="2"/>
      <c r="C3218" s="2"/>
      <c r="D3218" s="3"/>
      <c r="E3218" s="3"/>
      <c r="F3218" s="2"/>
      <c r="G3218" s="13">
        <f>IF($B3218="IN",$D3218,0)</f>
      </c>
      <c r="H3218" s="13">
        <f>IF($B3218="OUT",$D3218,0)</f>
      </c>
    </row>
    <row x14ac:dyDescent="0.25" r="3219" customHeight="1" ht="17.25">
      <c r="A3219" s="52"/>
      <c r="B3219" s="2"/>
      <c r="C3219" s="2"/>
      <c r="D3219" s="3"/>
      <c r="E3219" s="3"/>
      <c r="F3219" s="2"/>
      <c r="G3219" s="13">
        <f>IF($B3219="IN",$D3219,0)</f>
      </c>
      <c r="H3219" s="13">
        <f>IF($B3219="OUT",$D3219,0)</f>
      </c>
    </row>
    <row x14ac:dyDescent="0.25" r="3220" customHeight="1" ht="17.25">
      <c r="A3220" s="52"/>
      <c r="B3220" s="2"/>
      <c r="C3220" s="2"/>
      <c r="D3220" s="3"/>
      <c r="E3220" s="3"/>
      <c r="F3220" s="2"/>
      <c r="G3220" s="13">
        <f>IF($B3220="IN",$D3220,0)</f>
      </c>
      <c r="H3220" s="13">
        <f>IF($B3220="OUT",$D3220,0)</f>
      </c>
    </row>
    <row x14ac:dyDescent="0.25" r="3221" customHeight="1" ht="17.25">
      <c r="A3221" s="52"/>
      <c r="B3221" s="2"/>
      <c r="C3221" s="2"/>
      <c r="D3221" s="3"/>
      <c r="E3221" s="3"/>
      <c r="F3221" s="2"/>
      <c r="G3221" s="13">
        <f>IF($B3221="IN",$D3221,0)</f>
      </c>
      <c r="H3221" s="13">
        <f>IF($B3221="OUT",$D3221,0)</f>
      </c>
    </row>
    <row x14ac:dyDescent="0.25" r="3222" customHeight="1" ht="17.25">
      <c r="A3222" s="52"/>
      <c r="B3222" s="2"/>
      <c r="C3222" s="2"/>
      <c r="D3222" s="3"/>
      <c r="E3222" s="3"/>
      <c r="F3222" s="2"/>
      <c r="G3222" s="13">
        <f>IF($B3222="IN",$D3222,0)</f>
      </c>
      <c r="H3222" s="13">
        <f>IF($B3222="OUT",$D3222,0)</f>
      </c>
    </row>
    <row x14ac:dyDescent="0.25" r="3223" customHeight="1" ht="17.25">
      <c r="A3223" s="52"/>
      <c r="B3223" s="2"/>
      <c r="C3223" s="2"/>
      <c r="D3223" s="3"/>
      <c r="E3223" s="3"/>
      <c r="F3223" s="2"/>
      <c r="G3223" s="13">
        <f>IF($B3223="IN",$D3223,0)</f>
      </c>
      <c r="H3223" s="13">
        <f>IF($B3223="OUT",$D3223,0)</f>
      </c>
    </row>
    <row x14ac:dyDescent="0.25" r="3224" customHeight="1" ht="17.25">
      <c r="A3224" s="52"/>
      <c r="B3224" s="2"/>
      <c r="C3224" s="2"/>
      <c r="D3224" s="3"/>
      <c r="E3224" s="3"/>
      <c r="F3224" s="2"/>
      <c r="G3224" s="13">
        <f>IF($B3224="IN",$D3224,0)</f>
      </c>
      <c r="H3224" s="13">
        <f>IF($B3224="OUT",$D3224,0)</f>
      </c>
    </row>
    <row x14ac:dyDescent="0.25" r="3225" customHeight="1" ht="17.25">
      <c r="A3225" s="52"/>
      <c r="B3225" s="2"/>
      <c r="C3225" s="2"/>
      <c r="D3225" s="3"/>
      <c r="E3225" s="3"/>
      <c r="F3225" s="2"/>
      <c r="G3225" s="13">
        <f>IF($B3225="IN",$D3225,0)</f>
      </c>
      <c r="H3225" s="13">
        <f>IF($B3225="OUT",$D3225,0)</f>
      </c>
    </row>
    <row x14ac:dyDescent="0.25" r="3226" customHeight="1" ht="17.25">
      <c r="A3226" s="52"/>
      <c r="B3226" s="2"/>
      <c r="C3226" s="2"/>
      <c r="D3226" s="3"/>
      <c r="E3226" s="3"/>
      <c r="F3226" s="2"/>
      <c r="G3226" s="13">
        <f>IF($B3226="IN",$D3226,0)</f>
      </c>
      <c r="H3226" s="13">
        <f>IF($B3226="OUT",$D3226,0)</f>
      </c>
    </row>
    <row x14ac:dyDescent="0.25" r="3227" customHeight="1" ht="17.25">
      <c r="A3227" s="52"/>
      <c r="B3227" s="2"/>
      <c r="C3227" s="2"/>
      <c r="D3227" s="3"/>
      <c r="E3227" s="3"/>
      <c r="F3227" s="2"/>
      <c r="G3227" s="13">
        <f>IF($B3227="IN",$D3227,0)</f>
      </c>
      <c r="H3227" s="13">
        <f>IF($B3227="OUT",$D3227,0)</f>
      </c>
    </row>
    <row x14ac:dyDescent="0.25" r="3228" customHeight="1" ht="17.25">
      <c r="A3228" s="52"/>
      <c r="B3228" s="2"/>
      <c r="C3228" s="2"/>
      <c r="D3228" s="3"/>
      <c r="E3228" s="3"/>
      <c r="F3228" s="2"/>
      <c r="G3228" s="13">
        <f>IF($B3228="IN",$D3228,0)</f>
      </c>
      <c r="H3228" s="13">
        <f>IF($B3228="OUT",$D3228,0)</f>
      </c>
    </row>
    <row x14ac:dyDescent="0.25" r="3229" customHeight="1" ht="17.25">
      <c r="A3229" s="52"/>
      <c r="B3229" s="2"/>
      <c r="C3229" s="2"/>
      <c r="D3229" s="3"/>
      <c r="E3229" s="3"/>
      <c r="F3229" s="2"/>
      <c r="G3229" s="13">
        <f>IF($B3229="IN",$D3229,0)</f>
      </c>
      <c r="H3229" s="13">
        <f>IF($B3229="OUT",$D3229,0)</f>
      </c>
    </row>
    <row x14ac:dyDescent="0.25" r="3230" customHeight="1" ht="17.25">
      <c r="A3230" s="52"/>
      <c r="B3230" s="2"/>
      <c r="C3230" s="2"/>
      <c r="D3230" s="3"/>
      <c r="E3230" s="3"/>
      <c r="F3230" s="2"/>
      <c r="G3230" s="13">
        <f>IF($B3230="IN",$D3230,0)</f>
      </c>
      <c r="H3230" s="13">
        <f>IF($B3230="OUT",$D3230,0)</f>
      </c>
    </row>
    <row x14ac:dyDescent="0.25" r="3231" customHeight="1" ht="17.25">
      <c r="A3231" s="52"/>
      <c r="B3231" s="2"/>
      <c r="C3231" s="2"/>
      <c r="D3231" s="3"/>
      <c r="E3231" s="3"/>
      <c r="F3231" s="2"/>
      <c r="G3231" s="13">
        <f>IF($B3231="IN",$D3231,0)</f>
      </c>
      <c r="H3231" s="13">
        <f>IF($B3231="OUT",$D3231,0)</f>
      </c>
    </row>
    <row x14ac:dyDescent="0.25" r="3232" customHeight="1" ht="17.25">
      <c r="A3232" s="52"/>
      <c r="B3232" s="2"/>
      <c r="C3232" s="2"/>
      <c r="D3232" s="3"/>
      <c r="E3232" s="3"/>
      <c r="F3232" s="2"/>
      <c r="G3232" s="13">
        <f>IF($B3232="IN",$D3232,0)</f>
      </c>
      <c r="H3232" s="13">
        <f>IF($B3232="OUT",$D3232,0)</f>
      </c>
    </row>
    <row x14ac:dyDescent="0.25" r="3233" customHeight="1" ht="17.25">
      <c r="A3233" s="52"/>
      <c r="B3233" s="2"/>
      <c r="C3233" s="2"/>
      <c r="D3233" s="3"/>
      <c r="E3233" s="3"/>
      <c r="F3233" s="2"/>
      <c r="G3233" s="13">
        <f>IF($B3233="IN",$D3233,0)</f>
      </c>
      <c r="H3233" s="13">
        <f>IF($B3233="OUT",$D3233,0)</f>
      </c>
    </row>
    <row x14ac:dyDescent="0.25" r="3234" customHeight="1" ht="17.25">
      <c r="A3234" s="52"/>
      <c r="B3234" s="2"/>
      <c r="C3234" s="2"/>
      <c r="D3234" s="3"/>
      <c r="E3234" s="3"/>
      <c r="F3234" s="2"/>
      <c r="G3234" s="13">
        <f>IF($B3234="IN",$D3234,0)</f>
      </c>
      <c r="H3234" s="13">
        <f>IF($B3234="OUT",$D3234,0)</f>
      </c>
    </row>
    <row x14ac:dyDescent="0.25" r="3235" customHeight="1" ht="17.25">
      <c r="A3235" s="52"/>
      <c r="B3235" s="2"/>
      <c r="C3235" s="2"/>
      <c r="D3235" s="3"/>
      <c r="E3235" s="3"/>
      <c r="F3235" s="2"/>
      <c r="G3235" s="13">
        <f>IF($B3235="IN",$D3235,0)</f>
      </c>
      <c r="H3235" s="13">
        <f>IF($B3235="OUT",$D3235,0)</f>
      </c>
    </row>
    <row x14ac:dyDescent="0.25" r="3236" customHeight="1" ht="17.25">
      <c r="A3236" s="52"/>
      <c r="B3236" s="2"/>
      <c r="C3236" s="2"/>
      <c r="D3236" s="3"/>
      <c r="E3236" s="3"/>
      <c r="F3236" s="2"/>
      <c r="G3236" s="13">
        <f>IF($B3236="IN",$D3236,0)</f>
      </c>
      <c r="H3236" s="13">
        <f>IF($B3236="OUT",$D3236,0)</f>
      </c>
    </row>
    <row x14ac:dyDescent="0.25" r="3237" customHeight="1" ht="17.25">
      <c r="A3237" s="52"/>
      <c r="B3237" s="2"/>
      <c r="C3237" s="2"/>
      <c r="D3237" s="3"/>
      <c r="E3237" s="3"/>
      <c r="F3237" s="2"/>
      <c r="G3237" s="13">
        <f>IF($B3237="IN",$D3237,0)</f>
      </c>
      <c r="H3237" s="13">
        <f>IF($B3237="OUT",$D3237,0)</f>
      </c>
    </row>
    <row x14ac:dyDescent="0.25" r="3238" customHeight="1" ht="17.25">
      <c r="A3238" s="52"/>
      <c r="B3238" s="2"/>
      <c r="C3238" s="2"/>
      <c r="D3238" s="3"/>
      <c r="E3238" s="3"/>
      <c r="F3238" s="2"/>
      <c r="G3238" s="13">
        <f>IF($B3238="IN",$D3238,0)</f>
      </c>
      <c r="H3238" s="13">
        <f>IF($B3238="OUT",$D3238,0)</f>
      </c>
    </row>
    <row x14ac:dyDescent="0.25" r="3239" customHeight="1" ht="17.25">
      <c r="A3239" s="52"/>
      <c r="B3239" s="2"/>
      <c r="C3239" s="2"/>
      <c r="D3239" s="3"/>
      <c r="E3239" s="3"/>
      <c r="F3239" s="2"/>
      <c r="G3239" s="13">
        <f>IF($B3239="IN",$D3239,0)</f>
      </c>
      <c r="H3239" s="13">
        <f>IF($B3239="OUT",$D3239,0)</f>
      </c>
    </row>
    <row x14ac:dyDescent="0.25" r="3240" customHeight="1" ht="17.25">
      <c r="A3240" s="52"/>
      <c r="B3240" s="2"/>
      <c r="C3240" s="2"/>
      <c r="D3240" s="3"/>
      <c r="E3240" s="3"/>
      <c r="F3240" s="2"/>
      <c r="G3240" s="13">
        <f>IF($B3240="IN",$D3240,0)</f>
      </c>
      <c r="H3240" s="13">
        <f>IF($B3240="OUT",$D3240,0)</f>
      </c>
    </row>
    <row x14ac:dyDescent="0.25" r="3241" customHeight="1" ht="17.25">
      <c r="A3241" s="52"/>
      <c r="B3241" s="2"/>
      <c r="C3241" s="2"/>
      <c r="D3241" s="3"/>
      <c r="E3241" s="3"/>
      <c r="F3241" s="2"/>
      <c r="G3241" s="13">
        <f>IF($B3241="IN",$D3241,0)</f>
      </c>
      <c r="H3241" s="13">
        <f>IF($B3241="OUT",$D3241,0)</f>
      </c>
    </row>
    <row x14ac:dyDescent="0.25" r="3242" customHeight="1" ht="17.25">
      <c r="A3242" s="52"/>
      <c r="B3242" s="2"/>
      <c r="C3242" s="2"/>
      <c r="D3242" s="3"/>
      <c r="E3242" s="3"/>
      <c r="F3242" s="2"/>
      <c r="G3242" s="13">
        <f>IF($B3242="IN",$D3242,0)</f>
      </c>
      <c r="H3242" s="13">
        <f>IF($B3242="OUT",$D3242,0)</f>
      </c>
    </row>
    <row x14ac:dyDescent="0.25" r="3243" customHeight="1" ht="17.25">
      <c r="A3243" s="52"/>
      <c r="B3243" s="2"/>
      <c r="C3243" s="2"/>
      <c r="D3243" s="3"/>
      <c r="E3243" s="3"/>
      <c r="F3243" s="2"/>
      <c r="G3243" s="13">
        <f>IF($B3243="IN",$D3243,0)</f>
      </c>
      <c r="H3243" s="13">
        <f>IF($B3243="OUT",$D3243,0)</f>
      </c>
    </row>
    <row x14ac:dyDescent="0.25" r="3244" customHeight="1" ht="17.25">
      <c r="A3244" s="52"/>
      <c r="B3244" s="2"/>
      <c r="C3244" s="2"/>
      <c r="D3244" s="3"/>
      <c r="E3244" s="3"/>
      <c r="F3244" s="2"/>
      <c r="G3244" s="13">
        <f>IF($B3244="IN",$D3244,0)</f>
      </c>
      <c r="H3244" s="13">
        <f>IF($B3244="OUT",$D3244,0)</f>
      </c>
    </row>
    <row x14ac:dyDescent="0.25" r="3245" customHeight="1" ht="17.25">
      <c r="A3245" s="52"/>
      <c r="B3245" s="2"/>
      <c r="C3245" s="2"/>
      <c r="D3245" s="3"/>
      <c r="E3245" s="3"/>
      <c r="F3245" s="2"/>
      <c r="G3245" s="13">
        <f>IF($B3245="IN",$D3245,0)</f>
      </c>
      <c r="H3245" s="13">
        <f>IF($B3245="OUT",$D3245,0)</f>
      </c>
    </row>
    <row x14ac:dyDescent="0.25" r="3246" customHeight="1" ht="17.25">
      <c r="A3246" s="52"/>
      <c r="B3246" s="2"/>
      <c r="C3246" s="2"/>
      <c r="D3246" s="3"/>
      <c r="E3246" s="3"/>
      <c r="F3246" s="2"/>
      <c r="G3246" s="13">
        <f>IF($B3246="IN",$D3246,0)</f>
      </c>
      <c r="H3246" s="13">
        <f>IF($B3246="OUT",$D3246,0)</f>
      </c>
    </row>
    <row x14ac:dyDescent="0.25" r="3247" customHeight="1" ht="17.25">
      <c r="A3247" s="52"/>
      <c r="B3247" s="2"/>
      <c r="C3247" s="2"/>
      <c r="D3247" s="3"/>
      <c r="E3247" s="3"/>
      <c r="F3247" s="2"/>
      <c r="G3247" s="13">
        <f>IF($B3247="IN",$D3247,0)</f>
      </c>
      <c r="H3247" s="13">
        <f>IF($B3247="OUT",$D3247,0)</f>
      </c>
    </row>
    <row x14ac:dyDescent="0.25" r="3248" customHeight="1" ht="17.25">
      <c r="A3248" s="52"/>
      <c r="B3248" s="2"/>
      <c r="C3248" s="2"/>
      <c r="D3248" s="3"/>
      <c r="E3248" s="3"/>
      <c r="F3248" s="2"/>
      <c r="G3248" s="13">
        <f>IF($B3248="IN",$D3248,0)</f>
      </c>
      <c r="H3248" s="13">
        <f>IF($B3248="OUT",$D3248,0)</f>
      </c>
    </row>
    <row x14ac:dyDescent="0.25" r="3249" customHeight="1" ht="17.25">
      <c r="A3249" s="52"/>
      <c r="B3249" s="2"/>
      <c r="C3249" s="2"/>
      <c r="D3249" s="3"/>
      <c r="E3249" s="3"/>
      <c r="F3249" s="2"/>
      <c r="G3249" s="13">
        <f>IF($B3249="IN",$D3249,0)</f>
      </c>
      <c r="H3249" s="13">
        <f>IF($B3249="OUT",$D3249,0)</f>
      </c>
    </row>
    <row x14ac:dyDescent="0.25" r="3250" customHeight="1" ht="17.25">
      <c r="A3250" s="52"/>
      <c r="B3250" s="2"/>
      <c r="C3250" s="2"/>
      <c r="D3250" s="3"/>
      <c r="E3250" s="3"/>
      <c r="F3250" s="2"/>
      <c r="G3250" s="13">
        <f>IF($B3250="IN",$D3250,0)</f>
      </c>
      <c r="H3250" s="13">
        <f>IF($B3250="OUT",$D3250,0)</f>
      </c>
    </row>
    <row x14ac:dyDescent="0.25" r="3251" customHeight="1" ht="17.25">
      <c r="A3251" s="52"/>
      <c r="B3251" s="2"/>
      <c r="C3251" s="2"/>
      <c r="D3251" s="3"/>
      <c r="E3251" s="3"/>
      <c r="F3251" s="2"/>
      <c r="G3251" s="13">
        <f>IF($B3251="IN",$D3251,0)</f>
      </c>
      <c r="H3251" s="13">
        <f>IF($B3251="OUT",$D3251,0)</f>
      </c>
    </row>
    <row x14ac:dyDescent="0.25" r="3252" customHeight="1" ht="17.25">
      <c r="A3252" s="52"/>
      <c r="B3252" s="2"/>
      <c r="C3252" s="2"/>
      <c r="D3252" s="3"/>
      <c r="E3252" s="3"/>
      <c r="F3252" s="2"/>
      <c r="G3252" s="13">
        <f>IF($B3252="IN",$D3252,0)</f>
      </c>
      <c r="H3252" s="13">
        <f>IF($B3252="OUT",$D3252,0)</f>
      </c>
    </row>
    <row x14ac:dyDescent="0.25" r="3253" customHeight="1" ht="17.25">
      <c r="A3253" s="52"/>
      <c r="B3253" s="2"/>
      <c r="C3253" s="2"/>
      <c r="D3253" s="3"/>
      <c r="E3253" s="3"/>
      <c r="F3253" s="2"/>
      <c r="G3253" s="13">
        <f>IF($B3253="IN",$D3253,0)</f>
      </c>
      <c r="H3253" s="13">
        <f>IF($B3253="OUT",$D3253,0)</f>
      </c>
    </row>
    <row x14ac:dyDescent="0.25" r="3254" customHeight="1" ht="17.25">
      <c r="A3254" s="52"/>
      <c r="B3254" s="2"/>
      <c r="C3254" s="2"/>
      <c r="D3254" s="3"/>
      <c r="E3254" s="3"/>
      <c r="F3254" s="2"/>
      <c r="G3254" s="13">
        <f>IF($B3254="IN",$D3254,0)</f>
      </c>
      <c r="H3254" s="13">
        <f>IF($B3254="OUT",$D3254,0)</f>
      </c>
    </row>
    <row x14ac:dyDescent="0.25" r="3255" customHeight="1" ht="17.25">
      <c r="A3255" s="52"/>
      <c r="B3255" s="2"/>
      <c r="C3255" s="2"/>
      <c r="D3255" s="3"/>
      <c r="E3255" s="3"/>
      <c r="F3255" s="2"/>
      <c r="G3255" s="13">
        <f>IF($B3255="IN",$D3255,0)</f>
      </c>
      <c r="H3255" s="13">
        <f>IF($B3255="OUT",$D3255,0)</f>
      </c>
    </row>
    <row x14ac:dyDescent="0.25" r="3256" customHeight="1" ht="17.25">
      <c r="A3256" s="52"/>
      <c r="B3256" s="2"/>
      <c r="C3256" s="2"/>
      <c r="D3256" s="3"/>
      <c r="E3256" s="3"/>
      <c r="F3256" s="2"/>
      <c r="G3256" s="13">
        <f>IF($B3256="IN",$D3256,0)</f>
      </c>
      <c r="H3256" s="13">
        <f>IF($B3256="OUT",$D3256,0)</f>
      </c>
    </row>
    <row x14ac:dyDescent="0.25" r="3257" customHeight="1" ht="17.25">
      <c r="A3257" s="52"/>
      <c r="B3257" s="2"/>
      <c r="C3257" s="2"/>
      <c r="D3257" s="3"/>
      <c r="E3257" s="3"/>
      <c r="F3257" s="2"/>
      <c r="G3257" s="13">
        <f>IF($B3257="IN",$D3257,0)</f>
      </c>
      <c r="H3257" s="13">
        <f>IF($B3257="OUT",$D3257,0)</f>
      </c>
    </row>
    <row x14ac:dyDescent="0.25" r="3258" customHeight="1" ht="17.25">
      <c r="A3258" s="52"/>
      <c r="B3258" s="2"/>
      <c r="C3258" s="2"/>
      <c r="D3258" s="3"/>
      <c r="E3258" s="3"/>
      <c r="F3258" s="2"/>
      <c r="G3258" s="13">
        <f>IF($B3258="IN",$D3258,0)</f>
      </c>
      <c r="H3258" s="13">
        <f>IF($B3258="OUT",$D3258,0)</f>
      </c>
    </row>
    <row x14ac:dyDescent="0.25" r="3259" customHeight="1" ht="17.25">
      <c r="A3259" s="52"/>
      <c r="B3259" s="2"/>
      <c r="C3259" s="2"/>
      <c r="D3259" s="3"/>
      <c r="E3259" s="3"/>
      <c r="F3259" s="2"/>
      <c r="G3259" s="13">
        <f>IF($B3259="IN",$D3259,0)</f>
      </c>
      <c r="H3259" s="13">
        <f>IF($B3259="OUT",$D3259,0)</f>
      </c>
    </row>
    <row x14ac:dyDescent="0.25" r="3260" customHeight="1" ht="17.25">
      <c r="A3260" s="52"/>
      <c r="B3260" s="2"/>
      <c r="C3260" s="2"/>
      <c r="D3260" s="3"/>
      <c r="E3260" s="3"/>
      <c r="F3260" s="2"/>
      <c r="G3260" s="13">
        <f>IF($B3260="IN",$D3260,0)</f>
      </c>
      <c r="H3260" s="13">
        <f>IF($B3260="OUT",$D3260,0)</f>
      </c>
    </row>
    <row x14ac:dyDescent="0.25" r="3261" customHeight="1" ht="17.25">
      <c r="A3261" s="52"/>
      <c r="B3261" s="2"/>
      <c r="C3261" s="2"/>
      <c r="D3261" s="3"/>
      <c r="E3261" s="3"/>
      <c r="F3261" s="2"/>
      <c r="G3261" s="13">
        <f>IF($B3261="IN",$D3261,0)</f>
      </c>
      <c r="H3261" s="13">
        <f>IF($B3261="OUT",$D3261,0)</f>
      </c>
    </row>
    <row x14ac:dyDescent="0.25" r="3262" customHeight="1" ht="17.25">
      <c r="A3262" s="52"/>
      <c r="B3262" s="2"/>
      <c r="C3262" s="2"/>
      <c r="D3262" s="3"/>
      <c r="E3262" s="3"/>
      <c r="F3262" s="2"/>
      <c r="G3262" s="13">
        <f>IF($B3262="IN",$D3262,0)</f>
      </c>
      <c r="H3262" s="13">
        <f>IF($B3262="OUT",$D3262,0)</f>
      </c>
    </row>
    <row x14ac:dyDescent="0.25" r="3263" customHeight="1" ht="17.25">
      <c r="A3263" s="52"/>
      <c r="B3263" s="2"/>
      <c r="C3263" s="2"/>
      <c r="D3263" s="3"/>
      <c r="E3263" s="3"/>
      <c r="F3263" s="2"/>
      <c r="G3263" s="13">
        <f>IF($B3263="IN",$D3263,0)</f>
      </c>
      <c r="H3263" s="13">
        <f>IF($B3263="OUT",$D3263,0)</f>
      </c>
    </row>
    <row x14ac:dyDescent="0.25" r="3264" customHeight="1" ht="17.25">
      <c r="A3264" s="52"/>
      <c r="B3264" s="2"/>
      <c r="C3264" s="2"/>
      <c r="D3264" s="3"/>
      <c r="E3264" s="3"/>
      <c r="F3264" s="2"/>
      <c r="G3264" s="13">
        <f>IF($B3264="IN",$D3264,0)</f>
      </c>
      <c r="H3264" s="13">
        <f>IF($B3264="OUT",$D3264,0)</f>
      </c>
    </row>
    <row x14ac:dyDescent="0.25" r="3265" customHeight="1" ht="17.25">
      <c r="A3265" s="52"/>
      <c r="B3265" s="2"/>
      <c r="C3265" s="2"/>
      <c r="D3265" s="3"/>
      <c r="E3265" s="3"/>
      <c r="F3265" s="2"/>
      <c r="G3265" s="13">
        <f>IF($B3265="IN",$D3265,0)</f>
      </c>
      <c r="H3265" s="13">
        <f>IF($B3265="OUT",$D3265,0)</f>
      </c>
    </row>
    <row x14ac:dyDescent="0.25" r="3266" customHeight="1" ht="17.25">
      <c r="A3266" s="52"/>
      <c r="B3266" s="2"/>
      <c r="C3266" s="2"/>
      <c r="D3266" s="3"/>
      <c r="E3266" s="3"/>
      <c r="F3266" s="2"/>
      <c r="G3266" s="13">
        <f>IF($B3266="IN",$D3266,0)</f>
      </c>
      <c r="H3266" s="13">
        <f>IF($B3266="OUT",$D3266,0)</f>
      </c>
    </row>
    <row x14ac:dyDescent="0.25" r="3267" customHeight="1" ht="17.25">
      <c r="A3267" s="52"/>
      <c r="B3267" s="2"/>
      <c r="C3267" s="2"/>
      <c r="D3267" s="3"/>
      <c r="E3267" s="3"/>
      <c r="F3267" s="2"/>
      <c r="G3267" s="13">
        <f>IF($B3267="IN",$D3267,0)</f>
      </c>
      <c r="H3267" s="13">
        <f>IF($B3267="OUT",$D3267,0)</f>
      </c>
    </row>
    <row x14ac:dyDescent="0.25" r="3268" customHeight="1" ht="17.25">
      <c r="A3268" s="52"/>
      <c r="B3268" s="2"/>
      <c r="C3268" s="2"/>
      <c r="D3268" s="3"/>
      <c r="E3268" s="3"/>
      <c r="F3268" s="2"/>
      <c r="G3268" s="13">
        <f>IF($B3268="IN",$D3268,0)</f>
      </c>
      <c r="H3268" s="13">
        <f>IF($B3268="OUT",$D3268,0)</f>
      </c>
    </row>
    <row x14ac:dyDescent="0.25" r="3269" customHeight="1" ht="17.25">
      <c r="A3269" s="52"/>
      <c r="B3269" s="2"/>
      <c r="C3269" s="2"/>
      <c r="D3269" s="3"/>
      <c r="E3269" s="3"/>
      <c r="F3269" s="2"/>
      <c r="G3269" s="13">
        <f>IF($B3269="IN",$D3269,0)</f>
      </c>
      <c r="H3269" s="13">
        <f>IF($B3269="OUT",$D3269,0)</f>
      </c>
    </row>
    <row x14ac:dyDescent="0.25" r="3270" customHeight="1" ht="17.25">
      <c r="A3270" s="52"/>
      <c r="B3270" s="2"/>
      <c r="C3270" s="2"/>
      <c r="D3270" s="3"/>
      <c r="E3270" s="3"/>
      <c r="F3270" s="2"/>
      <c r="G3270" s="13">
        <f>IF($B3270="IN",$D3270,0)</f>
      </c>
      <c r="H3270" s="13">
        <f>IF($B3270="OUT",$D3270,0)</f>
      </c>
    </row>
    <row x14ac:dyDescent="0.25" r="3271" customHeight="1" ht="17.25">
      <c r="A3271" s="52"/>
      <c r="B3271" s="2"/>
      <c r="C3271" s="2"/>
      <c r="D3271" s="3"/>
      <c r="E3271" s="3"/>
      <c r="F3271" s="2"/>
      <c r="G3271" s="13">
        <f>IF($B3271="IN",$D3271,0)</f>
      </c>
      <c r="H3271" s="13">
        <f>IF($B3271="OUT",$D3271,0)</f>
      </c>
    </row>
    <row x14ac:dyDescent="0.25" r="3272" customHeight="1" ht="17.25">
      <c r="A3272" s="52"/>
      <c r="B3272" s="2"/>
      <c r="C3272" s="2"/>
      <c r="D3272" s="3"/>
      <c r="E3272" s="3"/>
      <c r="F3272" s="2"/>
      <c r="G3272" s="13">
        <f>IF($B3272="IN",$D3272,0)</f>
      </c>
      <c r="H3272" s="13">
        <f>IF($B3272="OUT",$D3272,0)</f>
      </c>
    </row>
    <row x14ac:dyDescent="0.25" r="3273" customHeight="1" ht="17.25">
      <c r="A3273" s="52"/>
      <c r="B3273" s="2"/>
      <c r="C3273" s="2"/>
      <c r="D3273" s="3"/>
      <c r="E3273" s="3"/>
      <c r="F3273" s="2"/>
      <c r="G3273" s="13">
        <f>IF($B3273="IN",$D3273,0)</f>
      </c>
      <c r="H3273" s="13">
        <f>IF($B3273="OUT",$D3273,0)</f>
      </c>
    </row>
    <row x14ac:dyDescent="0.25" r="3274" customHeight="1" ht="17.25">
      <c r="A3274" s="52"/>
      <c r="B3274" s="2"/>
      <c r="C3274" s="2"/>
      <c r="D3274" s="3"/>
      <c r="E3274" s="3"/>
      <c r="F3274" s="2"/>
      <c r="G3274" s="13">
        <f>IF($B3274="IN",$D3274,0)</f>
      </c>
      <c r="H3274" s="13">
        <f>IF($B3274="OUT",$D3274,0)</f>
      </c>
    </row>
    <row x14ac:dyDescent="0.25" r="3275" customHeight="1" ht="17.25">
      <c r="A3275" s="52"/>
      <c r="B3275" s="2"/>
      <c r="C3275" s="2"/>
      <c r="D3275" s="3"/>
      <c r="E3275" s="3"/>
      <c r="F3275" s="2"/>
      <c r="G3275" s="13">
        <f>IF($B3275="IN",$D3275,0)</f>
      </c>
      <c r="H3275" s="13">
        <f>IF($B3275="OUT",$D3275,0)</f>
      </c>
    </row>
    <row x14ac:dyDescent="0.25" r="3276" customHeight="1" ht="17.25">
      <c r="A3276" s="52"/>
      <c r="B3276" s="2"/>
      <c r="C3276" s="2"/>
      <c r="D3276" s="3"/>
      <c r="E3276" s="3"/>
      <c r="F3276" s="2"/>
      <c r="G3276" s="13">
        <f>IF($B3276="IN",$D3276,0)</f>
      </c>
      <c r="H3276" s="13">
        <f>IF($B3276="OUT",$D3276,0)</f>
      </c>
    </row>
    <row x14ac:dyDescent="0.25" r="3277" customHeight="1" ht="17.25">
      <c r="A3277" s="52"/>
      <c r="B3277" s="2"/>
      <c r="C3277" s="2"/>
      <c r="D3277" s="3"/>
      <c r="E3277" s="3"/>
      <c r="F3277" s="2"/>
      <c r="G3277" s="13">
        <f>IF($B3277="IN",$D3277,0)</f>
      </c>
      <c r="H3277" s="13">
        <f>IF($B3277="OUT",$D3277,0)</f>
      </c>
    </row>
    <row x14ac:dyDescent="0.25" r="3278" customHeight="1" ht="17.25">
      <c r="A3278" s="52"/>
      <c r="B3278" s="2"/>
      <c r="C3278" s="2"/>
      <c r="D3278" s="3"/>
      <c r="E3278" s="3"/>
      <c r="F3278" s="2"/>
      <c r="G3278" s="13">
        <f>IF($B3278="IN",$D3278,0)</f>
      </c>
      <c r="H3278" s="13">
        <f>IF($B3278="OUT",$D3278,0)</f>
      </c>
    </row>
    <row x14ac:dyDescent="0.25" r="3279" customHeight="1" ht="17.25">
      <c r="A3279" s="52"/>
      <c r="B3279" s="2"/>
      <c r="C3279" s="2"/>
      <c r="D3279" s="3"/>
      <c r="E3279" s="3"/>
      <c r="F3279" s="2"/>
      <c r="G3279" s="13">
        <f>IF($B3279="IN",$D3279,0)</f>
      </c>
      <c r="H3279" s="13">
        <f>IF($B3279="OUT",$D3279,0)</f>
      </c>
    </row>
    <row x14ac:dyDescent="0.25" r="3280" customHeight="1" ht="17.25">
      <c r="A3280" s="52"/>
      <c r="B3280" s="2"/>
      <c r="C3280" s="2"/>
      <c r="D3280" s="3"/>
      <c r="E3280" s="3"/>
      <c r="F3280" s="2"/>
      <c r="G3280" s="13">
        <f>IF($B3280="IN",$D3280,0)</f>
      </c>
      <c r="H3280" s="13">
        <f>IF($B3280="OUT",$D3280,0)</f>
      </c>
    </row>
    <row x14ac:dyDescent="0.25" r="3281" customHeight="1" ht="17.25">
      <c r="A3281" s="52"/>
      <c r="B3281" s="2"/>
      <c r="C3281" s="2"/>
      <c r="D3281" s="3"/>
      <c r="E3281" s="3"/>
      <c r="F3281" s="2"/>
      <c r="G3281" s="13">
        <f>IF($B3281="IN",$D3281,0)</f>
      </c>
      <c r="H3281" s="13">
        <f>IF($B3281="OUT",$D3281,0)</f>
      </c>
    </row>
    <row x14ac:dyDescent="0.25" r="3282" customHeight="1" ht="17.25">
      <c r="A3282" s="52"/>
      <c r="B3282" s="2"/>
      <c r="C3282" s="2"/>
      <c r="D3282" s="3"/>
      <c r="E3282" s="3"/>
      <c r="F3282" s="2"/>
      <c r="G3282" s="13">
        <f>IF($B3282="IN",$D3282,0)</f>
      </c>
      <c r="H3282" s="13">
        <f>IF($B3282="OUT",$D3282,0)</f>
      </c>
    </row>
    <row x14ac:dyDescent="0.25" r="3283" customHeight="1" ht="17.25">
      <c r="A3283" s="52"/>
      <c r="B3283" s="2"/>
      <c r="C3283" s="2"/>
      <c r="D3283" s="3"/>
      <c r="E3283" s="3"/>
      <c r="F3283" s="2"/>
      <c r="G3283" s="13">
        <f>IF($B3283="IN",$D3283,0)</f>
      </c>
      <c r="H3283" s="13">
        <f>IF($B3283="OUT",$D3283,0)</f>
      </c>
    </row>
    <row x14ac:dyDescent="0.25" r="3284" customHeight="1" ht="17.25">
      <c r="A3284" s="52"/>
      <c r="B3284" s="2"/>
      <c r="C3284" s="2"/>
      <c r="D3284" s="3"/>
      <c r="E3284" s="3"/>
      <c r="F3284" s="2"/>
      <c r="G3284" s="13">
        <f>IF($B3284="IN",$D3284,0)</f>
      </c>
      <c r="H3284" s="13">
        <f>IF($B3284="OUT",$D3284,0)</f>
      </c>
    </row>
    <row x14ac:dyDescent="0.25" r="3285" customHeight="1" ht="17.25">
      <c r="A3285" s="52"/>
      <c r="B3285" s="2"/>
      <c r="C3285" s="2"/>
      <c r="D3285" s="3"/>
      <c r="E3285" s="3"/>
      <c r="F3285" s="2"/>
      <c r="G3285" s="13">
        <f>IF($B3285="IN",$D3285,0)</f>
      </c>
      <c r="H3285" s="13">
        <f>IF($B3285="OUT",$D3285,0)</f>
      </c>
    </row>
    <row x14ac:dyDescent="0.25" r="3286" customHeight="1" ht="17.25">
      <c r="A3286" s="52"/>
      <c r="B3286" s="2"/>
      <c r="C3286" s="2"/>
      <c r="D3286" s="3"/>
      <c r="E3286" s="3"/>
      <c r="F3286" s="2"/>
      <c r="G3286" s="13">
        <f>IF($B3286="IN",$D3286,0)</f>
      </c>
      <c r="H3286" s="13">
        <f>IF($B3286="OUT",$D3286,0)</f>
      </c>
    </row>
    <row x14ac:dyDescent="0.25" r="3287" customHeight="1" ht="17.25">
      <c r="A3287" s="52"/>
      <c r="B3287" s="2"/>
      <c r="C3287" s="2"/>
      <c r="D3287" s="3"/>
      <c r="E3287" s="3"/>
      <c r="F3287" s="2"/>
      <c r="G3287" s="13">
        <f>IF($B3287="IN",$D3287,0)</f>
      </c>
      <c r="H3287" s="13">
        <f>IF($B3287="OUT",$D3287,0)</f>
      </c>
    </row>
    <row x14ac:dyDescent="0.25" r="3288" customHeight="1" ht="17.25">
      <c r="A3288" s="52"/>
      <c r="B3288" s="2"/>
      <c r="C3288" s="2"/>
      <c r="D3288" s="3"/>
      <c r="E3288" s="3"/>
      <c r="F3288" s="2"/>
      <c r="G3288" s="13">
        <f>IF($B3288="IN",$D3288,0)</f>
      </c>
      <c r="H3288" s="13">
        <f>IF($B3288="OUT",$D3288,0)</f>
      </c>
    </row>
    <row x14ac:dyDescent="0.25" r="3289" customHeight="1" ht="17.25">
      <c r="A3289" s="52"/>
      <c r="B3289" s="2"/>
      <c r="C3289" s="2"/>
      <c r="D3289" s="3"/>
      <c r="E3289" s="3"/>
      <c r="F3289" s="2"/>
      <c r="G3289" s="13">
        <f>IF($B3289="IN",$D3289,0)</f>
      </c>
      <c r="H3289" s="13">
        <f>IF($B3289="OUT",$D3289,0)</f>
      </c>
    </row>
    <row x14ac:dyDescent="0.25" r="3290" customHeight="1" ht="17.25">
      <c r="A3290" s="52"/>
      <c r="B3290" s="2"/>
      <c r="C3290" s="2"/>
      <c r="D3290" s="3"/>
      <c r="E3290" s="3"/>
      <c r="F3290" s="2"/>
      <c r="G3290" s="13">
        <f>IF($B3290="IN",$D3290,0)</f>
      </c>
      <c r="H3290" s="13">
        <f>IF($B3290="OUT",$D3290,0)</f>
      </c>
    </row>
    <row x14ac:dyDescent="0.25" r="3291" customHeight="1" ht="17.25">
      <c r="A3291" s="52"/>
      <c r="B3291" s="2"/>
      <c r="C3291" s="2"/>
      <c r="D3291" s="3"/>
      <c r="E3291" s="3"/>
      <c r="F3291" s="2"/>
      <c r="G3291" s="13">
        <f>IF($B3291="IN",$D3291,0)</f>
      </c>
      <c r="H3291" s="13">
        <f>IF($B3291="OUT",$D3291,0)</f>
      </c>
    </row>
    <row x14ac:dyDescent="0.25" r="3292" customHeight="1" ht="17.25">
      <c r="A3292" s="52"/>
      <c r="B3292" s="2"/>
      <c r="C3292" s="2"/>
      <c r="D3292" s="3"/>
      <c r="E3292" s="3"/>
      <c r="F3292" s="2"/>
      <c r="G3292" s="13">
        <f>IF($B3292="IN",$D3292,0)</f>
      </c>
      <c r="H3292" s="13">
        <f>IF($B3292="OUT",$D3292,0)</f>
      </c>
    </row>
    <row x14ac:dyDescent="0.25" r="3293" customHeight="1" ht="17.25">
      <c r="A3293" s="52"/>
      <c r="B3293" s="2"/>
      <c r="C3293" s="2"/>
      <c r="D3293" s="3"/>
      <c r="E3293" s="3"/>
      <c r="F3293" s="2"/>
      <c r="G3293" s="13">
        <f>IF($B3293="IN",$D3293,0)</f>
      </c>
      <c r="H3293" s="13">
        <f>IF($B3293="OUT",$D3293,0)</f>
      </c>
    </row>
    <row x14ac:dyDescent="0.25" r="3294" customHeight="1" ht="17.25">
      <c r="A3294" s="52"/>
      <c r="B3294" s="2"/>
      <c r="C3294" s="2"/>
      <c r="D3294" s="3"/>
      <c r="E3294" s="3"/>
      <c r="F3294" s="2"/>
      <c r="G3294" s="13">
        <f>IF($B3294="IN",$D3294,0)</f>
      </c>
      <c r="H3294" s="13">
        <f>IF($B3294="OUT",$D3294,0)</f>
      </c>
    </row>
    <row x14ac:dyDescent="0.25" r="3295" customHeight="1" ht="17.25">
      <c r="A3295" s="52"/>
      <c r="B3295" s="2"/>
      <c r="C3295" s="2"/>
      <c r="D3295" s="3"/>
      <c r="E3295" s="3"/>
      <c r="F3295" s="2"/>
      <c r="G3295" s="13">
        <f>IF($B3295="IN",$D3295,0)</f>
      </c>
      <c r="H3295" s="13">
        <f>IF($B3295="OUT",$D3295,0)</f>
      </c>
    </row>
    <row x14ac:dyDescent="0.25" r="3296" customHeight="1" ht="17.25">
      <c r="A3296" s="52"/>
      <c r="B3296" s="2"/>
      <c r="C3296" s="2"/>
      <c r="D3296" s="3"/>
      <c r="E3296" s="3"/>
      <c r="F3296" s="2"/>
      <c r="G3296" s="13">
        <f>IF($B3296="IN",$D3296,0)</f>
      </c>
      <c r="H3296" s="13">
        <f>IF($B3296="OUT",$D3296,0)</f>
      </c>
    </row>
    <row x14ac:dyDescent="0.25" r="3297" customHeight="1" ht="17.25">
      <c r="A3297" s="52"/>
      <c r="B3297" s="2"/>
      <c r="C3297" s="2"/>
      <c r="D3297" s="3"/>
      <c r="E3297" s="3"/>
      <c r="F3297" s="2"/>
      <c r="G3297" s="13">
        <f>IF($B3297="IN",$D3297,0)</f>
      </c>
      <c r="H3297" s="13">
        <f>IF($B3297="OUT",$D3297,0)</f>
      </c>
    </row>
    <row x14ac:dyDescent="0.25" r="3298" customHeight="1" ht="17.25">
      <c r="A3298" s="52"/>
      <c r="B3298" s="2"/>
      <c r="C3298" s="2"/>
      <c r="D3298" s="3"/>
      <c r="E3298" s="3"/>
      <c r="F3298" s="2"/>
      <c r="G3298" s="13">
        <f>IF($B3298="IN",$D3298,0)</f>
      </c>
      <c r="H3298" s="13">
        <f>IF($B3298="OUT",$D3298,0)</f>
      </c>
    </row>
    <row x14ac:dyDescent="0.25" r="3299" customHeight="1" ht="17.25">
      <c r="A3299" s="52"/>
      <c r="B3299" s="2"/>
      <c r="C3299" s="2"/>
      <c r="D3299" s="3"/>
      <c r="E3299" s="3"/>
      <c r="F3299" s="2"/>
      <c r="G3299" s="13">
        <f>IF($B3299="IN",$D3299,0)</f>
      </c>
      <c r="H3299" s="13">
        <f>IF($B3299="OUT",$D3299,0)</f>
      </c>
    </row>
    <row x14ac:dyDescent="0.25" r="3300" customHeight="1" ht="17.25">
      <c r="A3300" s="52"/>
      <c r="B3300" s="2"/>
      <c r="C3300" s="2"/>
      <c r="D3300" s="3"/>
      <c r="E3300" s="3"/>
      <c r="F3300" s="2"/>
      <c r="G3300" s="13">
        <f>IF($B3300="IN",$D3300,0)</f>
      </c>
      <c r="H3300" s="13">
        <f>IF($B3300="OUT",$D3300,0)</f>
      </c>
    </row>
    <row x14ac:dyDescent="0.25" r="3301" customHeight="1" ht="17.25">
      <c r="A3301" s="52"/>
      <c r="B3301" s="2"/>
      <c r="C3301" s="2"/>
      <c r="D3301" s="3"/>
      <c r="E3301" s="3"/>
      <c r="F3301" s="2"/>
      <c r="G3301" s="13">
        <f>IF($B3301="IN",$D3301,0)</f>
      </c>
      <c r="H3301" s="13">
        <f>IF($B3301="OUT",$D3301,0)</f>
      </c>
    </row>
    <row x14ac:dyDescent="0.25" r="3302" customHeight="1" ht="17.25">
      <c r="A3302" s="52"/>
      <c r="B3302" s="2"/>
      <c r="C3302" s="2"/>
      <c r="D3302" s="3"/>
      <c r="E3302" s="3"/>
      <c r="F3302" s="2"/>
      <c r="G3302" s="13">
        <f>IF($B3302="IN",$D3302,0)</f>
      </c>
      <c r="H3302" s="13">
        <f>IF($B3302="OUT",$D3302,0)</f>
      </c>
    </row>
    <row x14ac:dyDescent="0.25" r="3303" customHeight="1" ht="17.25">
      <c r="A3303" s="52"/>
      <c r="B3303" s="2"/>
      <c r="C3303" s="2"/>
      <c r="D3303" s="3"/>
      <c r="E3303" s="3"/>
      <c r="F3303" s="2"/>
      <c r="G3303" s="13">
        <f>IF($B3303="IN",$D3303,0)</f>
      </c>
      <c r="H3303" s="13">
        <f>IF($B3303="OUT",$D3303,0)</f>
      </c>
    </row>
    <row x14ac:dyDescent="0.25" r="3304" customHeight="1" ht="17.25">
      <c r="A3304" s="52"/>
      <c r="B3304" s="2"/>
      <c r="C3304" s="2"/>
      <c r="D3304" s="3"/>
      <c r="E3304" s="3"/>
      <c r="F3304" s="2"/>
      <c r="G3304" s="13">
        <f>IF($B3304="IN",$D3304,0)</f>
      </c>
      <c r="H3304" s="13">
        <f>IF($B3304="OUT",$D3304,0)</f>
      </c>
    </row>
    <row x14ac:dyDescent="0.25" r="3305" customHeight="1" ht="17.25">
      <c r="A3305" s="52"/>
      <c r="B3305" s="2"/>
      <c r="C3305" s="2"/>
      <c r="D3305" s="3"/>
      <c r="E3305" s="3"/>
      <c r="F3305" s="2"/>
      <c r="G3305" s="13">
        <f>IF($B3305="IN",$D3305,0)</f>
      </c>
      <c r="H3305" s="13">
        <f>IF($B3305="OUT",$D3305,0)</f>
      </c>
    </row>
    <row x14ac:dyDescent="0.25" r="3306" customHeight="1" ht="17.25">
      <c r="A3306" s="52"/>
      <c r="B3306" s="2"/>
      <c r="C3306" s="2"/>
      <c r="D3306" s="3"/>
      <c r="E3306" s="3"/>
      <c r="F3306" s="2"/>
      <c r="G3306" s="13">
        <f>IF($B3306="IN",$D3306,0)</f>
      </c>
      <c r="H3306" s="13">
        <f>IF($B3306="OUT",$D3306,0)</f>
      </c>
    </row>
    <row x14ac:dyDescent="0.25" r="3307" customHeight="1" ht="17.25">
      <c r="A3307" s="52"/>
      <c r="B3307" s="2"/>
      <c r="C3307" s="2"/>
      <c r="D3307" s="3"/>
      <c r="E3307" s="3"/>
      <c r="F3307" s="2"/>
      <c r="G3307" s="13">
        <f>IF($B3307="IN",$D3307,0)</f>
      </c>
      <c r="H3307" s="13">
        <f>IF($B3307="OUT",$D3307,0)</f>
      </c>
    </row>
    <row x14ac:dyDescent="0.25" r="3308" customHeight="1" ht="17.25">
      <c r="A3308" s="52"/>
      <c r="B3308" s="2"/>
      <c r="C3308" s="2"/>
      <c r="D3308" s="3"/>
      <c r="E3308" s="3"/>
      <c r="F3308" s="2"/>
      <c r="G3308" s="13">
        <f>IF($B3308="IN",$D3308,0)</f>
      </c>
      <c r="H3308" s="13">
        <f>IF($B3308="OUT",$D3308,0)</f>
      </c>
    </row>
    <row x14ac:dyDescent="0.25" r="3309" customHeight="1" ht="17.25">
      <c r="A3309" s="52"/>
      <c r="B3309" s="2"/>
      <c r="C3309" s="2"/>
      <c r="D3309" s="3"/>
      <c r="E3309" s="3"/>
      <c r="F3309" s="2"/>
      <c r="G3309" s="13">
        <f>IF($B3309="IN",$D3309,0)</f>
      </c>
      <c r="H3309" s="13">
        <f>IF($B3309="OUT",$D3309,0)</f>
      </c>
    </row>
    <row x14ac:dyDescent="0.25" r="3310" customHeight="1" ht="17.25">
      <c r="A3310" s="52"/>
      <c r="B3310" s="2"/>
      <c r="C3310" s="2"/>
      <c r="D3310" s="3"/>
      <c r="E3310" s="3"/>
      <c r="F3310" s="2"/>
      <c r="G3310" s="13">
        <f>IF($B3310="IN",$D3310,0)</f>
      </c>
      <c r="H3310" s="13">
        <f>IF($B3310="OUT",$D3310,0)</f>
      </c>
    </row>
    <row x14ac:dyDescent="0.25" r="3311" customHeight="1" ht="17.25">
      <c r="A3311" s="52"/>
      <c r="B3311" s="2"/>
      <c r="C3311" s="2"/>
      <c r="D3311" s="3"/>
      <c r="E3311" s="3"/>
      <c r="F3311" s="2"/>
      <c r="G3311" s="13">
        <f>IF($B3311="IN",$D3311,0)</f>
      </c>
      <c r="H3311" s="13">
        <f>IF($B3311="OUT",$D3311,0)</f>
      </c>
    </row>
    <row x14ac:dyDescent="0.25" r="3312" customHeight="1" ht="17.25">
      <c r="A3312" s="52"/>
      <c r="B3312" s="2"/>
      <c r="C3312" s="2"/>
      <c r="D3312" s="3"/>
      <c r="E3312" s="3"/>
      <c r="F3312" s="2"/>
      <c r="G3312" s="13">
        <f>IF($B3312="IN",$D3312,0)</f>
      </c>
      <c r="H3312" s="13">
        <f>IF($B3312="OUT",$D3312,0)</f>
      </c>
    </row>
    <row x14ac:dyDescent="0.25" r="3313" customHeight="1" ht="17.25">
      <c r="A3313" s="52"/>
      <c r="B3313" s="2"/>
      <c r="C3313" s="2"/>
      <c r="D3313" s="3"/>
      <c r="E3313" s="3"/>
      <c r="F3313" s="2"/>
      <c r="G3313" s="13">
        <f>IF($B3313="IN",$D3313,0)</f>
      </c>
      <c r="H3313" s="13">
        <f>IF($B3313="OUT",$D3313,0)</f>
      </c>
    </row>
    <row x14ac:dyDescent="0.25" r="3314" customHeight="1" ht="17.25">
      <c r="A3314" s="52"/>
      <c r="B3314" s="2"/>
      <c r="C3314" s="2"/>
      <c r="D3314" s="3"/>
      <c r="E3314" s="3"/>
      <c r="F3314" s="2"/>
      <c r="G3314" s="13">
        <f>IF($B3314="IN",$D3314,0)</f>
      </c>
      <c r="H3314" s="13">
        <f>IF($B3314="OUT",$D3314,0)</f>
      </c>
    </row>
    <row x14ac:dyDescent="0.25" r="3315" customHeight="1" ht="17.25">
      <c r="A3315" s="52"/>
      <c r="B3315" s="2"/>
      <c r="C3315" s="2"/>
      <c r="D3315" s="3"/>
      <c r="E3315" s="3"/>
      <c r="F3315" s="2"/>
      <c r="G3315" s="13">
        <f>IF($B3315="IN",$D3315,0)</f>
      </c>
      <c r="H3315" s="13">
        <f>IF($B3315="OUT",$D3315,0)</f>
      </c>
    </row>
    <row x14ac:dyDescent="0.25" r="3316" customHeight="1" ht="17.25">
      <c r="A3316" s="52"/>
      <c r="B3316" s="2"/>
      <c r="C3316" s="2"/>
      <c r="D3316" s="3"/>
      <c r="E3316" s="3"/>
      <c r="F3316" s="2"/>
      <c r="G3316" s="13">
        <f>IF($B3316="IN",$D3316,0)</f>
      </c>
      <c r="H3316" s="13">
        <f>IF($B3316="OUT",$D3316,0)</f>
      </c>
    </row>
    <row x14ac:dyDescent="0.25" r="3317" customHeight="1" ht="17.25">
      <c r="A3317" s="52"/>
      <c r="B3317" s="2"/>
      <c r="C3317" s="2"/>
      <c r="D3317" s="3"/>
      <c r="E3317" s="3"/>
      <c r="F3317" s="2"/>
      <c r="G3317" s="13">
        <f>IF($B3317="IN",$D3317,0)</f>
      </c>
      <c r="H3317" s="13">
        <f>IF($B3317="OUT",$D3317,0)</f>
      </c>
    </row>
    <row x14ac:dyDescent="0.25" r="3318" customHeight="1" ht="17.25">
      <c r="A3318" s="52"/>
      <c r="B3318" s="2"/>
      <c r="C3318" s="2"/>
      <c r="D3318" s="3"/>
      <c r="E3318" s="3"/>
      <c r="F3318" s="2"/>
      <c r="G3318" s="13">
        <f>IF($B3318="IN",$D3318,0)</f>
      </c>
      <c r="H3318" s="13">
        <f>IF($B3318="OUT",$D3318,0)</f>
      </c>
    </row>
    <row x14ac:dyDescent="0.25" r="3319" customHeight="1" ht="17.25">
      <c r="A3319" s="52"/>
      <c r="B3319" s="2"/>
      <c r="C3319" s="2"/>
      <c r="D3319" s="3"/>
      <c r="E3319" s="3"/>
      <c r="F3319" s="2"/>
      <c r="G3319" s="13">
        <f>IF($B3319="IN",$D3319,0)</f>
      </c>
      <c r="H3319" s="13">
        <f>IF($B3319="OUT",$D3319,0)</f>
      </c>
    </row>
    <row x14ac:dyDescent="0.25" r="3320" customHeight="1" ht="17.25">
      <c r="A3320" s="52"/>
      <c r="B3320" s="2"/>
      <c r="C3320" s="2"/>
      <c r="D3320" s="3"/>
      <c r="E3320" s="3"/>
      <c r="F3320" s="2"/>
      <c r="G3320" s="13">
        <f>IF($B3320="IN",$D3320,0)</f>
      </c>
      <c r="H3320" s="13">
        <f>IF($B3320="OUT",$D3320,0)</f>
      </c>
    </row>
    <row x14ac:dyDescent="0.25" r="3321" customHeight="1" ht="17.25">
      <c r="A3321" s="52"/>
      <c r="B3321" s="2"/>
      <c r="C3321" s="2"/>
      <c r="D3321" s="3"/>
      <c r="E3321" s="3"/>
      <c r="F3321" s="2"/>
      <c r="G3321" s="13">
        <f>IF($B3321="IN",$D3321,0)</f>
      </c>
      <c r="H3321" s="13">
        <f>IF($B3321="OUT",$D3321,0)</f>
      </c>
    </row>
    <row x14ac:dyDescent="0.25" r="3322" customHeight="1" ht="17.25">
      <c r="A3322" s="52"/>
      <c r="B3322" s="2"/>
      <c r="C3322" s="2"/>
      <c r="D3322" s="3"/>
      <c r="E3322" s="3"/>
      <c r="F3322" s="2"/>
      <c r="G3322" s="13">
        <f>IF($B3322="IN",$D3322,0)</f>
      </c>
      <c r="H3322" s="13">
        <f>IF($B3322="OUT",$D3322,0)</f>
      </c>
    </row>
    <row x14ac:dyDescent="0.25" r="3323" customHeight="1" ht="17.25">
      <c r="A3323" s="52"/>
      <c r="B3323" s="2"/>
      <c r="C3323" s="2"/>
      <c r="D3323" s="3"/>
      <c r="E3323" s="3"/>
      <c r="F3323" s="2"/>
      <c r="G3323" s="13">
        <f>IF($B3323="IN",$D3323,0)</f>
      </c>
      <c r="H3323" s="13">
        <f>IF($B3323="OUT",$D3323,0)</f>
      </c>
    </row>
    <row x14ac:dyDescent="0.25" r="3324" customHeight="1" ht="17.25">
      <c r="A3324" s="52"/>
      <c r="B3324" s="2"/>
      <c r="C3324" s="2"/>
      <c r="D3324" s="3"/>
      <c r="E3324" s="3"/>
      <c r="F3324" s="2"/>
      <c r="G3324" s="13">
        <f>IF($B3324="IN",$D3324,0)</f>
      </c>
      <c r="H3324" s="13">
        <f>IF($B3324="OUT",$D3324,0)</f>
      </c>
    </row>
    <row x14ac:dyDescent="0.25" r="3325" customHeight="1" ht="17.25">
      <c r="A3325" s="52"/>
      <c r="B3325" s="2"/>
      <c r="C3325" s="2"/>
      <c r="D3325" s="3"/>
      <c r="E3325" s="3"/>
      <c r="F3325" s="2"/>
      <c r="G3325" s="13">
        <f>IF($B3325="IN",$D3325,0)</f>
      </c>
      <c r="H3325" s="13">
        <f>IF($B3325="OUT",$D3325,0)</f>
      </c>
    </row>
    <row x14ac:dyDescent="0.25" r="3326" customHeight="1" ht="17.25">
      <c r="A3326" s="52"/>
      <c r="B3326" s="2"/>
      <c r="C3326" s="2"/>
      <c r="D3326" s="3"/>
      <c r="E3326" s="3"/>
      <c r="F3326" s="2"/>
      <c r="G3326" s="13">
        <f>IF($B3326="IN",$D3326,0)</f>
      </c>
      <c r="H3326" s="13">
        <f>IF($B3326="OUT",$D3326,0)</f>
      </c>
    </row>
    <row x14ac:dyDescent="0.25" r="3327" customHeight="1" ht="17.25">
      <c r="A3327" s="52"/>
      <c r="B3327" s="2"/>
      <c r="C3327" s="2"/>
      <c r="D3327" s="3"/>
      <c r="E3327" s="3"/>
      <c r="F3327" s="2"/>
      <c r="G3327" s="13">
        <f>IF($B3327="IN",$D3327,0)</f>
      </c>
      <c r="H3327" s="13">
        <f>IF($B3327="OUT",$D3327,0)</f>
      </c>
    </row>
    <row x14ac:dyDescent="0.25" r="3328" customHeight="1" ht="17.25">
      <c r="A3328" s="52"/>
      <c r="B3328" s="2"/>
      <c r="C3328" s="2"/>
      <c r="D3328" s="3"/>
      <c r="E3328" s="3"/>
      <c r="F3328" s="2"/>
      <c r="G3328" s="13">
        <f>IF($B3328="IN",$D3328,0)</f>
      </c>
      <c r="H3328" s="13">
        <f>IF($B3328="OUT",$D3328,0)</f>
      </c>
    </row>
    <row x14ac:dyDescent="0.25" r="3329" customHeight="1" ht="17.25">
      <c r="A3329" s="52"/>
      <c r="B3329" s="2"/>
      <c r="C3329" s="2"/>
      <c r="D3329" s="3"/>
      <c r="E3329" s="3"/>
      <c r="F3329" s="2"/>
      <c r="G3329" s="13">
        <f>IF($B3329="IN",$D3329,0)</f>
      </c>
      <c r="H3329" s="13">
        <f>IF($B3329="OUT",$D3329,0)</f>
      </c>
    </row>
    <row x14ac:dyDescent="0.25" r="3330" customHeight="1" ht="17.25">
      <c r="A3330" s="52"/>
      <c r="B3330" s="2"/>
      <c r="C3330" s="2"/>
      <c r="D3330" s="3"/>
      <c r="E3330" s="3"/>
      <c r="F3330" s="2"/>
      <c r="G3330" s="13">
        <f>IF($B3330="IN",$D3330,0)</f>
      </c>
      <c r="H3330" s="13">
        <f>IF($B3330="OUT",$D3330,0)</f>
      </c>
    </row>
    <row x14ac:dyDescent="0.25" r="3331" customHeight="1" ht="17.25">
      <c r="A3331" s="52"/>
      <c r="B3331" s="2"/>
      <c r="C3331" s="2"/>
      <c r="D3331" s="3"/>
      <c r="E3331" s="3"/>
      <c r="F3331" s="2"/>
      <c r="G3331" s="13">
        <f>IF($B3331="IN",$D3331,0)</f>
      </c>
      <c r="H3331" s="13">
        <f>IF($B3331="OUT",$D3331,0)</f>
      </c>
    </row>
    <row x14ac:dyDescent="0.25" r="3332" customHeight="1" ht="17.25">
      <c r="A3332" s="52"/>
      <c r="B3332" s="2"/>
      <c r="C3332" s="2"/>
      <c r="D3332" s="3"/>
      <c r="E3332" s="3"/>
      <c r="F3332" s="2"/>
      <c r="G3332" s="13">
        <f>IF($B3332="IN",$D3332,0)</f>
      </c>
      <c r="H3332" s="13">
        <f>IF($B3332="OUT",$D3332,0)</f>
      </c>
    </row>
    <row x14ac:dyDescent="0.25" r="3333" customHeight="1" ht="17.25">
      <c r="A3333" s="52"/>
      <c r="B3333" s="2"/>
      <c r="C3333" s="2"/>
      <c r="D3333" s="3"/>
      <c r="E3333" s="3"/>
      <c r="F3333" s="2"/>
      <c r="G3333" s="13">
        <f>IF($B3333="IN",$D3333,0)</f>
      </c>
      <c r="H3333" s="13">
        <f>IF($B3333="OUT",$D3333,0)</f>
      </c>
    </row>
    <row x14ac:dyDescent="0.25" r="3334" customHeight="1" ht="17.25">
      <c r="A3334" s="52"/>
      <c r="B3334" s="2"/>
      <c r="C3334" s="2"/>
      <c r="D3334" s="3"/>
      <c r="E3334" s="3"/>
      <c r="F3334" s="2"/>
      <c r="G3334" s="13">
        <f>IF($B3334="IN",$D3334,0)</f>
      </c>
      <c r="H3334" s="13">
        <f>IF($B3334="OUT",$D3334,0)</f>
      </c>
    </row>
    <row x14ac:dyDescent="0.25" r="3335" customHeight="1" ht="17.25">
      <c r="A3335" s="52"/>
      <c r="B3335" s="2"/>
      <c r="C3335" s="2"/>
      <c r="D3335" s="3"/>
      <c r="E3335" s="3"/>
      <c r="F3335" s="2"/>
      <c r="G3335" s="13">
        <f>IF($B3335="IN",$D3335,0)</f>
      </c>
      <c r="H3335" s="13">
        <f>IF($B3335="OUT",$D3335,0)</f>
      </c>
    </row>
    <row x14ac:dyDescent="0.25" r="3336" customHeight="1" ht="17.25">
      <c r="A3336" s="52"/>
      <c r="B3336" s="2"/>
      <c r="C3336" s="2"/>
      <c r="D3336" s="3"/>
      <c r="E3336" s="3"/>
      <c r="F3336" s="2"/>
      <c r="G3336" s="13">
        <f>IF($B3336="IN",$D3336,0)</f>
      </c>
      <c r="H3336" s="13">
        <f>IF($B3336="OUT",$D3336,0)</f>
      </c>
    </row>
    <row x14ac:dyDescent="0.25" r="3337" customHeight="1" ht="17.25">
      <c r="A3337" s="52"/>
      <c r="B3337" s="2"/>
      <c r="C3337" s="2"/>
      <c r="D3337" s="3"/>
      <c r="E3337" s="3"/>
      <c r="F3337" s="2"/>
      <c r="G3337" s="13">
        <f>IF($B3337="IN",$D3337,0)</f>
      </c>
      <c r="H3337" s="13">
        <f>IF($B3337="OUT",$D3337,0)</f>
      </c>
    </row>
    <row x14ac:dyDescent="0.25" r="3338" customHeight="1" ht="17.25">
      <c r="A3338" s="52"/>
      <c r="B3338" s="2"/>
      <c r="C3338" s="2"/>
      <c r="D3338" s="3"/>
      <c r="E3338" s="3"/>
      <c r="F3338" s="2"/>
      <c r="G3338" s="13">
        <f>IF($B3338="IN",$D3338,0)</f>
      </c>
      <c r="H3338" s="13">
        <f>IF($B3338="OUT",$D3338,0)</f>
      </c>
    </row>
    <row x14ac:dyDescent="0.25" r="3339" customHeight="1" ht="17.25">
      <c r="A3339" s="52"/>
      <c r="B3339" s="2"/>
      <c r="C3339" s="2"/>
      <c r="D3339" s="3"/>
      <c r="E3339" s="3"/>
      <c r="F3339" s="2"/>
      <c r="G3339" s="13">
        <f>IF($B3339="IN",$D3339,0)</f>
      </c>
      <c r="H3339" s="13">
        <f>IF($B3339="OUT",$D3339,0)</f>
      </c>
    </row>
    <row x14ac:dyDescent="0.25" r="3340" customHeight="1" ht="17.25">
      <c r="A3340" s="52"/>
      <c r="B3340" s="2"/>
      <c r="C3340" s="2"/>
      <c r="D3340" s="3"/>
      <c r="E3340" s="3"/>
      <c r="F3340" s="2"/>
      <c r="G3340" s="13">
        <f>IF($B3340="IN",$D3340,0)</f>
      </c>
      <c r="H3340" s="13">
        <f>IF($B3340="OUT",$D3340,0)</f>
      </c>
    </row>
    <row x14ac:dyDescent="0.25" r="3341" customHeight="1" ht="17.25">
      <c r="A3341" s="52"/>
      <c r="B3341" s="2"/>
      <c r="C3341" s="2"/>
      <c r="D3341" s="3"/>
      <c r="E3341" s="3"/>
      <c r="F3341" s="2"/>
      <c r="G3341" s="13">
        <f>IF($B3341="IN",$D3341,0)</f>
      </c>
      <c r="H3341" s="13">
        <f>IF($B3341="OUT",$D3341,0)</f>
      </c>
    </row>
    <row x14ac:dyDescent="0.25" r="3342" customHeight="1" ht="17.25">
      <c r="A3342" s="52"/>
      <c r="B3342" s="2"/>
      <c r="C3342" s="2"/>
      <c r="D3342" s="3"/>
      <c r="E3342" s="3"/>
      <c r="F3342" s="2"/>
      <c r="G3342" s="13">
        <f>IF($B3342="IN",$D3342,0)</f>
      </c>
      <c r="H3342" s="13">
        <f>IF($B3342="OUT",$D3342,0)</f>
      </c>
    </row>
    <row x14ac:dyDescent="0.25" r="3343" customHeight="1" ht="17.25">
      <c r="A3343" s="52"/>
      <c r="B3343" s="2"/>
      <c r="C3343" s="2"/>
      <c r="D3343" s="3"/>
      <c r="E3343" s="3"/>
      <c r="F3343" s="2"/>
      <c r="G3343" s="13">
        <f>IF($B3343="IN",$D3343,0)</f>
      </c>
      <c r="H3343" s="13">
        <f>IF($B3343="OUT",$D3343,0)</f>
      </c>
    </row>
    <row x14ac:dyDescent="0.25" r="3344" customHeight="1" ht="17.25">
      <c r="A3344" s="52"/>
      <c r="B3344" s="2"/>
      <c r="C3344" s="2"/>
      <c r="D3344" s="3"/>
      <c r="E3344" s="3"/>
      <c r="F3344" s="2"/>
      <c r="G3344" s="13">
        <f>IF($B3344="IN",$D3344,0)</f>
      </c>
      <c r="H3344" s="13">
        <f>IF($B3344="OUT",$D3344,0)</f>
      </c>
    </row>
    <row x14ac:dyDescent="0.25" r="3345" customHeight="1" ht="17.25">
      <c r="A3345" s="52"/>
      <c r="B3345" s="2"/>
      <c r="C3345" s="2"/>
      <c r="D3345" s="3"/>
      <c r="E3345" s="3"/>
      <c r="F3345" s="2"/>
      <c r="G3345" s="13">
        <f>IF($B3345="IN",$D3345,0)</f>
      </c>
      <c r="H3345" s="13">
        <f>IF($B3345="OUT",$D3345,0)</f>
      </c>
    </row>
    <row x14ac:dyDescent="0.25" r="3346" customHeight="1" ht="17.25">
      <c r="A3346" s="52"/>
      <c r="B3346" s="2"/>
      <c r="C3346" s="2"/>
      <c r="D3346" s="3"/>
      <c r="E3346" s="3"/>
      <c r="F3346" s="2"/>
      <c r="G3346" s="13">
        <f>IF($B3346="IN",$D3346,0)</f>
      </c>
      <c r="H3346" s="13">
        <f>IF($B3346="OUT",$D3346,0)</f>
      </c>
    </row>
    <row x14ac:dyDescent="0.25" r="3347" customHeight="1" ht="17.25">
      <c r="A3347" s="52"/>
      <c r="B3347" s="2"/>
      <c r="C3347" s="2"/>
      <c r="D3347" s="3"/>
      <c r="E3347" s="3"/>
      <c r="F3347" s="2"/>
      <c r="G3347" s="13">
        <f>IF($B3347="IN",$D3347,0)</f>
      </c>
      <c r="H3347" s="13">
        <f>IF($B3347="OUT",$D3347,0)</f>
      </c>
    </row>
    <row x14ac:dyDescent="0.25" r="3348" customHeight="1" ht="17.25">
      <c r="A3348" s="52"/>
      <c r="B3348" s="2"/>
      <c r="C3348" s="2"/>
      <c r="D3348" s="3"/>
      <c r="E3348" s="3"/>
      <c r="F3348" s="2"/>
      <c r="G3348" s="13">
        <f>IF($B3348="IN",$D3348,0)</f>
      </c>
      <c r="H3348" s="13">
        <f>IF($B3348="OUT",$D3348,0)</f>
      </c>
    </row>
    <row x14ac:dyDescent="0.25" r="3349" customHeight="1" ht="17.25">
      <c r="A3349" s="52"/>
      <c r="B3349" s="2"/>
      <c r="C3349" s="2"/>
      <c r="D3349" s="3"/>
      <c r="E3349" s="3"/>
      <c r="F3349" s="2"/>
      <c r="G3349" s="13">
        <f>IF($B3349="IN",$D3349,0)</f>
      </c>
      <c r="H3349" s="13">
        <f>IF($B3349="OUT",$D3349,0)</f>
      </c>
    </row>
    <row x14ac:dyDescent="0.25" r="3350" customHeight="1" ht="17.25">
      <c r="A3350" s="52"/>
      <c r="B3350" s="2"/>
      <c r="C3350" s="2"/>
      <c r="D3350" s="3"/>
      <c r="E3350" s="3"/>
      <c r="F3350" s="2"/>
      <c r="G3350" s="13">
        <f>IF($B3350="IN",$D3350,0)</f>
      </c>
      <c r="H3350" s="13">
        <f>IF($B3350="OUT",$D3350,0)</f>
      </c>
    </row>
    <row x14ac:dyDescent="0.25" r="3351" customHeight="1" ht="17.25">
      <c r="A3351" s="52"/>
      <c r="B3351" s="2"/>
      <c r="C3351" s="2"/>
      <c r="D3351" s="3"/>
      <c r="E3351" s="3"/>
      <c r="F3351" s="2"/>
      <c r="G3351" s="13">
        <f>IF($B3351="IN",$D3351,0)</f>
      </c>
      <c r="H3351" s="13">
        <f>IF($B3351="OUT",$D3351,0)</f>
      </c>
    </row>
    <row x14ac:dyDescent="0.25" r="3352" customHeight="1" ht="17.25">
      <c r="A3352" s="52"/>
      <c r="B3352" s="2"/>
      <c r="C3352" s="2"/>
      <c r="D3352" s="3"/>
      <c r="E3352" s="3"/>
      <c r="F3352" s="2"/>
      <c r="G3352" s="13">
        <f>IF($B3352="IN",$D3352,0)</f>
      </c>
      <c r="H3352" s="13">
        <f>IF($B3352="OUT",$D3352,0)</f>
      </c>
    </row>
    <row x14ac:dyDescent="0.25" r="3353" customHeight="1" ht="17.25">
      <c r="A3353" s="52"/>
      <c r="B3353" s="2"/>
      <c r="C3353" s="2"/>
      <c r="D3353" s="3"/>
      <c r="E3353" s="3"/>
      <c r="F3353" s="2"/>
      <c r="G3353" s="13">
        <f>IF($B3353="IN",$D3353,0)</f>
      </c>
      <c r="H3353" s="13">
        <f>IF($B3353="OUT",$D3353,0)</f>
      </c>
    </row>
    <row x14ac:dyDescent="0.25" r="3354" customHeight="1" ht="17.25">
      <c r="A3354" s="52"/>
      <c r="B3354" s="2"/>
      <c r="C3354" s="2"/>
      <c r="D3354" s="3"/>
      <c r="E3354" s="3"/>
      <c r="F3354" s="2"/>
      <c r="G3354" s="13">
        <f>IF($B3354="IN",$D3354,0)</f>
      </c>
      <c r="H3354" s="13">
        <f>IF($B3354="OUT",$D3354,0)</f>
      </c>
    </row>
    <row x14ac:dyDescent="0.25" r="3355" customHeight="1" ht="17.25">
      <c r="A3355" s="52"/>
      <c r="B3355" s="2"/>
      <c r="C3355" s="2"/>
      <c r="D3355" s="3"/>
      <c r="E3355" s="3"/>
      <c r="F3355" s="2"/>
      <c r="G3355" s="13">
        <f>IF($B3355="IN",$D3355,0)</f>
      </c>
      <c r="H3355" s="13">
        <f>IF($B3355="OUT",$D3355,0)</f>
      </c>
    </row>
    <row x14ac:dyDescent="0.25" r="3356" customHeight="1" ht="17.25">
      <c r="A3356" s="52"/>
      <c r="B3356" s="2"/>
      <c r="C3356" s="2"/>
      <c r="D3356" s="3"/>
      <c r="E3356" s="3"/>
      <c r="F3356" s="2"/>
      <c r="G3356" s="13">
        <f>IF($B3356="IN",$D3356,0)</f>
      </c>
      <c r="H3356" s="13">
        <f>IF($B3356="OUT",$D3356,0)</f>
      </c>
    </row>
    <row x14ac:dyDescent="0.25" r="3357" customHeight="1" ht="17.25">
      <c r="A3357" s="52"/>
      <c r="B3357" s="2"/>
      <c r="C3357" s="2"/>
      <c r="D3357" s="3"/>
      <c r="E3357" s="3"/>
      <c r="F3357" s="2"/>
      <c r="G3357" s="13">
        <f>IF($B3357="IN",$D3357,0)</f>
      </c>
      <c r="H3357" s="13">
        <f>IF($B3357="OUT",$D3357,0)</f>
      </c>
    </row>
    <row x14ac:dyDescent="0.25" r="3358" customHeight="1" ht="17.25">
      <c r="A3358" s="52"/>
      <c r="B3358" s="2"/>
      <c r="C3358" s="2"/>
      <c r="D3358" s="3"/>
      <c r="E3358" s="3"/>
      <c r="F3358" s="2"/>
      <c r="G3358" s="13">
        <f>IF($B3358="IN",$D3358,0)</f>
      </c>
      <c r="H3358" s="13">
        <f>IF($B3358="OUT",$D3358,0)</f>
      </c>
    </row>
    <row x14ac:dyDescent="0.25" r="3359" customHeight="1" ht="17.25">
      <c r="A3359" s="52"/>
      <c r="B3359" s="2"/>
      <c r="C3359" s="2"/>
      <c r="D3359" s="3"/>
      <c r="E3359" s="3"/>
      <c r="F3359" s="2"/>
      <c r="G3359" s="13">
        <f>IF($B3359="IN",$D3359,0)</f>
      </c>
      <c r="H3359" s="13">
        <f>IF($B3359="OUT",$D3359,0)</f>
      </c>
    </row>
    <row x14ac:dyDescent="0.25" r="3360" customHeight="1" ht="17.25">
      <c r="A3360" s="52"/>
      <c r="B3360" s="2"/>
      <c r="C3360" s="2"/>
      <c r="D3360" s="3"/>
      <c r="E3360" s="3"/>
      <c r="F3360" s="2"/>
      <c r="G3360" s="13">
        <f>IF($B3360="IN",$D3360,0)</f>
      </c>
      <c r="H3360" s="13">
        <f>IF($B3360="OUT",$D3360,0)</f>
      </c>
    </row>
    <row x14ac:dyDescent="0.25" r="3361" customHeight="1" ht="17.25">
      <c r="A3361" s="52"/>
      <c r="B3361" s="2"/>
      <c r="C3361" s="2"/>
      <c r="D3361" s="3"/>
      <c r="E3361" s="3"/>
      <c r="F3361" s="2"/>
      <c r="G3361" s="13">
        <f>IF($B3361="IN",$D3361,0)</f>
      </c>
      <c r="H3361" s="13">
        <f>IF($B3361="OUT",$D3361,0)</f>
      </c>
    </row>
    <row x14ac:dyDescent="0.25" r="3362" customHeight="1" ht="17.25">
      <c r="A3362" s="52"/>
      <c r="B3362" s="2"/>
      <c r="C3362" s="2"/>
      <c r="D3362" s="3"/>
      <c r="E3362" s="3"/>
      <c r="F3362" s="2"/>
      <c r="G3362" s="13">
        <f>IF($B3362="IN",$D3362,0)</f>
      </c>
      <c r="H3362" s="13">
        <f>IF($B3362="OUT",$D3362,0)</f>
      </c>
    </row>
    <row x14ac:dyDescent="0.25" r="3363" customHeight="1" ht="17.25">
      <c r="A3363" s="52"/>
      <c r="B3363" s="2"/>
      <c r="C3363" s="2"/>
      <c r="D3363" s="3"/>
      <c r="E3363" s="3"/>
      <c r="F3363" s="2"/>
      <c r="G3363" s="13">
        <f>IF($B3363="IN",$D3363,0)</f>
      </c>
      <c r="H3363" s="13">
        <f>IF($B3363="OUT",$D3363,0)</f>
      </c>
    </row>
    <row x14ac:dyDescent="0.25" r="3364" customHeight="1" ht="17.25">
      <c r="A3364" s="52"/>
      <c r="B3364" s="2"/>
      <c r="C3364" s="2"/>
      <c r="D3364" s="3"/>
      <c r="E3364" s="3"/>
      <c r="F3364" s="2"/>
      <c r="G3364" s="13">
        <f>IF($B3364="IN",$D3364,0)</f>
      </c>
      <c r="H3364" s="13">
        <f>IF($B3364="OUT",$D3364,0)</f>
      </c>
    </row>
    <row x14ac:dyDescent="0.25" r="3365" customHeight="1" ht="17.25">
      <c r="A3365" s="52"/>
      <c r="B3365" s="2"/>
      <c r="C3365" s="2"/>
      <c r="D3365" s="3"/>
      <c r="E3365" s="3"/>
      <c r="F3365" s="2"/>
      <c r="G3365" s="13">
        <f>IF($B3365="IN",$D3365,0)</f>
      </c>
      <c r="H3365" s="13">
        <f>IF($B3365="OUT",$D3365,0)</f>
      </c>
    </row>
    <row x14ac:dyDescent="0.25" r="3366" customHeight="1" ht="17.25">
      <c r="A3366" s="52"/>
      <c r="B3366" s="2"/>
      <c r="C3366" s="2"/>
      <c r="D3366" s="3"/>
      <c r="E3366" s="3"/>
      <c r="F3366" s="2"/>
      <c r="G3366" s="13">
        <f>IF($B3366="IN",$D3366,0)</f>
      </c>
      <c r="H3366" s="13">
        <f>IF($B3366="OUT",$D3366,0)</f>
      </c>
    </row>
    <row x14ac:dyDescent="0.25" r="3367" customHeight="1" ht="17.25">
      <c r="A3367" s="52"/>
      <c r="B3367" s="2"/>
      <c r="C3367" s="2"/>
      <c r="D3367" s="3"/>
      <c r="E3367" s="3"/>
      <c r="F3367" s="2"/>
      <c r="G3367" s="13">
        <f>IF($B3367="IN",$D3367,0)</f>
      </c>
      <c r="H3367" s="13">
        <f>IF($B3367="OUT",$D3367,0)</f>
      </c>
    </row>
    <row x14ac:dyDescent="0.25" r="3368" customHeight="1" ht="17.25">
      <c r="A3368" s="52"/>
      <c r="B3368" s="2"/>
      <c r="C3368" s="2"/>
      <c r="D3368" s="3"/>
      <c r="E3368" s="3"/>
      <c r="F3368" s="2"/>
      <c r="G3368" s="13">
        <f>IF($B3368="IN",$D3368,0)</f>
      </c>
      <c r="H3368" s="13">
        <f>IF($B3368="OUT",$D3368,0)</f>
      </c>
    </row>
    <row x14ac:dyDescent="0.25" r="3369" customHeight="1" ht="17.25">
      <c r="A3369" s="52"/>
      <c r="B3369" s="2"/>
      <c r="C3369" s="2"/>
      <c r="D3369" s="3"/>
      <c r="E3369" s="3"/>
      <c r="F3369" s="2"/>
      <c r="G3369" s="13">
        <f>IF($B3369="IN",$D3369,0)</f>
      </c>
      <c r="H3369" s="13">
        <f>IF($B3369="OUT",$D3369,0)</f>
      </c>
    </row>
    <row x14ac:dyDescent="0.25" r="3370" customHeight="1" ht="17.25">
      <c r="A3370" s="52"/>
      <c r="B3370" s="2"/>
      <c r="C3370" s="2"/>
      <c r="D3370" s="3"/>
      <c r="E3370" s="3"/>
      <c r="F3370" s="2"/>
      <c r="G3370" s="13">
        <f>IF($B3370="IN",$D3370,0)</f>
      </c>
      <c r="H3370" s="13">
        <f>IF($B3370="OUT",$D3370,0)</f>
      </c>
    </row>
    <row x14ac:dyDescent="0.25" r="3371" customHeight="1" ht="17.25">
      <c r="A3371" s="52"/>
      <c r="B3371" s="2"/>
      <c r="C3371" s="2"/>
      <c r="D3371" s="3"/>
      <c r="E3371" s="3"/>
      <c r="F3371" s="2"/>
      <c r="G3371" s="13">
        <f>IF($B3371="IN",$D3371,0)</f>
      </c>
      <c r="H3371" s="13">
        <f>IF($B3371="OUT",$D3371,0)</f>
      </c>
    </row>
    <row x14ac:dyDescent="0.25" r="3372" customHeight="1" ht="17.25">
      <c r="A3372" s="52"/>
      <c r="B3372" s="2"/>
      <c r="C3372" s="2"/>
      <c r="D3372" s="3"/>
      <c r="E3372" s="3"/>
      <c r="F3372" s="2"/>
      <c r="G3372" s="13">
        <f>IF($B3372="IN",$D3372,0)</f>
      </c>
      <c r="H3372" s="13">
        <f>IF($B3372="OUT",$D3372,0)</f>
      </c>
    </row>
    <row x14ac:dyDescent="0.25" r="3373" customHeight="1" ht="17.25">
      <c r="A3373" s="52"/>
      <c r="B3373" s="2"/>
      <c r="C3373" s="2"/>
      <c r="D3373" s="3"/>
      <c r="E3373" s="3"/>
      <c r="F3373" s="2"/>
      <c r="G3373" s="13">
        <f>IF($B3373="IN",$D3373,0)</f>
      </c>
      <c r="H3373" s="13">
        <f>IF($B3373="OUT",$D3373,0)</f>
      </c>
    </row>
    <row x14ac:dyDescent="0.25" r="3374" customHeight="1" ht="17.25">
      <c r="A3374" s="52"/>
      <c r="B3374" s="2"/>
      <c r="C3374" s="2"/>
      <c r="D3374" s="3"/>
      <c r="E3374" s="3"/>
      <c r="F3374" s="2"/>
      <c r="G3374" s="13">
        <f>IF($B3374="IN",$D3374,0)</f>
      </c>
      <c r="H3374" s="13">
        <f>IF($B3374="OUT",$D3374,0)</f>
      </c>
    </row>
    <row x14ac:dyDescent="0.25" r="3375" customHeight="1" ht="17.25">
      <c r="A3375" s="52"/>
      <c r="B3375" s="2"/>
      <c r="C3375" s="2"/>
      <c r="D3375" s="3"/>
      <c r="E3375" s="3"/>
      <c r="F3375" s="2"/>
      <c r="G3375" s="13">
        <f>IF($B3375="IN",$D3375,0)</f>
      </c>
      <c r="H3375" s="13">
        <f>IF($B3375="OUT",$D3375,0)</f>
      </c>
    </row>
    <row x14ac:dyDescent="0.25" r="3376" customHeight="1" ht="17.25">
      <c r="A3376" s="52"/>
      <c r="B3376" s="2"/>
      <c r="C3376" s="2"/>
      <c r="D3376" s="3"/>
      <c r="E3376" s="3"/>
      <c r="F3376" s="2"/>
      <c r="G3376" s="13">
        <f>IF($B3376="IN",$D3376,0)</f>
      </c>
      <c r="H3376" s="13">
        <f>IF($B3376="OUT",$D3376,0)</f>
      </c>
    </row>
    <row x14ac:dyDescent="0.25" r="3377" customHeight="1" ht="17.25">
      <c r="A3377" s="52"/>
      <c r="B3377" s="2"/>
      <c r="C3377" s="2"/>
      <c r="D3377" s="3"/>
      <c r="E3377" s="3"/>
      <c r="F3377" s="2"/>
      <c r="G3377" s="13">
        <f>IF($B3377="IN",$D3377,0)</f>
      </c>
      <c r="H3377" s="13">
        <f>IF($B3377="OUT",$D3377,0)</f>
      </c>
    </row>
    <row x14ac:dyDescent="0.25" r="3378" customHeight="1" ht="17.25">
      <c r="A3378" s="52"/>
      <c r="B3378" s="2"/>
      <c r="C3378" s="2"/>
      <c r="D3378" s="3"/>
      <c r="E3378" s="3"/>
      <c r="F3378" s="2"/>
      <c r="G3378" s="13">
        <f>IF($B3378="IN",$D3378,0)</f>
      </c>
      <c r="H3378" s="13">
        <f>IF($B3378="OUT",$D3378,0)</f>
      </c>
    </row>
    <row x14ac:dyDescent="0.25" r="3379" customHeight="1" ht="17.25">
      <c r="A3379" s="52"/>
      <c r="B3379" s="2"/>
      <c r="C3379" s="2"/>
      <c r="D3379" s="3"/>
      <c r="E3379" s="3"/>
      <c r="F3379" s="2"/>
      <c r="G3379" s="13">
        <f>IF($B3379="IN",$D3379,0)</f>
      </c>
      <c r="H3379" s="13">
        <f>IF($B3379="OUT",$D3379,0)</f>
      </c>
    </row>
    <row x14ac:dyDescent="0.25" r="3380" customHeight="1" ht="17.25">
      <c r="A3380" s="52"/>
      <c r="B3380" s="2"/>
      <c r="C3380" s="2"/>
      <c r="D3380" s="3"/>
      <c r="E3380" s="3"/>
      <c r="F3380" s="2"/>
      <c r="G3380" s="13">
        <f>IF($B3380="IN",$D3380,0)</f>
      </c>
      <c r="H3380" s="13">
        <f>IF($B3380="OUT",$D3380,0)</f>
      </c>
    </row>
    <row x14ac:dyDescent="0.25" r="3381" customHeight="1" ht="17.25">
      <c r="A3381" s="52"/>
      <c r="B3381" s="2"/>
      <c r="C3381" s="2"/>
      <c r="D3381" s="3"/>
      <c r="E3381" s="3"/>
      <c r="F3381" s="2"/>
      <c r="G3381" s="13">
        <f>IF($B3381="IN",$D3381,0)</f>
      </c>
      <c r="H3381" s="13">
        <f>IF($B3381="OUT",$D3381,0)</f>
      </c>
    </row>
    <row x14ac:dyDescent="0.25" r="3382" customHeight="1" ht="17.25">
      <c r="A3382" s="52"/>
      <c r="B3382" s="2"/>
      <c r="C3382" s="2"/>
      <c r="D3382" s="3"/>
      <c r="E3382" s="3"/>
      <c r="F3382" s="2"/>
      <c r="G3382" s="13">
        <f>IF($B3382="IN",$D3382,0)</f>
      </c>
      <c r="H3382" s="13">
        <f>IF($B3382="OUT",$D3382,0)</f>
      </c>
    </row>
    <row x14ac:dyDescent="0.25" r="3383" customHeight="1" ht="17.25">
      <c r="A3383" s="52"/>
      <c r="B3383" s="2"/>
      <c r="C3383" s="2"/>
      <c r="D3383" s="3"/>
      <c r="E3383" s="3"/>
      <c r="F3383" s="2"/>
      <c r="G3383" s="13">
        <f>IF($B3383="IN",$D3383,0)</f>
      </c>
      <c r="H3383" s="13">
        <f>IF($B3383="OUT",$D3383,0)</f>
      </c>
    </row>
    <row x14ac:dyDescent="0.25" r="3384" customHeight="1" ht="17.25">
      <c r="A3384" s="52"/>
      <c r="B3384" s="2"/>
      <c r="C3384" s="2"/>
      <c r="D3384" s="3"/>
      <c r="E3384" s="3"/>
      <c r="F3384" s="2"/>
      <c r="G3384" s="13">
        <f>IF($B3384="IN",$D3384,0)</f>
      </c>
      <c r="H3384" s="13">
        <f>IF($B3384="OUT",$D3384,0)</f>
      </c>
    </row>
    <row x14ac:dyDescent="0.25" r="3385" customHeight="1" ht="17.25">
      <c r="A3385" s="52"/>
      <c r="B3385" s="2"/>
      <c r="C3385" s="2"/>
      <c r="D3385" s="3"/>
      <c r="E3385" s="3"/>
      <c r="F3385" s="2"/>
      <c r="G3385" s="13">
        <f>IF($B3385="IN",$D3385,0)</f>
      </c>
      <c r="H3385" s="13">
        <f>IF($B3385="OUT",$D3385,0)</f>
      </c>
    </row>
    <row x14ac:dyDescent="0.25" r="3386" customHeight="1" ht="17.25">
      <c r="A3386" s="52"/>
      <c r="B3386" s="2"/>
      <c r="C3386" s="2"/>
      <c r="D3386" s="3"/>
      <c r="E3386" s="3"/>
      <c r="F3386" s="2"/>
      <c r="G3386" s="13">
        <f>IF($B3386="IN",$D3386,0)</f>
      </c>
      <c r="H3386" s="13">
        <f>IF($B3386="OUT",$D3386,0)</f>
      </c>
    </row>
    <row x14ac:dyDescent="0.25" r="3387" customHeight="1" ht="17.25">
      <c r="A3387" s="52"/>
      <c r="B3387" s="2"/>
      <c r="C3387" s="2"/>
      <c r="D3387" s="3"/>
      <c r="E3387" s="3"/>
      <c r="F3387" s="2"/>
      <c r="G3387" s="13">
        <f>IF($B3387="IN",$D3387,0)</f>
      </c>
      <c r="H3387" s="13">
        <f>IF($B3387="OUT",$D3387,0)</f>
      </c>
    </row>
    <row x14ac:dyDescent="0.25" r="3388" customHeight="1" ht="17.25">
      <c r="A3388" s="52"/>
      <c r="B3388" s="2"/>
      <c r="C3388" s="2"/>
      <c r="D3388" s="3"/>
      <c r="E3388" s="3"/>
      <c r="F3388" s="2"/>
      <c r="G3388" s="13">
        <f>IF($B3388="IN",$D3388,0)</f>
      </c>
      <c r="H3388" s="13">
        <f>IF($B3388="OUT",$D3388,0)</f>
      </c>
    </row>
    <row x14ac:dyDescent="0.25" r="3389" customHeight="1" ht="17.25">
      <c r="A3389" s="52"/>
      <c r="B3389" s="2"/>
      <c r="C3389" s="2"/>
      <c r="D3389" s="3"/>
      <c r="E3389" s="3"/>
      <c r="F3389" s="2"/>
      <c r="G3389" s="13">
        <f>IF($B3389="IN",$D3389,0)</f>
      </c>
      <c r="H3389" s="13">
        <f>IF($B3389="OUT",$D3389,0)</f>
      </c>
    </row>
    <row x14ac:dyDescent="0.25" r="3390" customHeight="1" ht="17.25">
      <c r="A3390" s="52"/>
      <c r="B3390" s="2"/>
      <c r="C3390" s="2"/>
      <c r="D3390" s="3"/>
      <c r="E3390" s="3"/>
      <c r="F3390" s="2"/>
      <c r="G3390" s="13">
        <f>IF($B3390="IN",$D3390,0)</f>
      </c>
      <c r="H3390" s="13">
        <f>IF($B3390="OUT",$D3390,0)</f>
      </c>
    </row>
    <row x14ac:dyDescent="0.25" r="3391" customHeight="1" ht="17.25">
      <c r="A3391" s="52"/>
      <c r="B3391" s="2"/>
      <c r="C3391" s="2"/>
      <c r="D3391" s="3"/>
      <c r="E3391" s="3"/>
      <c r="F3391" s="2"/>
      <c r="G3391" s="13">
        <f>IF($B3391="IN",$D3391,0)</f>
      </c>
      <c r="H3391" s="13">
        <f>IF($B3391="OUT",$D3391,0)</f>
      </c>
    </row>
    <row x14ac:dyDescent="0.25" r="3392" customHeight="1" ht="17.25">
      <c r="A3392" s="52"/>
      <c r="B3392" s="2"/>
      <c r="C3392" s="2"/>
      <c r="D3392" s="3"/>
      <c r="E3392" s="3"/>
      <c r="F3392" s="2"/>
      <c r="G3392" s="13">
        <f>IF($B3392="IN",$D3392,0)</f>
      </c>
      <c r="H3392" s="13">
        <f>IF($B3392="OUT",$D3392,0)</f>
      </c>
    </row>
    <row x14ac:dyDescent="0.25" r="3393" customHeight="1" ht="17.25">
      <c r="A3393" s="52"/>
      <c r="B3393" s="2"/>
      <c r="C3393" s="2"/>
      <c r="D3393" s="3"/>
      <c r="E3393" s="3"/>
      <c r="F3393" s="2"/>
      <c r="G3393" s="13">
        <f>IF($B3393="IN",$D3393,0)</f>
      </c>
      <c r="H3393" s="13">
        <f>IF($B3393="OUT",$D3393,0)</f>
      </c>
    </row>
    <row x14ac:dyDescent="0.25" r="3394" customHeight="1" ht="17.25">
      <c r="A3394" s="52"/>
      <c r="B3394" s="2"/>
      <c r="C3394" s="2"/>
      <c r="D3394" s="3"/>
      <c r="E3394" s="3"/>
      <c r="F3394" s="2"/>
      <c r="G3394" s="13">
        <f>IF($B3394="IN",$D3394,0)</f>
      </c>
      <c r="H3394" s="13">
        <f>IF($B3394="OUT",$D3394,0)</f>
      </c>
    </row>
    <row x14ac:dyDescent="0.25" r="3395" customHeight="1" ht="17.25">
      <c r="A3395" s="52"/>
      <c r="B3395" s="2"/>
      <c r="C3395" s="2"/>
      <c r="D3395" s="3"/>
      <c r="E3395" s="3"/>
      <c r="F3395" s="2"/>
      <c r="G3395" s="13">
        <f>IF($B3395="IN",$D3395,0)</f>
      </c>
      <c r="H3395" s="13">
        <f>IF($B3395="OUT",$D3395,0)</f>
      </c>
    </row>
    <row x14ac:dyDescent="0.25" r="3396" customHeight="1" ht="17.25">
      <c r="A3396" s="52"/>
      <c r="B3396" s="2"/>
      <c r="C3396" s="2"/>
      <c r="D3396" s="3"/>
      <c r="E3396" s="3"/>
      <c r="F3396" s="2"/>
      <c r="G3396" s="13">
        <f>IF($B3396="IN",$D3396,0)</f>
      </c>
      <c r="H3396" s="13">
        <f>IF($B3396="OUT",$D3396,0)</f>
      </c>
    </row>
    <row x14ac:dyDescent="0.25" r="3397" customHeight="1" ht="17.25">
      <c r="A3397" s="52"/>
      <c r="B3397" s="2"/>
      <c r="C3397" s="2"/>
      <c r="D3397" s="3"/>
      <c r="E3397" s="3"/>
      <c r="F3397" s="2"/>
      <c r="G3397" s="13">
        <f>IF($B3397="IN",$D3397,0)</f>
      </c>
      <c r="H3397" s="13">
        <f>IF($B3397="OUT",$D3397,0)</f>
      </c>
    </row>
    <row x14ac:dyDescent="0.25" r="3398" customHeight="1" ht="17.25">
      <c r="A3398" s="52"/>
      <c r="B3398" s="2"/>
      <c r="C3398" s="2"/>
      <c r="D3398" s="3"/>
      <c r="E3398" s="3"/>
      <c r="F3398" s="2"/>
      <c r="G3398" s="13">
        <f>IF($B3398="IN",$D3398,0)</f>
      </c>
      <c r="H3398" s="13">
        <f>IF($B3398="OUT",$D3398,0)</f>
      </c>
    </row>
    <row x14ac:dyDescent="0.25" r="3399" customHeight="1" ht="17.25">
      <c r="A3399" s="52"/>
      <c r="B3399" s="2"/>
      <c r="C3399" s="2"/>
      <c r="D3399" s="3"/>
      <c r="E3399" s="3"/>
      <c r="F3399" s="2"/>
      <c r="G3399" s="13">
        <f>IF($B3399="IN",$D3399,0)</f>
      </c>
      <c r="H3399" s="13">
        <f>IF($B3399="OUT",$D3399,0)</f>
      </c>
    </row>
    <row x14ac:dyDescent="0.25" r="3400" customHeight="1" ht="17.25">
      <c r="A3400" s="52"/>
      <c r="B3400" s="2"/>
      <c r="C3400" s="2"/>
      <c r="D3400" s="3"/>
      <c r="E3400" s="3"/>
      <c r="F3400" s="2"/>
      <c r="G3400" s="13">
        <f>IF($B3400="IN",$D3400,0)</f>
      </c>
      <c r="H3400" s="13">
        <f>IF($B3400="OUT",$D3400,0)</f>
      </c>
    </row>
    <row x14ac:dyDescent="0.25" r="3401" customHeight="1" ht="17.25">
      <c r="A3401" s="52"/>
      <c r="B3401" s="2"/>
      <c r="C3401" s="2"/>
      <c r="D3401" s="3"/>
      <c r="E3401" s="3"/>
      <c r="F3401" s="2"/>
      <c r="G3401" s="13">
        <f>IF($B3401="IN",$D3401,0)</f>
      </c>
      <c r="H3401" s="13">
        <f>IF($B3401="OUT",$D3401,0)</f>
      </c>
    </row>
    <row x14ac:dyDescent="0.25" r="3402" customHeight="1" ht="17.25">
      <c r="A3402" s="52"/>
      <c r="B3402" s="2"/>
      <c r="C3402" s="2"/>
      <c r="D3402" s="3"/>
      <c r="E3402" s="3"/>
      <c r="F3402" s="2"/>
      <c r="G3402" s="13">
        <f>IF($B3402="IN",$D3402,0)</f>
      </c>
      <c r="H3402" s="13">
        <f>IF($B3402="OUT",$D3402,0)</f>
      </c>
    </row>
    <row x14ac:dyDescent="0.25" r="3403" customHeight="1" ht="17.25">
      <c r="A3403" s="52"/>
      <c r="B3403" s="2"/>
      <c r="C3403" s="2"/>
      <c r="D3403" s="3"/>
      <c r="E3403" s="3"/>
      <c r="F3403" s="2"/>
      <c r="G3403" s="13">
        <f>IF($B3403="IN",$D3403,0)</f>
      </c>
      <c r="H3403" s="13">
        <f>IF($B3403="OUT",$D3403,0)</f>
      </c>
    </row>
    <row x14ac:dyDescent="0.25" r="3404" customHeight="1" ht="17.25">
      <c r="A3404" s="52"/>
      <c r="B3404" s="2"/>
      <c r="C3404" s="2"/>
      <c r="D3404" s="3"/>
      <c r="E3404" s="3"/>
      <c r="F3404" s="2"/>
      <c r="G3404" s="13">
        <f>IF($B3404="IN",$D3404,0)</f>
      </c>
      <c r="H3404" s="13">
        <f>IF($B3404="OUT",$D3404,0)</f>
      </c>
    </row>
    <row x14ac:dyDescent="0.25" r="3405" customHeight="1" ht="17.25">
      <c r="A3405" s="52"/>
      <c r="B3405" s="2"/>
      <c r="C3405" s="2"/>
      <c r="D3405" s="3"/>
      <c r="E3405" s="3"/>
      <c r="F3405" s="2"/>
      <c r="G3405" s="13">
        <f>IF($B3405="IN",$D3405,0)</f>
      </c>
      <c r="H3405" s="13">
        <f>IF($B3405="OUT",$D3405,0)</f>
      </c>
    </row>
    <row x14ac:dyDescent="0.25" r="3406" customHeight="1" ht="17.25">
      <c r="A3406" s="52"/>
      <c r="B3406" s="2"/>
      <c r="C3406" s="2"/>
      <c r="D3406" s="3"/>
      <c r="E3406" s="3"/>
      <c r="F3406" s="2"/>
      <c r="G3406" s="13">
        <f>IF($B3406="IN",$D3406,0)</f>
      </c>
      <c r="H3406" s="13">
        <f>IF($B3406="OUT",$D3406,0)</f>
      </c>
    </row>
    <row x14ac:dyDescent="0.25" r="3407" customHeight="1" ht="17.25">
      <c r="A3407" s="52"/>
      <c r="B3407" s="2"/>
      <c r="C3407" s="2"/>
      <c r="D3407" s="3"/>
      <c r="E3407" s="3"/>
      <c r="F3407" s="2"/>
      <c r="G3407" s="13">
        <f>IF($B3407="IN",$D3407,0)</f>
      </c>
      <c r="H3407" s="13">
        <f>IF($B3407="OUT",$D3407,0)</f>
      </c>
    </row>
    <row x14ac:dyDescent="0.25" r="3408" customHeight="1" ht="17.25">
      <c r="A3408" s="52"/>
      <c r="B3408" s="2"/>
      <c r="C3408" s="2"/>
      <c r="D3408" s="3"/>
      <c r="E3408" s="3"/>
      <c r="F3408" s="2"/>
      <c r="G3408" s="13">
        <f>IF($B3408="IN",$D3408,0)</f>
      </c>
      <c r="H3408" s="13">
        <f>IF($B3408="OUT",$D3408,0)</f>
      </c>
    </row>
    <row x14ac:dyDescent="0.25" r="3409" customHeight="1" ht="17.25">
      <c r="A3409" s="52"/>
      <c r="B3409" s="2"/>
      <c r="C3409" s="2"/>
      <c r="D3409" s="3"/>
      <c r="E3409" s="3"/>
      <c r="F3409" s="2"/>
      <c r="G3409" s="13">
        <f>IF($B3409="IN",$D3409,0)</f>
      </c>
      <c r="H3409" s="13">
        <f>IF($B3409="OUT",$D3409,0)</f>
      </c>
    </row>
    <row x14ac:dyDescent="0.25" r="3410" customHeight="1" ht="17.25">
      <c r="A3410" s="52"/>
      <c r="B3410" s="2"/>
      <c r="C3410" s="2"/>
      <c r="D3410" s="3"/>
      <c r="E3410" s="3"/>
      <c r="F3410" s="2"/>
      <c r="G3410" s="13">
        <f>IF($B3410="IN",$D3410,0)</f>
      </c>
      <c r="H3410" s="13">
        <f>IF($B3410="OUT",$D3410,0)</f>
      </c>
    </row>
    <row x14ac:dyDescent="0.25" r="3411" customHeight="1" ht="17.25">
      <c r="A3411" s="52"/>
      <c r="B3411" s="2"/>
      <c r="C3411" s="2"/>
      <c r="D3411" s="3"/>
      <c r="E3411" s="3"/>
      <c r="F3411" s="2"/>
      <c r="G3411" s="13">
        <f>IF($B3411="IN",$D3411,0)</f>
      </c>
      <c r="H3411" s="13">
        <f>IF($B3411="OUT",$D3411,0)</f>
      </c>
    </row>
    <row x14ac:dyDescent="0.25" r="3412" customHeight="1" ht="17.25">
      <c r="A3412" s="52"/>
      <c r="B3412" s="2"/>
      <c r="C3412" s="2"/>
      <c r="D3412" s="3"/>
      <c r="E3412" s="3"/>
      <c r="F3412" s="2"/>
      <c r="G3412" s="13">
        <f>IF($B3412="IN",$D3412,0)</f>
      </c>
      <c r="H3412" s="13">
        <f>IF($B3412="OUT",$D3412,0)</f>
      </c>
    </row>
    <row x14ac:dyDescent="0.25" r="3413" customHeight="1" ht="17.25">
      <c r="A3413" s="52"/>
      <c r="B3413" s="2"/>
      <c r="C3413" s="2"/>
      <c r="D3413" s="3"/>
      <c r="E3413" s="3"/>
      <c r="F3413" s="2"/>
      <c r="G3413" s="13">
        <f>IF($B3413="IN",$D3413,0)</f>
      </c>
      <c r="H3413" s="13">
        <f>IF($B3413="OUT",$D3413,0)</f>
      </c>
    </row>
    <row x14ac:dyDescent="0.25" r="3414" customHeight="1" ht="17.25">
      <c r="A3414" s="52"/>
      <c r="B3414" s="2"/>
      <c r="C3414" s="2"/>
      <c r="D3414" s="3"/>
      <c r="E3414" s="3"/>
      <c r="F3414" s="2"/>
      <c r="G3414" s="13">
        <f>IF($B3414="IN",$D3414,0)</f>
      </c>
      <c r="H3414" s="13">
        <f>IF($B3414="OUT",$D3414,0)</f>
      </c>
    </row>
    <row x14ac:dyDescent="0.25" r="3415" customHeight="1" ht="17.25">
      <c r="A3415" s="52"/>
      <c r="B3415" s="2"/>
      <c r="C3415" s="2"/>
      <c r="D3415" s="3"/>
      <c r="E3415" s="3"/>
      <c r="F3415" s="2"/>
      <c r="G3415" s="13">
        <f>IF($B3415="IN",$D3415,0)</f>
      </c>
      <c r="H3415" s="13">
        <f>IF($B3415="OUT",$D3415,0)</f>
      </c>
    </row>
    <row x14ac:dyDescent="0.25" r="3416" customHeight="1" ht="17.25">
      <c r="A3416" s="52"/>
      <c r="B3416" s="2"/>
      <c r="C3416" s="2"/>
      <c r="D3416" s="3"/>
      <c r="E3416" s="3"/>
      <c r="F3416" s="2"/>
      <c r="G3416" s="13">
        <f>IF($B3416="IN",$D3416,0)</f>
      </c>
      <c r="H3416" s="13">
        <f>IF($B3416="OUT",$D3416,0)</f>
      </c>
    </row>
    <row x14ac:dyDescent="0.25" r="3417" customHeight="1" ht="17.25">
      <c r="A3417" s="52"/>
      <c r="B3417" s="2"/>
      <c r="C3417" s="2"/>
      <c r="D3417" s="3"/>
      <c r="E3417" s="3"/>
      <c r="F3417" s="2"/>
      <c r="G3417" s="13">
        <f>IF($B3417="IN",$D3417,0)</f>
      </c>
      <c r="H3417" s="13">
        <f>IF($B3417="OUT",$D3417,0)</f>
      </c>
    </row>
    <row x14ac:dyDescent="0.25" r="3418" customHeight="1" ht="17.25">
      <c r="A3418" s="52"/>
      <c r="B3418" s="2"/>
      <c r="C3418" s="2"/>
      <c r="D3418" s="3"/>
      <c r="E3418" s="3"/>
      <c r="F3418" s="2"/>
      <c r="G3418" s="13">
        <f>IF($B3418="IN",$D3418,0)</f>
      </c>
      <c r="H3418" s="13">
        <f>IF($B3418="OUT",$D3418,0)</f>
      </c>
    </row>
    <row x14ac:dyDescent="0.25" r="3419" customHeight="1" ht="17.25">
      <c r="A3419" s="52"/>
      <c r="B3419" s="2"/>
      <c r="C3419" s="2"/>
      <c r="D3419" s="3"/>
      <c r="E3419" s="3"/>
      <c r="F3419" s="2"/>
      <c r="G3419" s="13">
        <f>IF($B3419="IN",$D3419,0)</f>
      </c>
      <c r="H3419" s="13">
        <f>IF($B3419="OUT",$D3419,0)</f>
      </c>
    </row>
    <row x14ac:dyDescent="0.25" r="3420" customHeight="1" ht="17.25">
      <c r="A3420" s="52"/>
      <c r="B3420" s="2"/>
      <c r="C3420" s="2"/>
      <c r="D3420" s="3"/>
      <c r="E3420" s="3"/>
      <c r="F3420" s="2"/>
      <c r="G3420" s="13">
        <f>IF($B3420="IN",$D3420,0)</f>
      </c>
      <c r="H3420" s="13">
        <f>IF($B3420="OUT",$D3420,0)</f>
      </c>
    </row>
    <row x14ac:dyDescent="0.25" r="3421" customHeight="1" ht="17.25">
      <c r="A3421" s="52"/>
      <c r="B3421" s="2"/>
      <c r="C3421" s="2"/>
      <c r="D3421" s="3"/>
      <c r="E3421" s="3"/>
      <c r="F3421" s="2"/>
      <c r="G3421" s="13">
        <f>IF($B3421="IN",$D3421,0)</f>
      </c>
      <c r="H3421" s="13">
        <f>IF($B3421="OUT",$D3421,0)</f>
      </c>
    </row>
    <row x14ac:dyDescent="0.25" r="3422" customHeight="1" ht="17.25">
      <c r="A3422" s="52"/>
      <c r="B3422" s="2"/>
      <c r="C3422" s="2"/>
      <c r="D3422" s="3"/>
      <c r="E3422" s="3"/>
      <c r="F3422" s="2"/>
      <c r="G3422" s="13">
        <f>IF($B3422="IN",$D3422,0)</f>
      </c>
      <c r="H3422" s="13">
        <f>IF($B3422="OUT",$D3422,0)</f>
      </c>
    </row>
    <row x14ac:dyDescent="0.25" r="3423" customHeight="1" ht="17.25">
      <c r="A3423" s="52"/>
      <c r="B3423" s="2"/>
      <c r="C3423" s="2"/>
      <c r="D3423" s="3"/>
      <c r="E3423" s="3"/>
      <c r="F3423" s="2"/>
      <c r="G3423" s="13">
        <f>IF($B3423="IN",$D3423,0)</f>
      </c>
      <c r="H3423" s="13">
        <f>IF($B3423="OUT",$D3423,0)</f>
      </c>
    </row>
    <row x14ac:dyDescent="0.25" r="3424" customHeight="1" ht="17.25">
      <c r="A3424" s="52"/>
      <c r="B3424" s="2"/>
      <c r="C3424" s="2"/>
      <c r="D3424" s="3"/>
      <c r="E3424" s="3"/>
      <c r="F3424" s="2"/>
      <c r="G3424" s="13">
        <f>IF($B3424="IN",$D3424,0)</f>
      </c>
      <c r="H3424" s="13">
        <f>IF($B3424="OUT",$D3424,0)</f>
      </c>
    </row>
    <row x14ac:dyDescent="0.25" r="3425" customHeight="1" ht="17.25">
      <c r="A3425" s="52"/>
      <c r="B3425" s="2"/>
      <c r="C3425" s="2"/>
      <c r="D3425" s="3"/>
      <c r="E3425" s="3"/>
      <c r="F3425" s="2"/>
      <c r="G3425" s="13">
        <f>IF($B3425="IN",$D3425,0)</f>
      </c>
      <c r="H3425" s="13">
        <f>IF($B3425="OUT",$D3425,0)</f>
      </c>
    </row>
    <row x14ac:dyDescent="0.25" r="3426" customHeight="1" ht="17.25">
      <c r="A3426" s="52"/>
      <c r="B3426" s="2"/>
      <c r="C3426" s="2"/>
      <c r="D3426" s="3"/>
      <c r="E3426" s="3"/>
      <c r="F3426" s="2"/>
      <c r="G3426" s="13">
        <f>IF($B3426="IN",$D3426,0)</f>
      </c>
      <c r="H3426" s="13">
        <f>IF($B3426="OUT",$D3426,0)</f>
      </c>
    </row>
    <row x14ac:dyDescent="0.25" r="3427" customHeight="1" ht="17.25">
      <c r="A3427" s="52"/>
      <c r="B3427" s="2"/>
      <c r="C3427" s="2"/>
      <c r="D3427" s="3"/>
      <c r="E3427" s="3"/>
      <c r="F3427" s="2"/>
      <c r="G3427" s="13">
        <f>IF($B3427="IN",$D3427,0)</f>
      </c>
      <c r="H3427" s="13">
        <f>IF($B3427="OUT",$D3427,0)</f>
      </c>
    </row>
    <row x14ac:dyDescent="0.25" r="3428" customHeight="1" ht="17.25">
      <c r="A3428" s="52"/>
      <c r="B3428" s="2"/>
      <c r="C3428" s="2"/>
      <c r="D3428" s="3"/>
      <c r="E3428" s="3"/>
      <c r="F3428" s="2"/>
      <c r="G3428" s="13">
        <f>IF($B3428="IN",$D3428,0)</f>
      </c>
      <c r="H3428" s="13">
        <f>IF($B3428="OUT",$D3428,0)</f>
      </c>
    </row>
    <row x14ac:dyDescent="0.25" r="3429" customHeight="1" ht="17.25">
      <c r="A3429" s="52"/>
      <c r="B3429" s="2"/>
      <c r="C3429" s="2"/>
      <c r="D3429" s="3"/>
      <c r="E3429" s="3"/>
      <c r="F3429" s="2"/>
      <c r="G3429" s="13">
        <f>IF($B3429="IN",$D3429,0)</f>
      </c>
      <c r="H3429" s="13">
        <f>IF($B3429="OUT",$D3429,0)</f>
      </c>
    </row>
    <row x14ac:dyDescent="0.25" r="3430" customHeight="1" ht="17.25">
      <c r="A3430" s="52"/>
      <c r="B3430" s="2"/>
      <c r="C3430" s="2"/>
      <c r="D3430" s="3"/>
      <c r="E3430" s="3"/>
      <c r="F3430" s="2"/>
      <c r="G3430" s="13">
        <f>IF($B3430="IN",$D3430,0)</f>
      </c>
      <c r="H3430" s="13">
        <f>IF($B3430="OUT",$D3430,0)</f>
      </c>
    </row>
    <row x14ac:dyDescent="0.25" r="3431" customHeight="1" ht="17.25">
      <c r="A3431" s="52"/>
      <c r="B3431" s="2"/>
      <c r="C3431" s="2"/>
      <c r="D3431" s="3"/>
      <c r="E3431" s="3"/>
      <c r="F3431" s="2"/>
      <c r="G3431" s="13">
        <f>IF($B3431="IN",$D3431,0)</f>
      </c>
      <c r="H3431" s="13">
        <f>IF($B3431="OUT",$D3431,0)</f>
      </c>
    </row>
    <row x14ac:dyDescent="0.25" r="3432" customHeight="1" ht="17.25">
      <c r="A3432" s="52"/>
      <c r="B3432" s="2"/>
      <c r="C3432" s="2"/>
      <c r="D3432" s="3"/>
      <c r="E3432" s="3"/>
      <c r="F3432" s="2"/>
      <c r="G3432" s="13">
        <f>IF($B3432="IN",$D3432,0)</f>
      </c>
      <c r="H3432" s="13">
        <f>IF($B3432="OUT",$D3432,0)</f>
      </c>
    </row>
    <row x14ac:dyDescent="0.25" r="3433" customHeight="1" ht="17.25">
      <c r="A3433" s="52"/>
      <c r="B3433" s="2"/>
      <c r="C3433" s="2"/>
      <c r="D3433" s="3"/>
      <c r="E3433" s="3"/>
      <c r="F3433" s="2"/>
      <c r="G3433" s="13">
        <f>IF($B3433="IN",$D3433,0)</f>
      </c>
      <c r="H3433" s="13">
        <f>IF($B3433="OUT",$D3433,0)</f>
      </c>
    </row>
    <row x14ac:dyDescent="0.25" r="3434" customHeight="1" ht="17.25">
      <c r="A3434" s="52"/>
      <c r="B3434" s="2"/>
      <c r="C3434" s="2"/>
      <c r="D3434" s="3"/>
      <c r="E3434" s="3"/>
      <c r="F3434" s="2"/>
      <c r="G3434" s="13">
        <f>IF($B3434="IN",$D3434,0)</f>
      </c>
      <c r="H3434" s="13">
        <f>IF($B3434="OUT",$D3434,0)</f>
      </c>
    </row>
    <row x14ac:dyDescent="0.25" r="3435" customHeight="1" ht="17.25">
      <c r="A3435" s="52"/>
      <c r="B3435" s="2"/>
      <c r="C3435" s="2"/>
      <c r="D3435" s="3"/>
      <c r="E3435" s="3"/>
      <c r="F3435" s="2"/>
      <c r="G3435" s="13">
        <f>IF($B3435="IN",$D3435,0)</f>
      </c>
      <c r="H3435" s="13">
        <f>IF($B3435="OUT",$D3435,0)</f>
      </c>
    </row>
    <row x14ac:dyDescent="0.25" r="3436" customHeight="1" ht="17.25">
      <c r="A3436" s="52"/>
      <c r="B3436" s="2"/>
      <c r="C3436" s="2"/>
      <c r="D3436" s="3"/>
      <c r="E3436" s="3"/>
      <c r="F3436" s="2"/>
      <c r="G3436" s="13">
        <f>IF($B3436="IN",$D3436,0)</f>
      </c>
      <c r="H3436" s="13">
        <f>IF($B3436="OUT",$D3436,0)</f>
      </c>
    </row>
    <row x14ac:dyDescent="0.25" r="3437" customHeight="1" ht="17.25">
      <c r="A3437" s="52"/>
      <c r="B3437" s="2"/>
      <c r="C3437" s="2"/>
      <c r="D3437" s="3"/>
      <c r="E3437" s="3"/>
      <c r="F3437" s="2"/>
      <c r="G3437" s="13">
        <f>IF($B3437="IN",$D3437,0)</f>
      </c>
      <c r="H3437" s="13">
        <f>IF($B3437="OUT",$D3437,0)</f>
      </c>
    </row>
    <row x14ac:dyDescent="0.25" r="3438" customHeight="1" ht="17.25">
      <c r="A3438" s="52"/>
      <c r="B3438" s="2"/>
      <c r="C3438" s="2"/>
      <c r="D3438" s="3"/>
      <c r="E3438" s="3"/>
      <c r="F3438" s="2"/>
      <c r="G3438" s="13">
        <f>IF($B3438="IN",$D3438,0)</f>
      </c>
      <c r="H3438" s="13">
        <f>IF($B3438="OUT",$D3438,0)</f>
      </c>
    </row>
    <row x14ac:dyDescent="0.25" r="3439" customHeight="1" ht="17.25">
      <c r="A3439" s="52"/>
      <c r="B3439" s="2"/>
      <c r="C3439" s="2"/>
      <c r="D3439" s="3"/>
      <c r="E3439" s="3"/>
      <c r="F3439" s="2"/>
      <c r="G3439" s="13">
        <f>IF($B3439="IN",$D3439,0)</f>
      </c>
      <c r="H3439" s="13">
        <f>IF($B3439="OUT",$D3439,0)</f>
      </c>
    </row>
    <row x14ac:dyDescent="0.25" r="3440" customHeight="1" ht="17.25">
      <c r="A3440" s="52"/>
      <c r="B3440" s="2"/>
      <c r="C3440" s="2"/>
      <c r="D3440" s="3"/>
      <c r="E3440" s="3"/>
      <c r="F3440" s="2"/>
      <c r="G3440" s="13">
        <f>IF($B3440="IN",$D3440,0)</f>
      </c>
      <c r="H3440" s="13">
        <f>IF($B3440="OUT",$D3440,0)</f>
      </c>
    </row>
    <row x14ac:dyDescent="0.25" r="3441" customHeight="1" ht="17.25">
      <c r="A3441" s="52"/>
      <c r="B3441" s="2"/>
      <c r="C3441" s="2"/>
      <c r="D3441" s="3"/>
      <c r="E3441" s="3"/>
      <c r="F3441" s="2"/>
      <c r="G3441" s="13">
        <f>IF($B3441="IN",$D3441,0)</f>
      </c>
      <c r="H3441" s="13">
        <f>IF($B3441="OUT",$D3441,0)</f>
      </c>
    </row>
    <row x14ac:dyDescent="0.25" r="3442" customHeight="1" ht="17.25">
      <c r="A3442" s="52"/>
      <c r="B3442" s="2"/>
      <c r="C3442" s="2"/>
      <c r="D3442" s="3"/>
      <c r="E3442" s="3"/>
      <c r="F3442" s="2"/>
      <c r="G3442" s="13">
        <f>IF($B3442="IN",$D3442,0)</f>
      </c>
      <c r="H3442" s="13">
        <f>IF($B3442="OUT",$D3442,0)</f>
      </c>
    </row>
    <row x14ac:dyDescent="0.25" r="3443" customHeight="1" ht="17.25">
      <c r="A3443" s="52"/>
      <c r="B3443" s="2"/>
      <c r="C3443" s="2"/>
      <c r="D3443" s="3"/>
      <c r="E3443" s="3"/>
      <c r="F3443" s="2"/>
      <c r="G3443" s="13">
        <f>IF($B3443="IN",$D3443,0)</f>
      </c>
      <c r="H3443" s="13">
        <f>IF($B3443="OUT",$D3443,0)</f>
      </c>
    </row>
    <row x14ac:dyDescent="0.25" r="3444" customHeight="1" ht="17.25">
      <c r="A3444" s="52"/>
      <c r="B3444" s="2"/>
      <c r="C3444" s="2"/>
      <c r="D3444" s="3"/>
      <c r="E3444" s="3"/>
      <c r="F3444" s="2"/>
      <c r="G3444" s="13">
        <f>IF($B3444="IN",$D3444,0)</f>
      </c>
      <c r="H3444" s="13">
        <f>IF($B3444="OUT",$D3444,0)</f>
      </c>
    </row>
    <row x14ac:dyDescent="0.25" r="3445" customHeight="1" ht="17.25">
      <c r="A3445" s="52"/>
      <c r="B3445" s="2"/>
      <c r="C3445" s="2"/>
      <c r="D3445" s="3"/>
      <c r="E3445" s="3"/>
      <c r="F3445" s="2"/>
      <c r="G3445" s="13">
        <f>IF($B3445="IN",$D3445,0)</f>
      </c>
      <c r="H3445" s="13">
        <f>IF($B3445="OUT",$D3445,0)</f>
      </c>
    </row>
    <row x14ac:dyDescent="0.25" r="3446" customHeight="1" ht="17.25">
      <c r="A3446" s="52"/>
      <c r="B3446" s="2"/>
      <c r="C3446" s="2"/>
      <c r="D3446" s="3"/>
      <c r="E3446" s="3"/>
      <c r="F3446" s="2"/>
      <c r="G3446" s="13">
        <f>IF($B3446="IN",$D3446,0)</f>
      </c>
      <c r="H3446" s="13">
        <f>IF($B3446="OUT",$D3446,0)</f>
      </c>
    </row>
    <row x14ac:dyDescent="0.25" r="3447" customHeight="1" ht="17.25">
      <c r="A3447" s="52"/>
      <c r="B3447" s="2"/>
      <c r="C3447" s="2"/>
      <c r="D3447" s="3"/>
      <c r="E3447" s="3"/>
      <c r="F3447" s="2"/>
      <c r="G3447" s="13">
        <f>IF($B3447="IN",$D3447,0)</f>
      </c>
      <c r="H3447" s="13">
        <f>IF($B3447="OUT",$D3447,0)</f>
      </c>
    </row>
    <row x14ac:dyDescent="0.25" r="3448" customHeight="1" ht="17.25">
      <c r="A3448" s="52"/>
      <c r="B3448" s="2"/>
      <c r="C3448" s="2"/>
      <c r="D3448" s="3"/>
      <c r="E3448" s="3"/>
      <c r="F3448" s="2"/>
      <c r="G3448" s="13">
        <f>IF($B3448="IN",$D3448,0)</f>
      </c>
      <c r="H3448" s="13">
        <f>IF($B3448="OUT",$D3448,0)</f>
      </c>
    </row>
    <row x14ac:dyDescent="0.25" r="3449" customHeight="1" ht="17.25">
      <c r="A3449" s="52"/>
      <c r="B3449" s="2"/>
      <c r="C3449" s="2"/>
      <c r="D3449" s="3"/>
      <c r="E3449" s="3"/>
      <c r="F3449" s="2"/>
      <c r="G3449" s="13">
        <f>IF($B3449="IN",$D3449,0)</f>
      </c>
      <c r="H3449" s="13">
        <f>IF($B3449="OUT",$D3449,0)</f>
      </c>
    </row>
    <row x14ac:dyDescent="0.25" r="3450" customHeight="1" ht="17.25">
      <c r="A3450" s="52"/>
      <c r="B3450" s="2"/>
      <c r="C3450" s="2"/>
      <c r="D3450" s="3"/>
      <c r="E3450" s="3"/>
      <c r="F3450" s="2"/>
      <c r="G3450" s="13">
        <f>IF($B3450="IN",$D3450,0)</f>
      </c>
      <c r="H3450" s="13">
        <f>IF($B3450="OUT",$D3450,0)</f>
      </c>
    </row>
    <row x14ac:dyDescent="0.25" r="3451" customHeight="1" ht="17.25">
      <c r="A3451" s="52"/>
      <c r="B3451" s="2"/>
      <c r="C3451" s="2"/>
      <c r="D3451" s="3"/>
      <c r="E3451" s="3"/>
      <c r="F3451" s="2"/>
      <c r="G3451" s="13">
        <f>IF($B3451="IN",$D3451,0)</f>
      </c>
      <c r="H3451" s="13">
        <f>IF($B3451="OUT",$D3451,0)</f>
      </c>
    </row>
    <row x14ac:dyDescent="0.25" r="3452" customHeight="1" ht="17.25">
      <c r="A3452" s="52"/>
      <c r="B3452" s="2"/>
      <c r="C3452" s="2"/>
      <c r="D3452" s="3"/>
      <c r="E3452" s="3"/>
      <c r="F3452" s="2"/>
      <c r="G3452" s="13">
        <f>IF($B3452="IN",$D3452,0)</f>
      </c>
      <c r="H3452" s="13">
        <f>IF($B3452="OUT",$D3452,0)</f>
      </c>
    </row>
    <row x14ac:dyDescent="0.25" r="3453" customHeight="1" ht="17.25">
      <c r="A3453" s="52"/>
      <c r="B3453" s="2"/>
      <c r="C3453" s="2"/>
      <c r="D3453" s="3"/>
      <c r="E3453" s="3"/>
      <c r="F3453" s="2"/>
      <c r="G3453" s="13">
        <f>IF($B3453="IN",$D3453,0)</f>
      </c>
      <c r="H3453" s="13">
        <f>IF($B3453="OUT",$D3453,0)</f>
      </c>
    </row>
    <row x14ac:dyDescent="0.25" r="3454" customHeight="1" ht="17.25">
      <c r="A3454" s="52"/>
      <c r="B3454" s="2"/>
      <c r="C3454" s="2"/>
      <c r="D3454" s="3"/>
      <c r="E3454" s="3"/>
      <c r="F3454" s="2"/>
      <c r="G3454" s="13">
        <f>IF($B3454="IN",$D3454,0)</f>
      </c>
      <c r="H3454" s="13">
        <f>IF($B3454="OUT",$D3454,0)</f>
      </c>
    </row>
    <row x14ac:dyDescent="0.25" r="3455" customHeight="1" ht="17.25">
      <c r="A3455" s="52"/>
      <c r="B3455" s="2"/>
      <c r="C3455" s="2"/>
      <c r="D3455" s="3"/>
      <c r="E3455" s="3"/>
      <c r="F3455" s="2"/>
      <c r="G3455" s="13">
        <f>IF($B3455="IN",$D3455,0)</f>
      </c>
      <c r="H3455" s="13">
        <f>IF($B3455="OUT",$D3455,0)</f>
      </c>
    </row>
    <row x14ac:dyDescent="0.25" r="3456" customHeight="1" ht="17.25">
      <c r="A3456" s="52"/>
      <c r="B3456" s="2"/>
      <c r="C3456" s="2"/>
      <c r="D3456" s="3"/>
      <c r="E3456" s="3"/>
      <c r="F3456" s="2"/>
      <c r="G3456" s="13">
        <f>IF($B3456="IN",$D3456,0)</f>
      </c>
      <c r="H3456" s="13">
        <f>IF($B3456="OUT",$D3456,0)</f>
      </c>
    </row>
    <row x14ac:dyDescent="0.25" r="3457" customHeight="1" ht="17.25">
      <c r="A3457" s="52"/>
      <c r="B3457" s="2"/>
      <c r="C3457" s="2"/>
      <c r="D3457" s="3"/>
      <c r="E3457" s="3"/>
      <c r="F3457" s="2"/>
      <c r="G3457" s="13">
        <f>IF($B3457="IN",$D3457,0)</f>
      </c>
      <c r="H3457" s="13">
        <f>IF($B3457="OUT",$D3457,0)</f>
      </c>
    </row>
    <row x14ac:dyDescent="0.25" r="3458" customHeight="1" ht="17.25">
      <c r="A3458" s="52"/>
      <c r="B3458" s="2"/>
      <c r="C3458" s="2"/>
      <c r="D3458" s="3"/>
      <c r="E3458" s="3"/>
      <c r="F3458" s="2"/>
      <c r="G3458" s="13">
        <f>IF($B3458="IN",$D3458,0)</f>
      </c>
      <c r="H3458" s="13">
        <f>IF($B3458="OUT",$D3458,0)</f>
      </c>
    </row>
    <row x14ac:dyDescent="0.25" r="3459" customHeight="1" ht="17.25">
      <c r="A3459" s="52"/>
      <c r="B3459" s="2"/>
      <c r="C3459" s="2"/>
      <c r="D3459" s="3"/>
      <c r="E3459" s="3"/>
      <c r="F3459" s="2"/>
      <c r="G3459" s="13">
        <f>IF($B3459="IN",$D3459,0)</f>
      </c>
      <c r="H3459" s="13">
        <f>IF($B3459="OUT",$D3459,0)</f>
      </c>
    </row>
    <row x14ac:dyDescent="0.25" r="3460" customHeight="1" ht="17.25">
      <c r="A3460" s="52"/>
      <c r="B3460" s="2"/>
      <c r="C3460" s="2"/>
      <c r="D3460" s="3"/>
      <c r="E3460" s="3"/>
      <c r="F3460" s="2"/>
      <c r="G3460" s="13">
        <f>IF($B3460="IN",$D3460,0)</f>
      </c>
      <c r="H3460" s="13">
        <f>IF($B3460="OUT",$D3460,0)</f>
      </c>
    </row>
    <row x14ac:dyDescent="0.25" r="3461" customHeight="1" ht="17.25">
      <c r="A3461" s="52"/>
      <c r="B3461" s="2"/>
      <c r="C3461" s="2"/>
      <c r="D3461" s="3"/>
      <c r="E3461" s="3"/>
      <c r="F3461" s="2"/>
      <c r="G3461" s="13">
        <f>IF($B3461="IN",$D3461,0)</f>
      </c>
      <c r="H3461" s="13">
        <f>IF($B3461="OUT",$D3461,0)</f>
      </c>
    </row>
    <row x14ac:dyDescent="0.25" r="3462" customHeight="1" ht="17.25">
      <c r="A3462" s="52"/>
      <c r="B3462" s="2"/>
      <c r="C3462" s="2"/>
      <c r="D3462" s="3"/>
      <c r="E3462" s="3"/>
      <c r="F3462" s="2"/>
      <c r="G3462" s="13">
        <f>IF($B3462="IN",$D3462,0)</f>
      </c>
      <c r="H3462" s="13">
        <f>IF($B3462="OUT",$D3462,0)</f>
      </c>
    </row>
    <row x14ac:dyDescent="0.25" r="3463" customHeight="1" ht="17.25">
      <c r="A3463" s="52"/>
      <c r="B3463" s="2"/>
      <c r="C3463" s="2"/>
      <c r="D3463" s="3"/>
      <c r="E3463" s="3"/>
      <c r="F3463" s="2"/>
      <c r="G3463" s="13">
        <f>IF($B3463="IN",$D3463,0)</f>
      </c>
      <c r="H3463" s="13">
        <f>IF($B3463="OUT",$D3463,0)</f>
      </c>
    </row>
    <row x14ac:dyDescent="0.25" r="3464" customHeight="1" ht="17.25">
      <c r="A3464" s="52"/>
      <c r="B3464" s="2"/>
      <c r="C3464" s="2"/>
      <c r="D3464" s="3"/>
      <c r="E3464" s="3"/>
      <c r="F3464" s="2"/>
      <c r="G3464" s="13">
        <f>IF($B3464="IN",$D3464,0)</f>
      </c>
      <c r="H3464" s="13">
        <f>IF($B3464="OUT",$D3464,0)</f>
      </c>
    </row>
    <row x14ac:dyDescent="0.25" r="3465" customHeight="1" ht="17.25">
      <c r="A3465" s="52"/>
      <c r="B3465" s="2"/>
      <c r="C3465" s="2"/>
      <c r="D3465" s="3"/>
      <c r="E3465" s="3"/>
      <c r="F3465" s="2"/>
      <c r="G3465" s="13">
        <f>IF($B3465="IN",$D3465,0)</f>
      </c>
      <c r="H3465" s="13">
        <f>IF($B3465="OUT",$D3465,0)</f>
      </c>
    </row>
    <row x14ac:dyDescent="0.25" r="3466" customHeight="1" ht="17.25">
      <c r="A3466" s="52"/>
      <c r="B3466" s="2"/>
      <c r="C3466" s="2"/>
      <c r="D3466" s="3"/>
      <c r="E3466" s="3"/>
      <c r="F3466" s="2"/>
      <c r="G3466" s="13">
        <f>IF($B3466="IN",$D3466,0)</f>
      </c>
      <c r="H3466" s="13">
        <f>IF($B3466="OUT",$D3466,0)</f>
      </c>
    </row>
    <row x14ac:dyDescent="0.25" r="3467" customHeight="1" ht="17.25">
      <c r="A3467" s="52"/>
      <c r="B3467" s="2"/>
      <c r="C3467" s="2"/>
      <c r="D3467" s="3"/>
      <c r="E3467" s="3"/>
      <c r="F3467" s="2"/>
      <c r="G3467" s="13">
        <f>IF($B3467="IN",$D3467,0)</f>
      </c>
      <c r="H3467" s="13">
        <f>IF($B3467="OUT",$D3467,0)</f>
      </c>
    </row>
    <row x14ac:dyDescent="0.25" r="3468" customHeight="1" ht="17.25">
      <c r="A3468" s="52"/>
      <c r="B3468" s="2"/>
      <c r="C3468" s="2"/>
      <c r="D3468" s="3"/>
      <c r="E3468" s="3"/>
      <c r="F3468" s="2"/>
      <c r="G3468" s="13">
        <f>IF($B3468="IN",$D3468,0)</f>
      </c>
      <c r="H3468" s="13">
        <f>IF($B3468="OUT",$D3468,0)</f>
      </c>
    </row>
    <row x14ac:dyDescent="0.25" r="3469" customHeight="1" ht="17.25">
      <c r="A3469" s="52"/>
      <c r="B3469" s="2"/>
      <c r="C3469" s="2"/>
      <c r="D3469" s="3"/>
      <c r="E3469" s="3"/>
      <c r="F3469" s="2"/>
      <c r="G3469" s="13">
        <f>IF($B3469="IN",$D3469,0)</f>
      </c>
      <c r="H3469" s="13">
        <f>IF($B3469="OUT",$D3469,0)</f>
      </c>
    </row>
    <row x14ac:dyDescent="0.25" r="3470" customHeight="1" ht="17.25">
      <c r="A3470" s="52"/>
      <c r="B3470" s="2"/>
      <c r="C3470" s="2"/>
      <c r="D3470" s="3"/>
      <c r="E3470" s="3"/>
      <c r="F3470" s="2"/>
      <c r="G3470" s="13">
        <f>IF($B3470="IN",$D3470,0)</f>
      </c>
      <c r="H3470" s="13">
        <f>IF($B3470="OUT",$D3470,0)</f>
      </c>
    </row>
    <row x14ac:dyDescent="0.25" r="3471" customHeight="1" ht="17.25">
      <c r="A3471" s="52"/>
      <c r="B3471" s="2"/>
      <c r="C3471" s="2"/>
      <c r="D3471" s="3"/>
      <c r="E3471" s="3"/>
      <c r="F3471" s="2"/>
      <c r="G3471" s="13">
        <f>IF($B3471="IN",$D3471,0)</f>
      </c>
      <c r="H3471" s="13">
        <f>IF($B3471="OUT",$D3471,0)</f>
      </c>
    </row>
    <row x14ac:dyDescent="0.25" r="3472" customHeight="1" ht="17.25">
      <c r="A3472" s="52"/>
      <c r="B3472" s="2"/>
      <c r="C3472" s="2"/>
      <c r="D3472" s="3"/>
      <c r="E3472" s="3"/>
      <c r="F3472" s="2"/>
      <c r="G3472" s="13">
        <f>IF($B3472="IN",$D3472,0)</f>
      </c>
      <c r="H3472" s="13">
        <f>IF($B3472="OUT",$D3472,0)</f>
      </c>
    </row>
    <row x14ac:dyDescent="0.25" r="3473" customHeight="1" ht="17.25">
      <c r="A3473" s="52"/>
      <c r="B3473" s="2"/>
      <c r="C3473" s="2"/>
      <c r="D3473" s="3"/>
      <c r="E3473" s="3"/>
      <c r="F3473" s="2"/>
      <c r="G3473" s="13">
        <f>IF($B3473="IN",$D3473,0)</f>
      </c>
      <c r="H3473" s="13">
        <f>IF($B3473="OUT",$D3473,0)</f>
      </c>
    </row>
    <row x14ac:dyDescent="0.25" r="3474" customHeight="1" ht="17.25">
      <c r="A3474" s="52"/>
      <c r="B3474" s="2"/>
      <c r="C3474" s="2"/>
      <c r="D3474" s="3"/>
      <c r="E3474" s="3"/>
      <c r="F3474" s="2"/>
      <c r="G3474" s="13">
        <f>IF($B3474="IN",$D3474,0)</f>
      </c>
      <c r="H3474" s="13">
        <f>IF($B3474="OUT",$D3474,0)</f>
      </c>
    </row>
    <row x14ac:dyDescent="0.25" r="3475" customHeight="1" ht="17.25">
      <c r="A3475" s="52"/>
      <c r="B3475" s="2"/>
      <c r="C3475" s="2"/>
      <c r="D3475" s="3"/>
      <c r="E3475" s="3"/>
      <c r="F3475" s="2"/>
      <c r="G3475" s="13">
        <f>IF($B3475="IN",$D3475,0)</f>
      </c>
      <c r="H3475" s="13">
        <f>IF($B3475="OUT",$D3475,0)</f>
      </c>
    </row>
    <row x14ac:dyDescent="0.25" r="3476" customHeight="1" ht="17.25">
      <c r="A3476" s="52"/>
      <c r="B3476" s="2"/>
      <c r="C3476" s="2"/>
      <c r="D3476" s="3"/>
      <c r="E3476" s="3"/>
      <c r="F3476" s="2"/>
      <c r="G3476" s="13">
        <f>IF($B3476="IN",$D3476,0)</f>
      </c>
      <c r="H3476" s="13">
        <f>IF($B3476="OUT",$D3476,0)</f>
      </c>
    </row>
    <row x14ac:dyDescent="0.25" r="3477" customHeight="1" ht="17.25">
      <c r="A3477" s="52"/>
      <c r="B3477" s="2"/>
      <c r="C3477" s="2"/>
      <c r="D3477" s="3"/>
      <c r="E3477" s="3"/>
      <c r="F3477" s="2"/>
      <c r="G3477" s="13">
        <f>IF($B3477="IN",$D3477,0)</f>
      </c>
      <c r="H3477" s="13">
        <f>IF($B3477="OUT",$D3477,0)</f>
      </c>
    </row>
    <row x14ac:dyDescent="0.25" r="3478" customHeight="1" ht="17.25">
      <c r="A3478" s="52"/>
      <c r="B3478" s="2"/>
      <c r="C3478" s="2"/>
      <c r="D3478" s="3"/>
      <c r="E3478" s="3"/>
      <c r="F3478" s="2"/>
      <c r="G3478" s="13">
        <f>IF($B3478="IN",$D3478,0)</f>
      </c>
      <c r="H3478" s="13">
        <f>IF($B3478="OUT",$D3478,0)</f>
      </c>
    </row>
    <row x14ac:dyDescent="0.25" r="3479" customHeight="1" ht="17.25">
      <c r="A3479" s="52"/>
      <c r="B3479" s="2"/>
      <c r="C3479" s="2"/>
      <c r="D3479" s="3"/>
      <c r="E3479" s="3"/>
      <c r="F3479" s="2"/>
      <c r="G3479" s="13">
        <f>IF($B3479="IN",$D3479,0)</f>
      </c>
      <c r="H3479" s="13">
        <f>IF($B3479="OUT",$D3479,0)</f>
      </c>
    </row>
    <row x14ac:dyDescent="0.25" r="3480" customHeight="1" ht="17.25">
      <c r="A3480" s="52"/>
      <c r="B3480" s="2"/>
      <c r="C3480" s="2"/>
      <c r="D3480" s="3"/>
      <c r="E3480" s="3"/>
      <c r="F3480" s="2"/>
      <c r="G3480" s="13">
        <f>IF($B3480="IN",$D3480,0)</f>
      </c>
      <c r="H3480" s="13">
        <f>IF($B3480="OUT",$D3480,0)</f>
      </c>
    </row>
    <row x14ac:dyDescent="0.25" r="3481" customHeight="1" ht="17.25">
      <c r="A3481" s="52"/>
      <c r="B3481" s="2"/>
      <c r="C3481" s="2"/>
      <c r="D3481" s="3"/>
      <c r="E3481" s="3"/>
      <c r="F3481" s="2"/>
      <c r="G3481" s="13">
        <f>IF($B3481="IN",$D3481,0)</f>
      </c>
      <c r="H3481" s="13">
        <f>IF($B3481="OUT",$D3481,0)</f>
      </c>
    </row>
    <row x14ac:dyDescent="0.25" r="3482" customHeight="1" ht="17.25">
      <c r="A3482" s="52"/>
      <c r="B3482" s="2"/>
      <c r="C3482" s="2"/>
      <c r="D3482" s="3"/>
      <c r="E3482" s="3"/>
      <c r="F3482" s="2"/>
      <c r="G3482" s="13">
        <f>IF($B3482="IN",$D3482,0)</f>
      </c>
      <c r="H3482" s="13">
        <f>IF($B3482="OUT",$D3482,0)</f>
      </c>
    </row>
    <row x14ac:dyDescent="0.25" r="3483" customHeight="1" ht="17.25">
      <c r="A3483" s="52"/>
      <c r="B3483" s="2"/>
      <c r="C3483" s="2"/>
      <c r="D3483" s="3"/>
      <c r="E3483" s="3"/>
      <c r="F3483" s="2"/>
      <c r="G3483" s="13">
        <f>IF($B3483="IN",$D3483,0)</f>
      </c>
      <c r="H3483" s="13">
        <f>IF($B3483="OUT",$D3483,0)</f>
      </c>
    </row>
    <row x14ac:dyDescent="0.25" r="3484" customHeight="1" ht="17.25">
      <c r="A3484" s="52"/>
      <c r="B3484" s="2"/>
      <c r="C3484" s="2"/>
      <c r="D3484" s="3"/>
      <c r="E3484" s="3"/>
      <c r="F3484" s="2"/>
      <c r="G3484" s="13">
        <f>IF($B3484="IN",$D3484,0)</f>
      </c>
      <c r="H3484" s="13">
        <f>IF($B3484="OUT",$D3484,0)</f>
      </c>
    </row>
    <row x14ac:dyDescent="0.25" r="3485" customHeight="1" ht="17.25">
      <c r="A3485" s="52"/>
      <c r="B3485" s="2"/>
      <c r="C3485" s="2"/>
      <c r="D3485" s="3"/>
      <c r="E3485" s="3"/>
      <c r="F3485" s="2"/>
      <c r="G3485" s="13">
        <f>IF($B3485="IN",$D3485,0)</f>
      </c>
      <c r="H3485" s="13">
        <f>IF($B3485="OUT",$D3485,0)</f>
      </c>
    </row>
    <row x14ac:dyDescent="0.25" r="3486" customHeight="1" ht="17.25">
      <c r="A3486" s="52"/>
      <c r="B3486" s="2"/>
      <c r="C3486" s="2"/>
      <c r="D3486" s="3"/>
      <c r="E3486" s="3"/>
      <c r="F3486" s="2"/>
      <c r="G3486" s="13">
        <f>IF($B3486="IN",$D3486,0)</f>
      </c>
      <c r="H3486" s="13">
        <f>IF($B3486="OUT",$D3486,0)</f>
      </c>
    </row>
    <row x14ac:dyDescent="0.25" r="3487" customHeight="1" ht="17.25">
      <c r="A3487" s="52"/>
      <c r="B3487" s="2"/>
      <c r="C3487" s="2"/>
      <c r="D3487" s="3"/>
      <c r="E3487" s="3"/>
      <c r="F3487" s="2"/>
      <c r="G3487" s="13">
        <f>IF($B3487="IN",$D3487,0)</f>
      </c>
      <c r="H3487" s="13">
        <f>IF($B3487="OUT",$D3487,0)</f>
      </c>
    </row>
    <row x14ac:dyDescent="0.25" r="3488" customHeight="1" ht="17.25">
      <c r="A3488" s="52"/>
      <c r="B3488" s="2"/>
      <c r="C3488" s="2"/>
      <c r="D3488" s="3"/>
      <c r="E3488" s="3"/>
      <c r="F3488" s="2"/>
      <c r="G3488" s="13">
        <f>IF($B3488="IN",$D3488,0)</f>
      </c>
      <c r="H3488" s="13">
        <f>IF($B3488="OUT",$D3488,0)</f>
      </c>
    </row>
    <row x14ac:dyDescent="0.25" r="3489" customHeight="1" ht="17.25">
      <c r="A3489" s="52"/>
      <c r="B3489" s="2"/>
      <c r="C3489" s="2"/>
      <c r="D3489" s="3"/>
      <c r="E3489" s="3"/>
      <c r="F3489" s="2"/>
      <c r="G3489" s="13">
        <f>IF($B3489="IN",$D3489,0)</f>
      </c>
      <c r="H3489" s="13">
        <f>IF($B3489="OUT",$D3489,0)</f>
      </c>
    </row>
    <row x14ac:dyDescent="0.25" r="3490" customHeight="1" ht="17.25">
      <c r="A3490" s="52"/>
      <c r="B3490" s="2"/>
      <c r="C3490" s="2"/>
      <c r="D3490" s="3"/>
      <c r="E3490" s="3"/>
      <c r="F3490" s="2"/>
      <c r="G3490" s="13">
        <f>IF($B3490="IN",$D3490,0)</f>
      </c>
      <c r="H3490" s="13">
        <f>IF($B3490="OUT",$D3490,0)</f>
      </c>
    </row>
    <row x14ac:dyDescent="0.25" r="3491" customHeight="1" ht="17.25">
      <c r="A3491" s="52"/>
      <c r="B3491" s="2"/>
      <c r="C3491" s="2"/>
      <c r="D3491" s="3"/>
      <c r="E3491" s="3"/>
      <c r="F3491" s="2"/>
      <c r="G3491" s="13">
        <f>IF($B3491="IN",$D3491,0)</f>
      </c>
      <c r="H3491" s="13">
        <f>IF($B3491="OUT",$D3491,0)</f>
      </c>
    </row>
    <row x14ac:dyDescent="0.25" r="3492" customHeight="1" ht="17.25">
      <c r="A3492" s="52"/>
      <c r="B3492" s="2"/>
      <c r="C3492" s="2"/>
      <c r="D3492" s="3"/>
      <c r="E3492" s="3"/>
      <c r="F3492" s="2"/>
      <c r="G3492" s="13">
        <f>IF($B3492="IN",$D3492,0)</f>
      </c>
      <c r="H3492" s="13">
        <f>IF($B3492="OUT",$D3492,0)</f>
      </c>
    </row>
    <row x14ac:dyDescent="0.25" r="3493" customHeight="1" ht="17.25">
      <c r="A3493" s="52"/>
      <c r="B3493" s="2"/>
      <c r="C3493" s="2"/>
      <c r="D3493" s="3"/>
      <c r="E3493" s="3"/>
      <c r="F3493" s="2"/>
      <c r="G3493" s="13">
        <f>IF($B3493="IN",$D3493,0)</f>
      </c>
      <c r="H3493" s="13">
        <f>IF($B3493="OUT",$D3493,0)</f>
      </c>
    </row>
    <row x14ac:dyDescent="0.25" r="3494" customHeight="1" ht="17.25">
      <c r="A3494" s="52"/>
      <c r="B3494" s="2"/>
      <c r="C3494" s="2"/>
      <c r="D3494" s="3"/>
      <c r="E3494" s="3"/>
      <c r="F3494" s="2"/>
      <c r="G3494" s="13">
        <f>IF($B3494="IN",$D3494,0)</f>
      </c>
      <c r="H3494" s="13">
        <f>IF($B3494="OUT",$D3494,0)</f>
      </c>
    </row>
    <row x14ac:dyDescent="0.25" r="3495" customHeight="1" ht="17.25">
      <c r="A3495" s="52"/>
      <c r="B3495" s="2"/>
      <c r="C3495" s="2"/>
      <c r="D3495" s="3"/>
      <c r="E3495" s="3"/>
      <c r="F3495" s="2"/>
      <c r="G3495" s="13">
        <f>IF($B3495="IN",$D3495,0)</f>
      </c>
      <c r="H3495" s="13">
        <f>IF($B3495="OUT",$D3495,0)</f>
      </c>
    </row>
    <row x14ac:dyDescent="0.25" r="3496" customHeight="1" ht="17.25">
      <c r="A3496" s="52"/>
      <c r="B3496" s="2"/>
      <c r="C3496" s="2"/>
      <c r="D3496" s="3"/>
      <c r="E3496" s="3"/>
      <c r="F3496" s="2"/>
      <c r="G3496" s="13">
        <f>IF($B3496="IN",$D3496,0)</f>
      </c>
      <c r="H3496" s="13">
        <f>IF($B3496="OUT",$D3496,0)</f>
      </c>
    </row>
    <row x14ac:dyDescent="0.25" r="3497" customHeight="1" ht="17.25">
      <c r="A3497" s="52"/>
      <c r="B3497" s="2"/>
      <c r="C3497" s="2"/>
      <c r="D3497" s="3"/>
      <c r="E3497" s="3"/>
      <c r="F3497" s="2"/>
      <c r="G3497" s="13">
        <f>IF($B3497="IN",$D3497,0)</f>
      </c>
      <c r="H3497" s="13">
        <f>IF($B3497="OUT",$D3497,0)</f>
      </c>
    </row>
    <row x14ac:dyDescent="0.25" r="3498" customHeight="1" ht="17.25">
      <c r="A3498" s="52"/>
      <c r="B3498" s="2"/>
      <c r="C3498" s="2"/>
      <c r="D3498" s="3"/>
      <c r="E3498" s="3"/>
      <c r="F3498" s="2"/>
      <c r="G3498" s="13">
        <f>IF($B3498="IN",$D3498,0)</f>
      </c>
      <c r="H3498" s="13">
        <f>IF($B3498="OUT",$D3498,0)</f>
      </c>
    </row>
    <row x14ac:dyDescent="0.25" r="3499" customHeight="1" ht="17.25">
      <c r="A3499" s="52"/>
      <c r="B3499" s="2"/>
      <c r="C3499" s="2"/>
      <c r="D3499" s="3"/>
      <c r="E3499" s="3"/>
      <c r="F3499" s="2"/>
      <c r="G3499" s="13">
        <f>IF($B3499="IN",$D3499,0)</f>
      </c>
      <c r="H3499" s="13">
        <f>IF($B3499="OUT",$D3499,0)</f>
      </c>
    </row>
    <row x14ac:dyDescent="0.25" r="3500" customHeight="1" ht="17.25">
      <c r="A3500" s="52"/>
      <c r="B3500" s="2"/>
      <c r="C3500" s="2"/>
      <c r="D3500" s="3"/>
      <c r="E3500" s="3"/>
      <c r="F3500" s="2"/>
      <c r="G3500" s="13">
        <f>IF($B3500="IN",$D3500,0)</f>
      </c>
      <c r="H3500" s="13">
        <f>IF($B3500="OUT",$D3500,0)</f>
      </c>
    </row>
    <row x14ac:dyDescent="0.25" r="3501" customHeight="1" ht="17.25">
      <c r="A3501" s="52"/>
      <c r="B3501" s="2"/>
      <c r="C3501" s="2"/>
      <c r="D3501" s="3"/>
      <c r="E3501" s="3"/>
      <c r="F3501" s="2"/>
      <c r="G3501" s="13">
        <f>IF($B3501="IN",$D3501,0)</f>
      </c>
      <c r="H3501" s="13">
        <f>IF($B3501="OUT",$D3501,0)</f>
      </c>
    </row>
    <row x14ac:dyDescent="0.25" r="3502" customHeight="1" ht="17.25">
      <c r="A3502" s="52"/>
      <c r="B3502" s="2"/>
      <c r="C3502" s="2"/>
      <c r="D3502" s="3"/>
      <c r="E3502" s="3"/>
      <c r="F3502" s="2"/>
      <c r="G3502" s="13">
        <f>IF($B3502="IN",$D3502,0)</f>
      </c>
      <c r="H3502" s="13">
        <f>IF($B3502="OUT",$D3502,0)</f>
      </c>
    </row>
    <row x14ac:dyDescent="0.25" r="3503" customHeight="1" ht="17.25">
      <c r="A3503" s="52"/>
      <c r="B3503" s="2"/>
      <c r="C3503" s="2"/>
      <c r="D3503" s="3"/>
      <c r="E3503" s="3"/>
      <c r="F3503" s="2"/>
      <c r="G3503" s="13">
        <f>IF($B3503="IN",$D3503,0)</f>
      </c>
      <c r="H3503" s="13">
        <f>IF($B3503="OUT",$D3503,0)</f>
      </c>
    </row>
    <row x14ac:dyDescent="0.25" r="3504" customHeight="1" ht="17.25">
      <c r="A3504" s="52"/>
      <c r="B3504" s="2"/>
      <c r="C3504" s="2"/>
      <c r="D3504" s="3"/>
      <c r="E3504" s="3"/>
      <c r="F3504" s="2"/>
      <c r="G3504" s="13">
        <f>IF($B3504="IN",$D3504,0)</f>
      </c>
      <c r="H3504" s="13">
        <f>IF($B3504="OUT",$D3504,0)</f>
      </c>
    </row>
    <row x14ac:dyDescent="0.25" r="3505" customHeight="1" ht="17.25">
      <c r="A3505" s="52"/>
      <c r="B3505" s="2"/>
      <c r="C3505" s="2"/>
      <c r="D3505" s="3"/>
      <c r="E3505" s="3"/>
      <c r="F3505" s="2"/>
      <c r="G3505" s="13">
        <f>IF($B3505="IN",$D3505,0)</f>
      </c>
      <c r="H3505" s="13">
        <f>IF($B3505="OUT",$D3505,0)</f>
      </c>
    </row>
    <row x14ac:dyDescent="0.25" r="3506" customHeight="1" ht="17.25">
      <c r="A3506" s="52"/>
      <c r="B3506" s="2"/>
      <c r="C3506" s="2"/>
      <c r="D3506" s="3"/>
      <c r="E3506" s="3"/>
      <c r="F3506" s="2"/>
      <c r="G3506" s="13">
        <f>IF($B3506="IN",$D3506,0)</f>
      </c>
      <c r="H3506" s="13">
        <f>IF($B3506="OUT",$D3506,0)</f>
      </c>
    </row>
    <row x14ac:dyDescent="0.25" r="3507" customHeight="1" ht="17.25">
      <c r="A3507" s="52"/>
      <c r="B3507" s="2"/>
      <c r="C3507" s="2"/>
      <c r="D3507" s="3"/>
      <c r="E3507" s="3"/>
      <c r="F3507" s="2"/>
      <c r="G3507" s="13">
        <f>IF($B3507="IN",$D3507,0)</f>
      </c>
      <c r="H3507" s="13">
        <f>IF($B3507="OUT",$D3507,0)</f>
      </c>
    </row>
    <row x14ac:dyDescent="0.25" r="3508" customHeight="1" ht="17.25">
      <c r="A3508" s="52"/>
      <c r="B3508" s="2"/>
      <c r="C3508" s="2"/>
      <c r="D3508" s="3"/>
      <c r="E3508" s="3"/>
      <c r="F3508" s="2"/>
      <c r="G3508" s="13">
        <f>IF($B3508="IN",$D3508,0)</f>
      </c>
      <c r="H3508" s="13">
        <f>IF($B3508="OUT",$D3508,0)</f>
      </c>
    </row>
    <row x14ac:dyDescent="0.25" r="3509" customHeight="1" ht="17.25">
      <c r="A3509" s="52"/>
      <c r="B3509" s="2"/>
      <c r="C3509" s="2"/>
      <c r="D3509" s="3"/>
      <c r="E3509" s="3"/>
      <c r="F3509" s="2"/>
      <c r="G3509" s="13">
        <f>IF($B3509="IN",$D3509,0)</f>
      </c>
      <c r="H3509" s="13">
        <f>IF($B3509="OUT",$D3509,0)</f>
      </c>
    </row>
    <row x14ac:dyDescent="0.25" r="3510" customHeight="1" ht="17.25">
      <c r="A3510" s="52"/>
      <c r="B3510" s="2"/>
      <c r="C3510" s="2"/>
      <c r="D3510" s="3"/>
      <c r="E3510" s="3"/>
      <c r="F3510" s="2"/>
      <c r="G3510" s="13">
        <f>IF($B3510="IN",$D3510,0)</f>
      </c>
      <c r="H3510" s="13">
        <f>IF($B3510="OUT",$D3510,0)</f>
      </c>
    </row>
    <row x14ac:dyDescent="0.25" r="3511" customHeight="1" ht="17.25">
      <c r="A3511" s="52"/>
      <c r="B3511" s="2"/>
      <c r="C3511" s="2"/>
      <c r="D3511" s="3"/>
      <c r="E3511" s="3"/>
      <c r="F3511" s="2"/>
      <c r="G3511" s="13">
        <f>IF($B3511="IN",$D3511,0)</f>
      </c>
      <c r="H3511" s="13">
        <f>IF($B3511="OUT",$D3511,0)</f>
      </c>
    </row>
    <row x14ac:dyDescent="0.25" r="3512" customHeight="1" ht="17.25">
      <c r="A3512" s="52"/>
      <c r="B3512" s="2"/>
      <c r="C3512" s="2"/>
      <c r="D3512" s="3"/>
      <c r="E3512" s="3"/>
      <c r="F3512" s="2"/>
      <c r="G3512" s="13">
        <f>IF($B3512="IN",$D3512,0)</f>
      </c>
      <c r="H3512" s="13">
        <f>IF($B3512="OUT",$D3512,0)</f>
      </c>
    </row>
    <row x14ac:dyDescent="0.25" r="3513" customHeight="1" ht="17.25">
      <c r="A3513" s="52"/>
      <c r="B3513" s="2"/>
      <c r="C3513" s="2"/>
      <c r="D3513" s="3"/>
      <c r="E3513" s="3"/>
      <c r="F3513" s="2"/>
      <c r="G3513" s="13">
        <f>IF($B3513="IN",$D3513,0)</f>
      </c>
      <c r="H3513" s="13">
        <f>IF($B3513="OUT",$D3513,0)</f>
      </c>
    </row>
    <row x14ac:dyDescent="0.25" r="3514" customHeight="1" ht="17.25">
      <c r="A3514" s="52"/>
      <c r="B3514" s="2"/>
      <c r="C3514" s="2"/>
      <c r="D3514" s="3"/>
      <c r="E3514" s="3"/>
      <c r="F3514" s="2"/>
      <c r="G3514" s="13">
        <f>IF($B3514="IN",$D3514,0)</f>
      </c>
      <c r="H3514" s="13">
        <f>IF($B3514="OUT",$D3514,0)</f>
      </c>
    </row>
    <row x14ac:dyDescent="0.25" r="3515" customHeight="1" ht="17.25">
      <c r="A3515" s="52"/>
      <c r="B3515" s="2"/>
      <c r="C3515" s="2"/>
      <c r="D3515" s="3"/>
      <c r="E3515" s="3"/>
      <c r="F3515" s="2"/>
      <c r="G3515" s="13">
        <f>IF($B3515="IN",$D3515,0)</f>
      </c>
      <c r="H3515" s="13">
        <f>IF($B3515="OUT",$D3515,0)</f>
      </c>
    </row>
    <row x14ac:dyDescent="0.25" r="3516" customHeight="1" ht="17.25">
      <c r="A3516" s="52"/>
      <c r="B3516" s="2"/>
      <c r="C3516" s="2"/>
      <c r="D3516" s="3"/>
      <c r="E3516" s="3"/>
      <c r="F3516" s="2"/>
      <c r="G3516" s="13">
        <f>IF($B3516="IN",$D3516,0)</f>
      </c>
      <c r="H3516" s="13">
        <f>IF($B3516="OUT",$D3516,0)</f>
      </c>
    </row>
    <row x14ac:dyDescent="0.25" r="3517" customHeight="1" ht="17.25">
      <c r="A3517" s="52"/>
      <c r="B3517" s="2"/>
      <c r="C3517" s="2"/>
      <c r="D3517" s="3"/>
      <c r="E3517" s="3"/>
      <c r="F3517" s="2"/>
      <c r="G3517" s="13">
        <f>IF($B3517="IN",$D3517,0)</f>
      </c>
      <c r="H3517" s="13">
        <f>IF($B3517="OUT",$D3517,0)</f>
      </c>
    </row>
    <row x14ac:dyDescent="0.25" r="3518" customHeight="1" ht="17.25">
      <c r="A3518" s="52"/>
      <c r="B3518" s="2"/>
      <c r="C3518" s="2"/>
      <c r="D3518" s="3"/>
      <c r="E3518" s="3"/>
      <c r="F3518" s="2"/>
      <c r="G3518" s="13">
        <f>IF($B3518="IN",$D3518,0)</f>
      </c>
      <c r="H3518" s="13">
        <f>IF($B3518="OUT",$D3518,0)</f>
      </c>
    </row>
    <row x14ac:dyDescent="0.25" r="3519" customHeight="1" ht="17.25">
      <c r="A3519" s="52"/>
      <c r="B3519" s="2"/>
      <c r="C3519" s="2"/>
      <c r="D3519" s="3"/>
      <c r="E3519" s="3"/>
      <c r="F3519" s="2"/>
      <c r="G3519" s="13">
        <f>IF($B3519="IN",$D3519,0)</f>
      </c>
      <c r="H3519" s="13">
        <f>IF($B3519="OUT",$D3519,0)</f>
      </c>
    </row>
    <row x14ac:dyDescent="0.25" r="3520" customHeight="1" ht="17.25">
      <c r="A3520" s="52"/>
      <c r="B3520" s="2"/>
      <c r="C3520" s="2"/>
      <c r="D3520" s="3"/>
      <c r="E3520" s="3"/>
      <c r="F3520" s="2"/>
      <c r="G3520" s="13">
        <f>IF($B3520="IN",$D3520,0)</f>
      </c>
      <c r="H3520" s="13">
        <f>IF($B3520="OUT",$D3520,0)</f>
      </c>
    </row>
    <row x14ac:dyDescent="0.25" r="3521" customHeight="1" ht="17.25">
      <c r="A3521" s="52"/>
      <c r="B3521" s="2"/>
      <c r="C3521" s="2"/>
      <c r="D3521" s="3"/>
      <c r="E3521" s="3"/>
      <c r="F3521" s="2"/>
      <c r="G3521" s="13">
        <f>IF($B3521="IN",$D3521,0)</f>
      </c>
      <c r="H3521" s="13">
        <f>IF($B3521="OUT",$D3521,0)</f>
      </c>
    </row>
    <row x14ac:dyDescent="0.25" r="3522" customHeight="1" ht="17.25">
      <c r="A3522" s="52"/>
      <c r="B3522" s="2"/>
      <c r="C3522" s="2"/>
      <c r="D3522" s="3"/>
      <c r="E3522" s="3"/>
      <c r="F3522" s="2"/>
      <c r="G3522" s="13">
        <f>IF($B3522="IN",$D3522,0)</f>
      </c>
      <c r="H3522" s="13">
        <f>IF($B3522="OUT",$D3522,0)</f>
      </c>
    </row>
    <row x14ac:dyDescent="0.25" r="3523" customHeight="1" ht="17.25">
      <c r="A3523" s="52"/>
      <c r="B3523" s="2"/>
      <c r="C3523" s="2"/>
      <c r="D3523" s="3"/>
      <c r="E3523" s="3"/>
      <c r="F3523" s="2"/>
      <c r="G3523" s="13">
        <f>IF($B3523="IN",$D3523,0)</f>
      </c>
      <c r="H3523" s="13">
        <f>IF($B3523="OUT",$D3523,0)</f>
      </c>
    </row>
    <row x14ac:dyDescent="0.25" r="3524" customHeight="1" ht="17.25">
      <c r="A3524" s="52"/>
      <c r="B3524" s="2"/>
      <c r="C3524" s="2"/>
      <c r="D3524" s="3"/>
      <c r="E3524" s="3"/>
      <c r="F3524" s="2"/>
      <c r="G3524" s="13">
        <f>IF($B3524="IN",$D3524,0)</f>
      </c>
      <c r="H3524" s="13">
        <f>IF($B3524="OUT",$D3524,0)</f>
      </c>
    </row>
    <row x14ac:dyDescent="0.25" r="3525" customHeight="1" ht="17.25">
      <c r="A3525" s="52"/>
      <c r="B3525" s="2"/>
      <c r="C3525" s="2"/>
      <c r="D3525" s="3"/>
      <c r="E3525" s="3"/>
      <c r="F3525" s="2"/>
      <c r="G3525" s="13">
        <f>IF($B3525="IN",$D3525,0)</f>
      </c>
      <c r="H3525" s="13">
        <f>IF($B3525="OUT",$D3525,0)</f>
      </c>
    </row>
    <row x14ac:dyDescent="0.25" r="3526" customHeight="1" ht="17.25">
      <c r="A3526" s="52"/>
      <c r="B3526" s="2"/>
      <c r="C3526" s="2"/>
      <c r="D3526" s="3"/>
      <c r="E3526" s="3"/>
      <c r="F3526" s="2"/>
      <c r="G3526" s="13">
        <f>IF($B3526="IN",$D3526,0)</f>
      </c>
      <c r="H3526" s="13">
        <f>IF($B3526="OUT",$D3526,0)</f>
      </c>
    </row>
    <row x14ac:dyDescent="0.25" r="3527" customHeight="1" ht="17.25">
      <c r="A3527" s="52"/>
      <c r="B3527" s="2"/>
      <c r="C3527" s="2"/>
      <c r="D3527" s="3"/>
      <c r="E3527" s="3"/>
      <c r="F3527" s="2"/>
      <c r="G3527" s="13">
        <f>IF($B3527="IN",$D3527,0)</f>
      </c>
      <c r="H3527" s="13">
        <f>IF($B3527="OUT",$D3527,0)</f>
      </c>
    </row>
    <row x14ac:dyDescent="0.25" r="3528" customHeight="1" ht="17.25">
      <c r="A3528" s="52"/>
      <c r="B3528" s="2"/>
      <c r="C3528" s="2"/>
      <c r="D3528" s="3"/>
      <c r="E3528" s="3"/>
      <c r="F3528" s="2"/>
      <c r="G3528" s="13">
        <f>IF($B3528="IN",$D3528,0)</f>
      </c>
      <c r="H3528" s="13">
        <f>IF($B3528="OUT",$D3528,0)</f>
      </c>
    </row>
    <row x14ac:dyDescent="0.25" r="3529" customHeight="1" ht="17.25">
      <c r="A3529" s="52"/>
      <c r="B3529" s="2"/>
      <c r="C3529" s="2"/>
      <c r="D3529" s="3"/>
      <c r="E3529" s="3"/>
      <c r="F3529" s="2"/>
      <c r="G3529" s="13">
        <f>IF($B3529="IN",$D3529,0)</f>
      </c>
      <c r="H3529" s="13">
        <f>IF($B3529="OUT",$D3529,0)</f>
      </c>
    </row>
    <row x14ac:dyDescent="0.25" r="3530" customHeight="1" ht="17.25">
      <c r="A3530" s="52"/>
      <c r="B3530" s="2"/>
      <c r="C3530" s="2"/>
      <c r="D3530" s="3"/>
      <c r="E3530" s="3"/>
      <c r="F3530" s="2"/>
      <c r="G3530" s="13">
        <f>IF($B3530="IN",$D3530,0)</f>
      </c>
      <c r="H3530" s="13">
        <f>IF($B3530="OUT",$D3530,0)</f>
      </c>
    </row>
    <row x14ac:dyDescent="0.25" r="3531" customHeight="1" ht="17.25">
      <c r="A3531" s="52"/>
      <c r="B3531" s="2"/>
      <c r="C3531" s="2"/>
      <c r="D3531" s="3"/>
      <c r="E3531" s="3"/>
      <c r="F3531" s="2"/>
      <c r="G3531" s="13">
        <f>IF($B3531="IN",$D3531,0)</f>
      </c>
      <c r="H3531" s="13">
        <f>IF($B3531="OUT",$D3531,0)</f>
      </c>
    </row>
    <row x14ac:dyDescent="0.25" r="3532" customHeight="1" ht="17.25">
      <c r="A3532" s="52"/>
      <c r="B3532" s="2"/>
      <c r="C3532" s="2"/>
      <c r="D3532" s="3"/>
      <c r="E3532" s="3"/>
      <c r="F3532" s="2"/>
      <c r="G3532" s="13">
        <f>IF($B3532="IN",$D3532,0)</f>
      </c>
      <c r="H3532" s="13">
        <f>IF($B3532="OUT",$D3532,0)</f>
      </c>
    </row>
    <row x14ac:dyDescent="0.25" r="3533" customHeight="1" ht="17.25">
      <c r="A3533" s="52"/>
      <c r="B3533" s="2"/>
      <c r="C3533" s="2"/>
      <c r="D3533" s="3"/>
      <c r="E3533" s="3"/>
      <c r="F3533" s="2"/>
      <c r="G3533" s="13">
        <f>IF($B3533="IN",$D3533,0)</f>
      </c>
      <c r="H3533" s="13">
        <f>IF($B3533="OUT",$D3533,0)</f>
      </c>
    </row>
    <row x14ac:dyDescent="0.25" r="3534" customHeight="1" ht="17.25">
      <c r="A3534" s="52"/>
      <c r="B3534" s="2"/>
      <c r="C3534" s="2"/>
      <c r="D3534" s="3"/>
      <c r="E3534" s="3"/>
      <c r="F3534" s="2"/>
      <c r="G3534" s="13">
        <f>IF($B3534="IN",$D3534,0)</f>
      </c>
      <c r="H3534" s="13">
        <f>IF($B3534="OUT",$D3534,0)</f>
      </c>
    </row>
    <row x14ac:dyDescent="0.25" r="3535" customHeight="1" ht="17.25">
      <c r="A3535" s="52"/>
      <c r="B3535" s="2"/>
      <c r="C3535" s="2"/>
      <c r="D3535" s="3"/>
      <c r="E3535" s="3"/>
      <c r="F3535" s="2"/>
      <c r="G3535" s="13">
        <f>IF($B3535="IN",$D3535,0)</f>
      </c>
      <c r="H3535" s="13">
        <f>IF($B3535="OUT",$D3535,0)</f>
      </c>
    </row>
    <row x14ac:dyDescent="0.25" r="3536" customHeight="1" ht="17.25">
      <c r="A3536" s="52"/>
      <c r="B3536" s="2"/>
      <c r="C3536" s="2"/>
      <c r="D3536" s="3"/>
      <c r="E3536" s="3"/>
      <c r="F3536" s="2"/>
      <c r="G3536" s="13">
        <f>IF($B3536="IN",$D3536,0)</f>
      </c>
      <c r="H3536" s="13">
        <f>IF($B3536="OUT",$D3536,0)</f>
      </c>
    </row>
    <row x14ac:dyDescent="0.25" r="3537" customHeight="1" ht="17.25">
      <c r="A3537" s="52"/>
      <c r="B3537" s="2"/>
      <c r="C3537" s="2"/>
      <c r="D3537" s="3"/>
      <c r="E3537" s="3"/>
      <c r="F3537" s="2"/>
      <c r="G3537" s="13">
        <f>IF($B3537="IN",$D3537,0)</f>
      </c>
      <c r="H3537" s="13">
        <f>IF($B3537="OUT",$D3537,0)</f>
      </c>
    </row>
    <row x14ac:dyDescent="0.25" r="3538" customHeight="1" ht="17.25">
      <c r="A3538" s="52"/>
      <c r="B3538" s="2"/>
      <c r="C3538" s="2"/>
      <c r="D3538" s="3"/>
      <c r="E3538" s="3"/>
      <c r="F3538" s="2"/>
      <c r="G3538" s="13">
        <f>IF($B3538="IN",$D3538,0)</f>
      </c>
      <c r="H3538" s="13">
        <f>IF($B3538="OUT",$D3538,0)</f>
      </c>
    </row>
    <row x14ac:dyDescent="0.25" r="3539" customHeight="1" ht="17.25">
      <c r="A3539" s="52"/>
      <c r="B3539" s="2"/>
      <c r="C3539" s="2"/>
      <c r="D3539" s="3"/>
      <c r="E3539" s="3"/>
      <c r="F3539" s="2"/>
      <c r="G3539" s="13">
        <f>IF($B3539="IN",$D3539,0)</f>
      </c>
      <c r="H3539" s="13">
        <f>IF($B3539="OUT",$D3539,0)</f>
      </c>
    </row>
    <row x14ac:dyDescent="0.25" r="3540" customHeight="1" ht="17.25">
      <c r="A3540" s="52"/>
      <c r="B3540" s="2"/>
      <c r="C3540" s="2"/>
      <c r="D3540" s="3"/>
      <c r="E3540" s="3"/>
      <c r="F3540" s="2"/>
      <c r="G3540" s="13">
        <f>IF($B3540="IN",$D3540,0)</f>
      </c>
      <c r="H3540" s="13">
        <f>IF($B3540="OUT",$D3540,0)</f>
      </c>
    </row>
    <row x14ac:dyDescent="0.25" r="3541" customHeight="1" ht="17.25">
      <c r="A3541" s="52"/>
      <c r="B3541" s="2"/>
      <c r="C3541" s="2"/>
      <c r="D3541" s="3"/>
      <c r="E3541" s="3"/>
      <c r="F3541" s="2"/>
      <c r="G3541" s="13">
        <f>IF($B3541="IN",$D3541,0)</f>
      </c>
      <c r="H3541" s="13">
        <f>IF($B3541="OUT",$D3541,0)</f>
      </c>
    </row>
    <row x14ac:dyDescent="0.25" r="3542" customHeight="1" ht="17.25">
      <c r="A3542" s="52"/>
      <c r="B3542" s="2"/>
      <c r="C3542" s="2"/>
      <c r="D3542" s="3"/>
      <c r="E3542" s="3"/>
      <c r="F3542" s="2"/>
      <c r="G3542" s="13">
        <f>IF($B3542="IN",$D3542,0)</f>
      </c>
      <c r="H3542" s="13">
        <f>IF($B3542="OUT",$D3542,0)</f>
      </c>
    </row>
    <row x14ac:dyDescent="0.25" r="3543" customHeight="1" ht="17.25">
      <c r="A3543" s="52"/>
      <c r="B3543" s="2"/>
      <c r="C3543" s="2"/>
      <c r="D3543" s="3"/>
      <c r="E3543" s="3"/>
      <c r="F3543" s="2"/>
      <c r="G3543" s="13">
        <f>IF($B3543="IN",$D3543,0)</f>
      </c>
      <c r="H3543" s="13">
        <f>IF($B3543="OUT",$D3543,0)</f>
      </c>
    </row>
    <row x14ac:dyDescent="0.25" r="3544" customHeight="1" ht="17.25">
      <c r="A3544" s="52"/>
      <c r="B3544" s="2"/>
      <c r="C3544" s="2"/>
      <c r="D3544" s="3"/>
      <c r="E3544" s="3"/>
      <c r="F3544" s="2"/>
      <c r="G3544" s="13">
        <f>IF($B3544="IN",$D3544,0)</f>
      </c>
      <c r="H3544" s="13">
        <f>IF($B3544="OUT",$D3544,0)</f>
      </c>
    </row>
    <row x14ac:dyDescent="0.25" r="3545" customHeight="1" ht="17.25">
      <c r="A3545" s="52"/>
      <c r="B3545" s="2"/>
      <c r="C3545" s="2"/>
      <c r="D3545" s="3"/>
      <c r="E3545" s="3"/>
      <c r="F3545" s="2"/>
      <c r="G3545" s="13">
        <f>IF($B3545="IN",$D3545,0)</f>
      </c>
      <c r="H3545" s="13">
        <f>IF($B3545="OUT",$D3545,0)</f>
      </c>
    </row>
    <row x14ac:dyDescent="0.25" r="3546" customHeight="1" ht="17.25">
      <c r="A3546" s="52"/>
      <c r="B3546" s="2"/>
      <c r="C3546" s="2"/>
      <c r="D3546" s="3"/>
      <c r="E3546" s="3"/>
      <c r="F3546" s="2"/>
      <c r="G3546" s="13">
        <f>IF($B3546="IN",$D3546,0)</f>
      </c>
      <c r="H3546" s="13">
        <f>IF($B3546="OUT",$D3546,0)</f>
      </c>
    </row>
    <row x14ac:dyDescent="0.25" r="3547" customHeight="1" ht="17.25">
      <c r="A3547" s="52"/>
      <c r="B3547" s="2"/>
      <c r="C3547" s="2"/>
      <c r="D3547" s="3"/>
      <c r="E3547" s="3"/>
      <c r="F3547" s="2"/>
      <c r="G3547" s="13">
        <f>IF($B3547="IN",$D3547,0)</f>
      </c>
      <c r="H3547" s="13">
        <f>IF($B3547="OUT",$D3547,0)</f>
      </c>
    </row>
    <row x14ac:dyDescent="0.25" r="3548" customHeight="1" ht="17.25">
      <c r="A3548" s="52"/>
      <c r="B3548" s="2"/>
      <c r="C3548" s="2"/>
      <c r="D3548" s="3"/>
      <c r="E3548" s="3"/>
      <c r="F3548" s="2"/>
      <c r="G3548" s="13">
        <f>IF($B3548="IN",$D3548,0)</f>
      </c>
      <c r="H3548" s="13">
        <f>IF($B3548="OUT",$D3548,0)</f>
      </c>
    </row>
    <row x14ac:dyDescent="0.25" r="3549" customHeight="1" ht="17.25">
      <c r="A3549" s="52"/>
      <c r="B3549" s="2"/>
      <c r="C3549" s="2"/>
      <c r="D3549" s="3"/>
      <c r="E3549" s="3"/>
      <c r="F3549" s="2"/>
      <c r="G3549" s="13">
        <f>IF($B3549="IN",$D3549,0)</f>
      </c>
      <c r="H3549" s="13">
        <f>IF($B3549="OUT",$D3549,0)</f>
      </c>
    </row>
    <row x14ac:dyDescent="0.25" r="3550" customHeight="1" ht="17.25">
      <c r="A3550" s="52"/>
      <c r="B3550" s="2"/>
      <c r="C3550" s="2"/>
      <c r="D3550" s="3"/>
      <c r="E3550" s="3"/>
      <c r="F3550" s="2"/>
      <c r="G3550" s="13">
        <f>IF($B3550="IN",$D3550,0)</f>
      </c>
      <c r="H3550" s="13">
        <f>IF($B3550="OUT",$D3550,0)</f>
      </c>
    </row>
    <row x14ac:dyDescent="0.25" r="3551" customHeight="1" ht="17.25">
      <c r="A3551" s="52"/>
      <c r="B3551" s="2"/>
      <c r="C3551" s="2"/>
      <c r="D3551" s="3"/>
      <c r="E3551" s="3"/>
      <c r="F3551" s="2"/>
      <c r="G3551" s="13">
        <f>IF($B3551="IN",$D3551,0)</f>
      </c>
      <c r="H3551" s="13">
        <f>IF($B3551="OUT",$D3551,0)</f>
      </c>
    </row>
    <row x14ac:dyDescent="0.25" r="3552" customHeight="1" ht="17.25">
      <c r="A3552" s="52"/>
      <c r="B3552" s="2"/>
      <c r="C3552" s="2"/>
      <c r="D3552" s="3"/>
      <c r="E3552" s="3"/>
      <c r="F3552" s="2"/>
      <c r="G3552" s="13">
        <f>IF($B3552="IN",$D3552,0)</f>
      </c>
      <c r="H3552" s="13">
        <f>IF($B3552="OUT",$D3552,0)</f>
      </c>
    </row>
    <row x14ac:dyDescent="0.25" r="3553" customHeight="1" ht="17.25">
      <c r="A3553" s="52"/>
      <c r="B3553" s="2"/>
      <c r="C3553" s="2"/>
      <c r="D3553" s="3"/>
      <c r="E3553" s="3"/>
      <c r="F3553" s="2"/>
      <c r="G3553" s="13">
        <f>IF($B3553="IN",$D3553,0)</f>
      </c>
      <c r="H3553" s="13">
        <f>IF($B3553="OUT",$D3553,0)</f>
      </c>
    </row>
    <row x14ac:dyDescent="0.25" r="3554" customHeight="1" ht="17.25">
      <c r="A3554" s="52"/>
      <c r="B3554" s="2"/>
      <c r="C3554" s="2"/>
      <c r="D3554" s="3"/>
      <c r="E3554" s="3"/>
      <c r="F3554" s="2"/>
      <c r="G3554" s="13">
        <f>IF($B3554="IN",$D3554,0)</f>
      </c>
      <c r="H3554" s="13">
        <f>IF($B3554="OUT",$D3554,0)</f>
      </c>
    </row>
    <row x14ac:dyDescent="0.25" r="3555" customHeight="1" ht="17.25">
      <c r="A3555" s="52"/>
      <c r="B3555" s="2"/>
      <c r="C3555" s="2"/>
      <c r="D3555" s="3"/>
      <c r="E3555" s="3"/>
      <c r="F3555" s="2"/>
      <c r="G3555" s="13">
        <f>IF($B3555="IN",$D3555,0)</f>
      </c>
      <c r="H3555" s="13">
        <f>IF($B3555="OUT",$D3555,0)</f>
      </c>
    </row>
    <row x14ac:dyDescent="0.25" r="3556" customHeight="1" ht="17.25">
      <c r="A3556" s="52"/>
      <c r="B3556" s="2"/>
      <c r="C3556" s="2"/>
      <c r="D3556" s="3"/>
      <c r="E3556" s="3"/>
      <c r="F3556" s="2"/>
      <c r="G3556" s="13">
        <f>IF($B3556="IN",$D3556,0)</f>
      </c>
      <c r="H3556" s="13">
        <f>IF($B3556="OUT",$D3556,0)</f>
      </c>
    </row>
    <row x14ac:dyDescent="0.25" r="3557" customHeight="1" ht="17.25">
      <c r="A3557" s="52"/>
      <c r="B3557" s="2"/>
      <c r="C3557" s="2"/>
      <c r="D3557" s="3"/>
      <c r="E3557" s="3"/>
      <c r="F3557" s="2"/>
      <c r="G3557" s="13">
        <f>IF($B3557="IN",$D3557,0)</f>
      </c>
      <c r="H3557" s="13">
        <f>IF($B3557="OUT",$D3557,0)</f>
      </c>
    </row>
    <row x14ac:dyDescent="0.25" r="3558" customHeight="1" ht="17.25">
      <c r="A3558" s="52"/>
      <c r="B3558" s="2"/>
      <c r="C3558" s="2"/>
      <c r="D3558" s="3"/>
      <c r="E3558" s="3"/>
      <c r="F3558" s="2"/>
      <c r="G3558" s="13">
        <f>IF($B3558="IN",$D3558,0)</f>
      </c>
      <c r="H3558" s="13">
        <f>IF($B3558="OUT",$D3558,0)</f>
      </c>
    </row>
    <row x14ac:dyDescent="0.25" r="3559" customHeight="1" ht="17.25">
      <c r="A3559" s="52"/>
      <c r="B3559" s="2"/>
      <c r="C3559" s="2"/>
      <c r="D3559" s="3"/>
      <c r="E3559" s="3"/>
      <c r="F3559" s="2"/>
      <c r="G3559" s="13">
        <f>IF($B3559="IN",$D3559,0)</f>
      </c>
      <c r="H3559" s="13">
        <f>IF($B3559="OUT",$D3559,0)</f>
      </c>
    </row>
    <row x14ac:dyDescent="0.25" r="3560" customHeight="1" ht="17.25">
      <c r="A3560" s="52"/>
      <c r="B3560" s="2"/>
      <c r="C3560" s="2"/>
      <c r="D3560" s="3"/>
      <c r="E3560" s="3"/>
      <c r="F3560" s="2"/>
      <c r="G3560" s="13">
        <f>IF($B3560="IN",$D3560,0)</f>
      </c>
      <c r="H3560" s="13">
        <f>IF($B3560="OUT",$D3560,0)</f>
      </c>
    </row>
    <row x14ac:dyDescent="0.25" r="3561" customHeight="1" ht="17.25">
      <c r="A3561" s="52"/>
      <c r="B3561" s="2"/>
      <c r="C3561" s="2"/>
      <c r="D3561" s="3"/>
      <c r="E3561" s="3"/>
      <c r="F3561" s="2"/>
      <c r="G3561" s="13">
        <f>IF($B3561="IN",$D3561,0)</f>
      </c>
      <c r="H3561" s="13">
        <f>IF($B3561="OUT",$D3561,0)</f>
      </c>
    </row>
    <row x14ac:dyDescent="0.25" r="3562" customHeight="1" ht="17.25">
      <c r="A3562" s="52"/>
      <c r="B3562" s="2"/>
      <c r="C3562" s="2"/>
      <c r="D3562" s="3"/>
      <c r="E3562" s="3"/>
      <c r="F3562" s="2"/>
      <c r="G3562" s="13">
        <f>IF($B3562="IN",$D3562,0)</f>
      </c>
      <c r="H3562" s="13">
        <f>IF($B3562="OUT",$D3562,0)</f>
      </c>
    </row>
    <row x14ac:dyDescent="0.25" r="3563" customHeight="1" ht="17.25">
      <c r="A3563" s="52"/>
      <c r="B3563" s="2"/>
      <c r="C3563" s="2"/>
      <c r="D3563" s="3"/>
      <c r="E3563" s="3"/>
      <c r="F3563" s="2"/>
      <c r="G3563" s="13">
        <f>IF($B3563="IN",$D3563,0)</f>
      </c>
      <c r="H3563" s="13">
        <f>IF($B3563="OUT",$D3563,0)</f>
      </c>
    </row>
    <row x14ac:dyDescent="0.25" r="3564" customHeight="1" ht="17.25">
      <c r="A3564" s="52"/>
      <c r="B3564" s="2"/>
      <c r="C3564" s="2"/>
      <c r="D3564" s="3"/>
      <c r="E3564" s="3"/>
      <c r="F3564" s="2"/>
      <c r="G3564" s="13">
        <f>IF($B3564="IN",$D3564,0)</f>
      </c>
      <c r="H3564" s="13">
        <f>IF($B3564="OUT",$D3564,0)</f>
      </c>
    </row>
    <row x14ac:dyDescent="0.25" r="3565" customHeight="1" ht="17.25">
      <c r="A3565" s="52"/>
      <c r="B3565" s="2"/>
      <c r="C3565" s="2"/>
      <c r="D3565" s="3"/>
      <c r="E3565" s="3"/>
      <c r="F3565" s="2"/>
      <c r="G3565" s="13">
        <f>IF($B3565="IN",$D3565,0)</f>
      </c>
      <c r="H3565" s="13">
        <f>IF($B3565="OUT",$D3565,0)</f>
      </c>
    </row>
    <row x14ac:dyDescent="0.25" r="3566" customHeight="1" ht="17.25">
      <c r="A3566" s="52"/>
      <c r="B3566" s="2"/>
      <c r="C3566" s="2"/>
      <c r="D3566" s="3"/>
      <c r="E3566" s="3"/>
      <c r="F3566" s="2"/>
      <c r="G3566" s="13">
        <f>IF($B3566="IN",$D3566,0)</f>
      </c>
      <c r="H3566" s="13">
        <f>IF($B3566="OUT",$D3566,0)</f>
      </c>
    </row>
    <row x14ac:dyDescent="0.25" r="3567" customHeight="1" ht="17.25">
      <c r="A3567" s="52"/>
      <c r="B3567" s="2"/>
      <c r="C3567" s="2"/>
      <c r="D3567" s="3"/>
      <c r="E3567" s="3"/>
      <c r="F3567" s="2"/>
      <c r="G3567" s="13">
        <f>IF($B3567="IN",$D3567,0)</f>
      </c>
      <c r="H3567" s="13">
        <f>IF($B3567="OUT",$D3567,0)</f>
      </c>
    </row>
    <row x14ac:dyDescent="0.25" r="3568" customHeight="1" ht="17.25">
      <c r="A3568" s="52"/>
      <c r="B3568" s="2"/>
      <c r="C3568" s="2"/>
      <c r="D3568" s="3"/>
      <c r="E3568" s="3"/>
      <c r="F3568" s="2"/>
      <c r="G3568" s="13">
        <f>IF($B3568="IN",$D3568,0)</f>
      </c>
      <c r="H3568" s="13">
        <f>IF($B3568="OUT",$D3568,0)</f>
      </c>
    </row>
    <row x14ac:dyDescent="0.25" r="3569" customHeight="1" ht="17.25">
      <c r="A3569" s="52"/>
      <c r="B3569" s="2"/>
      <c r="C3569" s="2"/>
      <c r="D3569" s="3"/>
      <c r="E3569" s="3"/>
      <c r="F3569" s="2"/>
      <c r="G3569" s="13">
        <f>IF($B3569="IN",$D3569,0)</f>
      </c>
      <c r="H3569" s="13">
        <f>IF($B3569="OUT",$D3569,0)</f>
      </c>
    </row>
    <row x14ac:dyDescent="0.25" r="3570" customHeight="1" ht="17.25">
      <c r="A3570" s="52"/>
      <c r="B3570" s="2"/>
      <c r="C3570" s="2"/>
      <c r="D3570" s="3"/>
      <c r="E3570" s="3"/>
      <c r="F3570" s="2"/>
      <c r="G3570" s="13">
        <f>IF($B3570="IN",$D3570,0)</f>
      </c>
      <c r="H3570" s="13">
        <f>IF($B3570="OUT",$D3570,0)</f>
      </c>
    </row>
    <row x14ac:dyDescent="0.25" r="3571" customHeight="1" ht="17.25">
      <c r="A3571" s="52"/>
      <c r="B3571" s="2"/>
      <c r="C3571" s="2"/>
      <c r="D3571" s="3"/>
      <c r="E3571" s="3"/>
      <c r="F3571" s="2"/>
      <c r="G3571" s="13">
        <f>IF($B3571="IN",$D3571,0)</f>
      </c>
      <c r="H3571" s="13">
        <f>IF($B3571="OUT",$D3571,0)</f>
      </c>
    </row>
    <row x14ac:dyDescent="0.25" r="3572" customHeight="1" ht="17.25">
      <c r="A3572" s="52"/>
      <c r="B3572" s="2"/>
      <c r="C3572" s="2"/>
      <c r="D3572" s="3"/>
      <c r="E3572" s="3"/>
      <c r="F3572" s="2"/>
      <c r="G3572" s="13">
        <f>IF($B3572="IN",$D3572,0)</f>
      </c>
      <c r="H3572" s="13">
        <f>IF($B3572="OUT",$D3572,0)</f>
      </c>
    </row>
    <row x14ac:dyDescent="0.25" r="3573" customHeight="1" ht="17.25">
      <c r="A3573" s="52"/>
      <c r="B3573" s="2"/>
      <c r="C3573" s="2"/>
      <c r="D3573" s="3"/>
      <c r="E3573" s="3"/>
      <c r="F3573" s="2"/>
      <c r="G3573" s="13">
        <f>IF($B3573="IN",$D3573,0)</f>
      </c>
      <c r="H3573" s="13">
        <f>IF($B3573="OUT",$D3573,0)</f>
      </c>
    </row>
    <row x14ac:dyDescent="0.25" r="3574" customHeight="1" ht="17.25">
      <c r="A3574" s="52"/>
      <c r="B3574" s="2"/>
      <c r="C3574" s="2"/>
      <c r="D3574" s="3"/>
      <c r="E3574" s="3"/>
      <c r="F3574" s="2"/>
      <c r="G3574" s="13">
        <f>IF($B3574="IN",$D3574,0)</f>
      </c>
      <c r="H3574" s="13">
        <f>IF($B3574="OUT",$D3574,0)</f>
      </c>
    </row>
    <row x14ac:dyDescent="0.25" r="3575" customHeight="1" ht="17.25">
      <c r="A3575" s="52"/>
      <c r="B3575" s="2"/>
      <c r="C3575" s="2"/>
      <c r="D3575" s="3"/>
      <c r="E3575" s="3"/>
      <c r="F3575" s="2"/>
      <c r="G3575" s="13">
        <f>IF($B3575="IN",$D3575,0)</f>
      </c>
      <c r="H3575" s="13">
        <f>IF($B3575="OUT",$D3575,0)</f>
      </c>
    </row>
    <row x14ac:dyDescent="0.25" r="3576" customHeight="1" ht="17.25">
      <c r="A3576" s="52"/>
      <c r="B3576" s="2"/>
      <c r="C3576" s="2"/>
      <c r="D3576" s="3"/>
      <c r="E3576" s="3"/>
      <c r="F3576" s="2"/>
      <c r="G3576" s="13">
        <f>IF($B3576="IN",$D3576,0)</f>
      </c>
      <c r="H3576" s="13">
        <f>IF($B3576="OUT",$D3576,0)</f>
      </c>
    </row>
    <row x14ac:dyDescent="0.25" r="3577" customHeight="1" ht="17.25">
      <c r="A3577" s="52"/>
      <c r="B3577" s="2"/>
      <c r="C3577" s="2"/>
      <c r="D3577" s="3"/>
      <c r="E3577" s="3"/>
      <c r="F3577" s="2"/>
      <c r="G3577" s="13">
        <f>IF($B3577="IN",$D3577,0)</f>
      </c>
      <c r="H3577" s="13">
        <f>IF($B3577="OUT",$D3577,0)</f>
      </c>
    </row>
    <row x14ac:dyDescent="0.25" r="3578" customHeight="1" ht="17.25">
      <c r="A3578" s="52"/>
      <c r="B3578" s="2"/>
      <c r="C3578" s="2"/>
      <c r="D3578" s="3"/>
      <c r="E3578" s="3"/>
      <c r="F3578" s="2"/>
      <c r="G3578" s="13">
        <f>IF($B3578="IN",$D3578,0)</f>
      </c>
      <c r="H3578" s="13">
        <f>IF($B3578="OUT",$D3578,0)</f>
      </c>
    </row>
    <row x14ac:dyDescent="0.25" r="3579" customHeight="1" ht="17.25">
      <c r="A3579" s="52"/>
      <c r="B3579" s="2"/>
      <c r="C3579" s="2"/>
      <c r="D3579" s="3"/>
      <c r="E3579" s="3"/>
      <c r="F3579" s="2"/>
      <c r="G3579" s="13">
        <f>IF($B3579="IN",$D3579,0)</f>
      </c>
      <c r="H3579" s="13">
        <f>IF($B3579="OUT",$D3579,0)</f>
      </c>
    </row>
    <row x14ac:dyDescent="0.25" r="3580" customHeight="1" ht="17.25">
      <c r="A3580" s="52"/>
      <c r="B3580" s="2"/>
      <c r="C3580" s="2"/>
      <c r="D3580" s="3"/>
      <c r="E3580" s="3"/>
      <c r="F3580" s="2"/>
      <c r="G3580" s="13">
        <f>IF($B3580="IN",$D3580,0)</f>
      </c>
      <c r="H3580" s="13">
        <f>IF($B3580="OUT",$D3580,0)</f>
      </c>
    </row>
    <row x14ac:dyDescent="0.25" r="3581" customHeight="1" ht="17.25">
      <c r="A3581" s="52"/>
      <c r="B3581" s="2"/>
      <c r="C3581" s="2"/>
      <c r="D3581" s="3"/>
      <c r="E3581" s="3"/>
      <c r="F3581" s="2"/>
      <c r="G3581" s="13">
        <f>IF($B3581="IN",$D3581,0)</f>
      </c>
      <c r="H3581" s="13">
        <f>IF($B3581="OUT",$D3581,0)</f>
      </c>
    </row>
    <row x14ac:dyDescent="0.25" r="3582" customHeight="1" ht="17.25">
      <c r="A3582" s="52"/>
      <c r="B3582" s="2"/>
      <c r="C3582" s="2"/>
      <c r="D3582" s="3"/>
      <c r="E3582" s="3"/>
      <c r="F3582" s="2"/>
      <c r="G3582" s="13">
        <f>IF($B3582="IN",$D3582,0)</f>
      </c>
      <c r="H3582" s="13">
        <f>IF($B3582="OUT",$D3582,0)</f>
      </c>
    </row>
    <row x14ac:dyDescent="0.25" r="3583" customHeight="1" ht="17.25">
      <c r="A3583" s="52"/>
      <c r="B3583" s="2"/>
      <c r="C3583" s="2"/>
      <c r="D3583" s="3"/>
      <c r="E3583" s="3"/>
      <c r="F3583" s="2"/>
      <c r="G3583" s="13">
        <f>IF($B3583="IN",$D3583,0)</f>
      </c>
      <c r="H3583" s="13">
        <f>IF($B3583="OUT",$D3583,0)</f>
      </c>
    </row>
    <row x14ac:dyDescent="0.25" r="3584" customHeight="1" ht="17.25">
      <c r="A3584" s="52"/>
      <c r="B3584" s="2"/>
      <c r="C3584" s="2"/>
      <c r="D3584" s="3"/>
      <c r="E3584" s="3"/>
      <c r="F3584" s="2"/>
      <c r="G3584" s="13">
        <f>IF($B3584="IN",$D3584,0)</f>
      </c>
      <c r="H3584" s="13">
        <f>IF($B3584="OUT",$D3584,0)</f>
      </c>
    </row>
    <row x14ac:dyDescent="0.25" r="3585" customHeight="1" ht="17.25">
      <c r="A3585" s="52"/>
      <c r="B3585" s="2"/>
      <c r="C3585" s="2"/>
      <c r="D3585" s="3"/>
      <c r="E3585" s="3"/>
      <c r="F3585" s="2"/>
      <c r="G3585" s="13">
        <f>IF($B3585="IN",$D3585,0)</f>
      </c>
      <c r="H3585" s="13">
        <f>IF($B3585="OUT",$D3585,0)</f>
      </c>
    </row>
    <row x14ac:dyDescent="0.25" r="3586" customHeight="1" ht="17.25">
      <c r="A3586" s="52"/>
      <c r="B3586" s="2"/>
      <c r="C3586" s="2"/>
      <c r="D3586" s="3"/>
      <c r="E3586" s="3"/>
      <c r="F3586" s="2"/>
      <c r="G3586" s="13">
        <f>IF($B3586="IN",$D3586,0)</f>
      </c>
      <c r="H3586" s="13">
        <f>IF($B3586="OUT",$D3586,0)</f>
      </c>
    </row>
    <row x14ac:dyDescent="0.25" r="3587" customHeight="1" ht="17.25">
      <c r="A3587" s="52"/>
      <c r="B3587" s="2"/>
      <c r="C3587" s="2"/>
      <c r="D3587" s="3"/>
      <c r="E3587" s="3"/>
      <c r="F3587" s="2"/>
      <c r="G3587" s="13">
        <f>IF($B3587="IN",$D3587,0)</f>
      </c>
      <c r="H3587" s="13">
        <f>IF($B3587="OUT",$D3587,0)</f>
      </c>
    </row>
    <row x14ac:dyDescent="0.25" r="3588" customHeight="1" ht="17.25">
      <c r="A3588" s="52"/>
      <c r="B3588" s="2"/>
      <c r="C3588" s="2"/>
      <c r="D3588" s="3"/>
      <c r="E3588" s="3"/>
      <c r="F3588" s="2"/>
      <c r="G3588" s="13">
        <f>IF($B3588="IN",$D3588,0)</f>
      </c>
      <c r="H3588" s="13">
        <f>IF($B3588="OUT",$D3588,0)</f>
      </c>
    </row>
    <row x14ac:dyDescent="0.25" r="3589" customHeight="1" ht="17.25">
      <c r="A3589" s="52"/>
      <c r="B3589" s="2"/>
      <c r="C3589" s="2"/>
      <c r="D3589" s="3"/>
      <c r="E3589" s="3"/>
      <c r="F3589" s="2"/>
      <c r="G3589" s="13">
        <f>IF($B3589="IN",$D3589,0)</f>
      </c>
      <c r="H3589" s="13">
        <f>IF($B3589="OUT",$D3589,0)</f>
      </c>
    </row>
    <row x14ac:dyDescent="0.25" r="3590" customHeight="1" ht="17.25">
      <c r="A3590" s="52"/>
      <c r="B3590" s="2"/>
      <c r="C3590" s="2"/>
      <c r="D3590" s="3"/>
      <c r="E3590" s="3"/>
      <c r="F3590" s="2"/>
      <c r="G3590" s="13">
        <f>IF($B3590="IN",$D3590,0)</f>
      </c>
      <c r="H3590" s="13">
        <f>IF($B3590="OUT",$D3590,0)</f>
      </c>
    </row>
    <row x14ac:dyDescent="0.25" r="3591" customHeight="1" ht="17.25">
      <c r="A3591" s="52"/>
      <c r="B3591" s="2"/>
      <c r="C3591" s="2"/>
      <c r="D3591" s="3"/>
      <c r="E3591" s="3"/>
      <c r="F3591" s="2"/>
      <c r="G3591" s="13">
        <f>IF($B3591="IN",$D3591,0)</f>
      </c>
      <c r="H3591" s="13">
        <f>IF($B3591="OUT",$D3591,0)</f>
      </c>
    </row>
    <row x14ac:dyDescent="0.25" r="3592" customHeight="1" ht="17.25">
      <c r="A3592" s="52"/>
      <c r="B3592" s="2"/>
      <c r="C3592" s="2"/>
      <c r="D3592" s="3"/>
      <c r="E3592" s="3"/>
      <c r="F3592" s="2"/>
      <c r="G3592" s="13">
        <f>IF($B3592="IN",$D3592,0)</f>
      </c>
      <c r="H3592" s="13">
        <f>IF($B3592="OUT",$D3592,0)</f>
      </c>
    </row>
    <row x14ac:dyDescent="0.25" r="3593" customHeight="1" ht="17.25">
      <c r="A3593" s="52"/>
      <c r="B3593" s="2"/>
      <c r="C3593" s="2"/>
      <c r="D3593" s="3"/>
      <c r="E3593" s="3"/>
      <c r="F3593" s="2"/>
      <c r="G3593" s="13">
        <f>IF($B3593="IN",$D3593,0)</f>
      </c>
      <c r="H3593" s="13">
        <f>IF($B3593="OUT",$D3593,0)</f>
      </c>
    </row>
    <row x14ac:dyDescent="0.25" r="3594" customHeight="1" ht="17.25">
      <c r="A3594" s="52"/>
      <c r="B3594" s="2"/>
      <c r="C3594" s="2"/>
      <c r="D3594" s="3"/>
      <c r="E3594" s="3"/>
      <c r="F3594" s="2"/>
      <c r="G3594" s="13">
        <f>IF($B3594="IN",$D3594,0)</f>
      </c>
      <c r="H3594" s="13">
        <f>IF($B3594="OUT",$D3594,0)</f>
      </c>
    </row>
    <row x14ac:dyDescent="0.25" r="3595" customHeight="1" ht="17.25">
      <c r="A3595" s="52"/>
      <c r="B3595" s="2"/>
      <c r="C3595" s="2"/>
      <c r="D3595" s="3"/>
      <c r="E3595" s="3"/>
      <c r="F3595" s="2"/>
      <c r="G3595" s="13">
        <f>IF($B3595="IN",$D3595,0)</f>
      </c>
      <c r="H3595" s="13">
        <f>IF($B3595="OUT",$D3595,0)</f>
      </c>
    </row>
    <row x14ac:dyDescent="0.25" r="3596" customHeight="1" ht="17.25">
      <c r="A3596" s="52"/>
      <c r="B3596" s="2"/>
      <c r="C3596" s="2"/>
      <c r="D3596" s="3"/>
      <c r="E3596" s="3"/>
      <c r="F3596" s="2"/>
      <c r="G3596" s="13">
        <f>IF($B3596="IN",$D3596,0)</f>
      </c>
      <c r="H3596" s="13">
        <f>IF($B3596="OUT",$D3596,0)</f>
      </c>
    </row>
    <row x14ac:dyDescent="0.25" r="3597" customHeight="1" ht="17.25">
      <c r="A3597" s="52"/>
      <c r="B3597" s="2"/>
      <c r="C3597" s="2"/>
      <c r="D3597" s="3"/>
      <c r="E3597" s="3"/>
      <c r="F3597" s="2"/>
      <c r="G3597" s="13">
        <f>IF($B3597="IN",$D3597,0)</f>
      </c>
      <c r="H3597" s="13">
        <f>IF($B3597="OUT",$D3597,0)</f>
      </c>
    </row>
    <row x14ac:dyDescent="0.25" r="3598" customHeight="1" ht="17.25">
      <c r="A3598" s="52"/>
      <c r="B3598" s="2"/>
      <c r="C3598" s="2"/>
      <c r="D3598" s="3"/>
      <c r="E3598" s="3"/>
      <c r="F3598" s="2"/>
      <c r="G3598" s="13">
        <f>IF($B3598="IN",$D3598,0)</f>
      </c>
      <c r="H3598" s="13">
        <f>IF($B3598="OUT",$D3598,0)</f>
      </c>
    </row>
    <row x14ac:dyDescent="0.25" r="3599" customHeight="1" ht="17.25">
      <c r="A3599" s="52"/>
      <c r="B3599" s="2"/>
      <c r="C3599" s="2"/>
      <c r="D3599" s="3"/>
      <c r="E3599" s="3"/>
      <c r="F3599" s="2"/>
      <c r="G3599" s="13">
        <f>IF($B3599="IN",$D3599,0)</f>
      </c>
      <c r="H3599" s="13">
        <f>IF($B3599="OUT",$D3599,0)</f>
      </c>
    </row>
    <row x14ac:dyDescent="0.25" r="3600" customHeight="1" ht="17.25">
      <c r="A3600" s="52"/>
      <c r="B3600" s="2"/>
      <c r="C3600" s="2"/>
      <c r="D3600" s="3"/>
      <c r="E3600" s="3"/>
      <c r="F3600" s="2"/>
      <c r="G3600" s="13">
        <f>IF($B3600="IN",$D3600,0)</f>
      </c>
      <c r="H3600" s="13">
        <f>IF($B3600="OUT",$D3600,0)</f>
      </c>
    </row>
    <row x14ac:dyDescent="0.25" r="3601" customHeight="1" ht="17.25">
      <c r="A3601" s="52"/>
      <c r="B3601" s="2"/>
      <c r="C3601" s="2"/>
      <c r="D3601" s="3"/>
      <c r="E3601" s="3"/>
      <c r="F3601" s="2"/>
      <c r="G3601" s="13">
        <f>IF($B3601="IN",$D3601,0)</f>
      </c>
      <c r="H3601" s="13">
        <f>IF($B3601="OUT",$D3601,0)</f>
      </c>
    </row>
    <row x14ac:dyDescent="0.25" r="3602" customHeight="1" ht="17.25">
      <c r="A3602" s="52"/>
      <c r="B3602" s="2"/>
      <c r="C3602" s="2"/>
      <c r="D3602" s="3"/>
      <c r="E3602" s="3"/>
      <c r="F3602" s="2"/>
      <c r="G3602" s="13">
        <f>IF($B3602="IN",$D3602,0)</f>
      </c>
      <c r="H3602" s="13">
        <f>IF($B3602="OUT",$D3602,0)</f>
      </c>
    </row>
    <row x14ac:dyDescent="0.25" r="3603" customHeight="1" ht="17.25">
      <c r="A3603" s="52"/>
      <c r="B3603" s="2"/>
      <c r="C3603" s="2"/>
      <c r="D3603" s="3"/>
      <c r="E3603" s="3"/>
      <c r="F3603" s="2"/>
      <c r="G3603" s="13">
        <f>IF($B3603="IN",$D3603,0)</f>
      </c>
      <c r="H3603" s="13">
        <f>IF($B3603="OUT",$D3603,0)</f>
      </c>
    </row>
    <row x14ac:dyDescent="0.25" r="3604" customHeight="1" ht="17.25">
      <c r="A3604" s="52"/>
      <c r="B3604" s="2"/>
      <c r="C3604" s="2"/>
      <c r="D3604" s="3"/>
      <c r="E3604" s="3"/>
      <c r="F3604" s="2"/>
      <c r="G3604" s="13">
        <f>IF($B3604="IN",$D3604,0)</f>
      </c>
      <c r="H3604" s="13">
        <f>IF($B3604="OUT",$D3604,0)</f>
      </c>
    </row>
    <row x14ac:dyDescent="0.25" r="3605" customHeight="1" ht="17.25">
      <c r="A3605" s="52"/>
      <c r="B3605" s="2"/>
      <c r="C3605" s="2"/>
      <c r="D3605" s="3"/>
      <c r="E3605" s="3"/>
      <c r="F3605" s="2"/>
      <c r="G3605" s="13">
        <f>IF($B3605="IN",$D3605,0)</f>
      </c>
      <c r="H3605" s="13">
        <f>IF($B3605="OUT",$D3605,0)</f>
      </c>
    </row>
    <row x14ac:dyDescent="0.25" r="3606" customHeight="1" ht="17.25">
      <c r="A3606" s="52"/>
      <c r="B3606" s="2"/>
      <c r="C3606" s="2"/>
      <c r="D3606" s="3"/>
      <c r="E3606" s="3"/>
      <c r="F3606" s="2"/>
      <c r="G3606" s="13">
        <f>IF($B3606="IN",$D3606,0)</f>
      </c>
      <c r="H3606" s="13">
        <f>IF($B3606="OUT",$D3606,0)</f>
      </c>
    </row>
    <row x14ac:dyDescent="0.25" r="3607" customHeight="1" ht="17.25">
      <c r="A3607" s="52"/>
      <c r="B3607" s="2"/>
      <c r="C3607" s="2"/>
      <c r="D3607" s="3"/>
      <c r="E3607" s="3"/>
      <c r="F3607" s="2"/>
      <c r="G3607" s="13">
        <f>IF($B3607="IN",$D3607,0)</f>
      </c>
      <c r="H3607" s="13">
        <f>IF($B3607="OUT",$D3607,0)</f>
      </c>
    </row>
    <row x14ac:dyDescent="0.25" r="3608" customHeight="1" ht="17.25">
      <c r="A3608" s="52"/>
      <c r="B3608" s="2"/>
      <c r="C3608" s="2"/>
      <c r="D3608" s="3"/>
      <c r="E3608" s="3"/>
      <c r="F3608" s="2"/>
      <c r="G3608" s="13">
        <f>IF($B3608="IN",$D3608,0)</f>
      </c>
      <c r="H3608" s="13">
        <f>IF($B3608="OUT",$D3608,0)</f>
      </c>
    </row>
    <row x14ac:dyDescent="0.25" r="3609" customHeight="1" ht="17.25">
      <c r="A3609" s="52"/>
      <c r="B3609" s="2"/>
      <c r="C3609" s="2"/>
      <c r="D3609" s="3"/>
      <c r="E3609" s="3"/>
      <c r="F3609" s="2"/>
      <c r="G3609" s="13">
        <f>IF($B3609="IN",$D3609,0)</f>
      </c>
      <c r="H3609" s="13">
        <f>IF($B3609="OUT",$D3609,0)</f>
      </c>
    </row>
    <row x14ac:dyDescent="0.25" r="3610" customHeight="1" ht="17.25">
      <c r="A3610" s="52"/>
      <c r="B3610" s="2"/>
      <c r="C3610" s="2"/>
      <c r="D3610" s="3"/>
      <c r="E3610" s="3"/>
      <c r="F3610" s="2"/>
      <c r="G3610" s="13">
        <f>IF($B3610="IN",$D3610,0)</f>
      </c>
      <c r="H3610" s="13">
        <f>IF($B3610="OUT",$D3610,0)</f>
      </c>
    </row>
    <row x14ac:dyDescent="0.25" r="3611" customHeight="1" ht="17.25">
      <c r="A3611" s="52"/>
      <c r="B3611" s="2"/>
      <c r="C3611" s="2"/>
      <c r="D3611" s="3"/>
      <c r="E3611" s="3"/>
      <c r="F3611" s="2"/>
      <c r="G3611" s="13">
        <f>IF($B3611="IN",$D3611,0)</f>
      </c>
      <c r="H3611" s="13">
        <f>IF($B3611="OUT",$D3611,0)</f>
      </c>
    </row>
    <row x14ac:dyDescent="0.25" r="3612" customHeight="1" ht="17.25">
      <c r="A3612" s="52"/>
      <c r="B3612" s="2"/>
      <c r="C3612" s="2"/>
      <c r="D3612" s="3"/>
      <c r="E3612" s="3"/>
      <c r="F3612" s="2"/>
      <c r="G3612" s="13">
        <f>IF($B3612="IN",$D3612,0)</f>
      </c>
      <c r="H3612" s="13">
        <f>IF($B3612="OUT",$D3612,0)</f>
      </c>
    </row>
    <row x14ac:dyDescent="0.25" r="3613" customHeight="1" ht="17.25">
      <c r="A3613" s="52"/>
      <c r="B3613" s="2"/>
      <c r="C3613" s="2"/>
      <c r="D3613" s="3"/>
      <c r="E3613" s="3"/>
      <c r="F3613" s="2"/>
      <c r="G3613" s="13">
        <f>IF($B3613="IN",$D3613,0)</f>
      </c>
      <c r="H3613" s="13">
        <f>IF($B3613="OUT",$D3613,0)</f>
      </c>
    </row>
    <row x14ac:dyDescent="0.25" r="3614" customHeight="1" ht="17.25">
      <c r="A3614" s="52"/>
      <c r="B3614" s="2"/>
      <c r="C3614" s="2"/>
      <c r="D3614" s="3"/>
      <c r="E3614" s="3"/>
      <c r="F3614" s="2"/>
      <c r="G3614" s="13">
        <f>IF($B3614="IN",$D3614,0)</f>
      </c>
      <c r="H3614" s="13">
        <f>IF($B3614="OUT",$D3614,0)</f>
      </c>
    </row>
    <row x14ac:dyDescent="0.25" r="3615" customHeight="1" ht="17.25">
      <c r="A3615" s="52"/>
      <c r="B3615" s="2"/>
      <c r="C3615" s="2"/>
      <c r="D3615" s="3"/>
      <c r="E3615" s="3"/>
      <c r="F3615" s="2"/>
      <c r="G3615" s="13">
        <f>IF($B3615="IN",$D3615,0)</f>
      </c>
      <c r="H3615" s="13">
        <f>IF($B3615="OUT",$D3615,0)</f>
      </c>
    </row>
    <row x14ac:dyDescent="0.25" r="3616" customHeight="1" ht="17.25">
      <c r="A3616" s="52"/>
      <c r="B3616" s="2"/>
      <c r="C3616" s="2"/>
      <c r="D3616" s="3"/>
      <c r="E3616" s="3"/>
      <c r="F3616" s="2"/>
      <c r="G3616" s="13">
        <f>IF($B3616="IN",$D3616,0)</f>
      </c>
      <c r="H3616" s="13">
        <f>IF($B3616="OUT",$D3616,0)</f>
      </c>
    </row>
    <row x14ac:dyDescent="0.25" r="3617" customHeight="1" ht="17.25">
      <c r="A3617" s="52"/>
      <c r="B3617" s="2"/>
      <c r="C3617" s="2"/>
      <c r="D3617" s="3"/>
      <c r="E3617" s="3"/>
      <c r="F3617" s="2"/>
      <c r="G3617" s="13">
        <f>IF($B3617="IN",$D3617,0)</f>
      </c>
      <c r="H3617" s="13">
        <f>IF($B3617="OUT",$D3617,0)</f>
      </c>
    </row>
    <row x14ac:dyDescent="0.25" r="3618" customHeight="1" ht="17.25">
      <c r="A3618" s="52"/>
      <c r="B3618" s="2"/>
      <c r="C3618" s="2"/>
      <c r="D3618" s="3"/>
      <c r="E3618" s="3"/>
      <c r="F3618" s="2"/>
      <c r="G3618" s="13">
        <f>IF($B3618="IN",$D3618,0)</f>
      </c>
      <c r="H3618" s="13">
        <f>IF($B3618="OUT",$D3618,0)</f>
      </c>
    </row>
    <row x14ac:dyDescent="0.25" r="3619" customHeight="1" ht="17.25">
      <c r="A3619" s="52"/>
      <c r="B3619" s="2"/>
      <c r="C3619" s="2"/>
      <c r="D3619" s="3"/>
      <c r="E3619" s="3"/>
      <c r="F3619" s="2"/>
      <c r="G3619" s="13">
        <f>IF($B3619="IN",$D3619,0)</f>
      </c>
      <c r="H3619" s="13">
        <f>IF($B3619="OUT",$D3619,0)</f>
      </c>
    </row>
    <row x14ac:dyDescent="0.25" r="3620" customHeight="1" ht="17.25">
      <c r="A3620" s="52"/>
      <c r="B3620" s="2"/>
      <c r="C3620" s="2"/>
      <c r="D3620" s="3"/>
      <c r="E3620" s="3"/>
      <c r="F3620" s="2"/>
      <c r="G3620" s="13">
        <f>IF($B3620="IN",$D3620,0)</f>
      </c>
      <c r="H3620" s="13">
        <f>IF($B3620="OUT",$D3620,0)</f>
      </c>
    </row>
    <row x14ac:dyDescent="0.25" r="3621" customHeight="1" ht="17.25">
      <c r="A3621" s="52"/>
      <c r="B3621" s="2"/>
      <c r="C3621" s="2"/>
      <c r="D3621" s="3"/>
      <c r="E3621" s="3"/>
      <c r="F3621" s="2"/>
      <c r="G3621" s="13">
        <f>IF($B3621="IN",$D3621,0)</f>
      </c>
      <c r="H3621" s="13">
        <f>IF($B3621="OUT",$D3621,0)</f>
      </c>
    </row>
    <row x14ac:dyDescent="0.25" r="3622" customHeight="1" ht="17.25">
      <c r="A3622" s="52"/>
      <c r="B3622" s="2"/>
      <c r="C3622" s="2"/>
      <c r="D3622" s="3"/>
      <c r="E3622" s="3"/>
      <c r="F3622" s="2"/>
      <c r="G3622" s="13">
        <f>IF($B3622="IN",$D3622,0)</f>
      </c>
      <c r="H3622" s="13">
        <f>IF($B3622="OUT",$D3622,0)</f>
      </c>
    </row>
    <row x14ac:dyDescent="0.25" r="3623" customHeight="1" ht="17.25">
      <c r="A3623" s="52"/>
      <c r="B3623" s="2"/>
      <c r="C3623" s="2"/>
      <c r="D3623" s="3"/>
      <c r="E3623" s="3"/>
      <c r="F3623" s="2"/>
      <c r="G3623" s="13">
        <f>IF($B3623="IN",$D3623,0)</f>
      </c>
      <c r="H3623" s="13">
        <f>IF($B3623="OUT",$D3623,0)</f>
      </c>
    </row>
    <row x14ac:dyDescent="0.25" r="3624" customHeight="1" ht="17.25">
      <c r="A3624" s="52"/>
      <c r="B3624" s="2"/>
      <c r="C3624" s="2"/>
      <c r="D3624" s="3"/>
      <c r="E3624" s="3"/>
      <c r="F3624" s="2"/>
      <c r="G3624" s="13">
        <f>IF($B3624="IN",$D3624,0)</f>
      </c>
      <c r="H3624" s="13">
        <f>IF($B3624="OUT",$D3624,0)</f>
      </c>
    </row>
    <row x14ac:dyDescent="0.25" r="3625" customHeight="1" ht="17.25">
      <c r="A3625" s="52"/>
      <c r="B3625" s="2"/>
      <c r="C3625" s="2"/>
      <c r="D3625" s="3"/>
      <c r="E3625" s="3"/>
      <c r="F3625" s="2"/>
      <c r="G3625" s="13">
        <f>IF($B3625="IN",$D3625,0)</f>
      </c>
      <c r="H3625" s="13">
        <f>IF($B3625="OUT",$D3625,0)</f>
      </c>
    </row>
    <row x14ac:dyDescent="0.25" r="3626" customHeight="1" ht="17.25">
      <c r="A3626" s="52"/>
      <c r="B3626" s="2"/>
      <c r="C3626" s="2"/>
      <c r="D3626" s="3"/>
      <c r="E3626" s="3"/>
      <c r="F3626" s="2"/>
      <c r="G3626" s="13">
        <f>IF($B3626="IN",$D3626,0)</f>
      </c>
      <c r="H3626" s="13">
        <f>IF($B3626="OUT",$D3626,0)</f>
      </c>
    </row>
    <row x14ac:dyDescent="0.25" r="3627" customHeight="1" ht="17.25">
      <c r="A3627" s="52"/>
      <c r="B3627" s="2"/>
      <c r="C3627" s="2"/>
      <c r="D3627" s="3"/>
      <c r="E3627" s="3"/>
      <c r="F3627" s="2"/>
      <c r="G3627" s="13">
        <f>IF($B3627="IN",$D3627,0)</f>
      </c>
      <c r="H3627" s="13">
        <f>IF($B3627="OUT",$D3627,0)</f>
      </c>
    </row>
    <row x14ac:dyDescent="0.25" r="3628" customHeight="1" ht="17.25">
      <c r="A3628" s="52"/>
      <c r="B3628" s="2"/>
      <c r="C3628" s="2"/>
      <c r="D3628" s="3"/>
      <c r="E3628" s="3"/>
      <c r="F3628" s="2"/>
      <c r="G3628" s="13">
        <f>IF($B3628="IN",$D3628,0)</f>
      </c>
      <c r="H3628" s="13">
        <f>IF($B3628="OUT",$D3628,0)</f>
      </c>
    </row>
    <row x14ac:dyDescent="0.25" r="3629" customHeight="1" ht="17.25">
      <c r="A3629" s="52"/>
      <c r="B3629" s="2"/>
      <c r="C3629" s="2"/>
      <c r="D3629" s="3"/>
      <c r="E3629" s="3"/>
      <c r="F3629" s="2"/>
      <c r="G3629" s="13">
        <f>IF($B3629="IN",$D3629,0)</f>
      </c>
      <c r="H3629" s="13">
        <f>IF($B3629="OUT",$D3629,0)</f>
      </c>
    </row>
    <row x14ac:dyDescent="0.25" r="3630" customHeight="1" ht="17.25">
      <c r="A3630" s="52"/>
      <c r="B3630" s="2"/>
      <c r="C3630" s="2"/>
      <c r="D3630" s="3"/>
      <c r="E3630" s="3"/>
      <c r="F3630" s="2"/>
      <c r="G3630" s="13">
        <f>IF($B3630="IN",$D3630,0)</f>
      </c>
      <c r="H3630" s="13">
        <f>IF($B3630="OUT",$D3630,0)</f>
      </c>
    </row>
    <row x14ac:dyDescent="0.25" r="3631" customHeight="1" ht="17.25">
      <c r="A3631" s="52"/>
      <c r="B3631" s="2"/>
      <c r="C3631" s="2"/>
      <c r="D3631" s="3"/>
      <c r="E3631" s="3"/>
      <c r="F3631" s="2"/>
      <c r="G3631" s="13">
        <f>IF($B3631="IN",$D3631,0)</f>
      </c>
      <c r="H3631" s="13">
        <f>IF($B3631="OUT",$D3631,0)</f>
      </c>
    </row>
    <row x14ac:dyDescent="0.25" r="3632" customHeight="1" ht="17.25">
      <c r="A3632" s="52"/>
      <c r="B3632" s="2"/>
      <c r="C3632" s="2"/>
      <c r="D3632" s="3"/>
      <c r="E3632" s="3"/>
      <c r="F3632" s="2"/>
      <c r="G3632" s="13">
        <f>IF($B3632="IN",$D3632,0)</f>
      </c>
      <c r="H3632" s="13">
        <f>IF($B3632="OUT",$D3632,0)</f>
      </c>
    </row>
    <row x14ac:dyDescent="0.25" r="3633" customHeight="1" ht="17.25">
      <c r="A3633" s="52"/>
      <c r="B3633" s="2"/>
      <c r="C3633" s="2"/>
      <c r="D3633" s="3"/>
      <c r="E3633" s="3"/>
      <c r="F3633" s="2"/>
      <c r="G3633" s="13">
        <f>IF($B3633="IN",$D3633,0)</f>
      </c>
      <c r="H3633" s="13">
        <f>IF($B3633="OUT",$D3633,0)</f>
      </c>
    </row>
    <row x14ac:dyDescent="0.25" r="3634" customHeight="1" ht="17.25">
      <c r="A3634" s="52"/>
      <c r="B3634" s="2"/>
      <c r="C3634" s="2"/>
      <c r="D3634" s="3"/>
      <c r="E3634" s="3"/>
      <c r="F3634" s="2"/>
      <c r="G3634" s="13">
        <f>IF($B3634="IN",$D3634,0)</f>
      </c>
      <c r="H3634" s="13">
        <f>IF($B3634="OUT",$D3634,0)</f>
      </c>
    </row>
    <row x14ac:dyDescent="0.25" r="3635" customHeight="1" ht="17.25">
      <c r="A3635" s="52"/>
      <c r="B3635" s="2"/>
      <c r="C3635" s="2"/>
      <c r="D3635" s="3"/>
      <c r="E3635" s="3"/>
      <c r="F3635" s="2"/>
      <c r="G3635" s="13">
        <f>IF($B3635="IN",$D3635,0)</f>
      </c>
      <c r="H3635" s="13">
        <f>IF($B3635="OUT",$D3635,0)</f>
      </c>
    </row>
    <row x14ac:dyDescent="0.25" r="3636" customHeight="1" ht="17.25">
      <c r="A3636" s="52"/>
      <c r="B3636" s="2"/>
      <c r="C3636" s="2"/>
      <c r="D3636" s="3"/>
      <c r="E3636" s="3"/>
      <c r="F3636" s="2"/>
      <c r="G3636" s="13">
        <f>IF($B3636="IN",$D3636,0)</f>
      </c>
      <c r="H3636" s="13">
        <f>IF($B3636="OUT",$D3636,0)</f>
      </c>
    </row>
    <row x14ac:dyDescent="0.25" r="3637" customHeight="1" ht="17.25">
      <c r="A3637" s="52"/>
      <c r="B3637" s="2"/>
      <c r="C3637" s="2"/>
      <c r="D3637" s="3"/>
      <c r="E3637" s="3"/>
      <c r="F3637" s="2"/>
      <c r="G3637" s="13">
        <f>IF($B3637="IN",$D3637,0)</f>
      </c>
      <c r="H3637" s="13">
        <f>IF($B3637="OUT",$D3637,0)</f>
      </c>
    </row>
    <row x14ac:dyDescent="0.25" r="3638" customHeight="1" ht="17.25">
      <c r="A3638" s="52"/>
      <c r="B3638" s="2"/>
      <c r="C3638" s="2"/>
      <c r="D3638" s="3"/>
      <c r="E3638" s="3"/>
      <c r="F3638" s="2"/>
      <c r="G3638" s="13">
        <f>IF($B3638="IN",$D3638,0)</f>
      </c>
      <c r="H3638" s="13">
        <f>IF($B3638="OUT",$D3638,0)</f>
      </c>
    </row>
    <row x14ac:dyDescent="0.25" r="3639" customHeight="1" ht="17.25">
      <c r="A3639" s="52"/>
      <c r="B3639" s="2"/>
      <c r="C3639" s="2"/>
      <c r="D3639" s="3"/>
      <c r="E3639" s="3"/>
      <c r="F3639" s="2"/>
      <c r="G3639" s="13">
        <f>IF($B3639="IN",$D3639,0)</f>
      </c>
      <c r="H3639" s="13">
        <f>IF($B3639="OUT",$D3639,0)</f>
      </c>
    </row>
    <row x14ac:dyDescent="0.25" r="3640" customHeight="1" ht="17.25">
      <c r="A3640" s="52"/>
      <c r="B3640" s="2"/>
      <c r="C3640" s="2"/>
      <c r="D3640" s="3"/>
      <c r="E3640" s="3"/>
      <c r="F3640" s="2"/>
      <c r="G3640" s="13">
        <f>IF($B3640="IN",$D3640,0)</f>
      </c>
      <c r="H3640" s="13">
        <f>IF($B3640="OUT",$D3640,0)</f>
      </c>
    </row>
    <row x14ac:dyDescent="0.25" r="3641" customHeight="1" ht="17.25">
      <c r="A3641" s="52"/>
      <c r="B3641" s="2"/>
      <c r="C3641" s="2"/>
      <c r="D3641" s="3"/>
      <c r="E3641" s="3"/>
      <c r="F3641" s="2"/>
      <c r="G3641" s="13">
        <f>IF($B3641="IN",$D3641,0)</f>
      </c>
      <c r="H3641" s="13">
        <f>IF($B3641="OUT",$D3641,0)</f>
      </c>
    </row>
    <row x14ac:dyDescent="0.25" r="3642" customHeight="1" ht="17.25">
      <c r="A3642" s="52"/>
      <c r="B3642" s="2"/>
      <c r="C3642" s="2"/>
      <c r="D3642" s="3"/>
      <c r="E3642" s="3"/>
      <c r="F3642" s="2"/>
      <c r="G3642" s="13">
        <f>IF($B3642="IN",$D3642,0)</f>
      </c>
      <c r="H3642" s="13">
        <f>IF($B3642="OUT",$D3642,0)</f>
      </c>
    </row>
    <row x14ac:dyDescent="0.25" r="3643" customHeight="1" ht="17.25">
      <c r="A3643" s="52"/>
      <c r="B3643" s="2"/>
      <c r="C3643" s="2"/>
      <c r="D3643" s="3"/>
      <c r="E3643" s="3"/>
      <c r="F3643" s="2"/>
      <c r="G3643" s="13">
        <f>IF($B3643="IN",$D3643,0)</f>
      </c>
      <c r="H3643" s="13">
        <f>IF($B3643="OUT",$D3643,0)</f>
      </c>
    </row>
    <row x14ac:dyDescent="0.25" r="3644" customHeight="1" ht="17.25">
      <c r="A3644" s="52"/>
      <c r="B3644" s="2"/>
      <c r="C3644" s="2"/>
      <c r="D3644" s="3"/>
      <c r="E3644" s="3"/>
      <c r="F3644" s="2"/>
      <c r="G3644" s="13">
        <f>IF($B3644="IN",$D3644,0)</f>
      </c>
      <c r="H3644" s="13">
        <f>IF($B3644="OUT",$D3644,0)</f>
      </c>
    </row>
    <row x14ac:dyDescent="0.25" r="3645" customHeight="1" ht="17.25">
      <c r="A3645" s="52"/>
      <c r="B3645" s="2"/>
      <c r="C3645" s="2"/>
      <c r="D3645" s="3"/>
      <c r="E3645" s="3"/>
      <c r="F3645" s="2"/>
      <c r="G3645" s="13">
        <f>IF($B3645="IN",$D3645,0)</f>
      </c>
      <c r="H3645" s="13">
        <f>IF($B3645="OUT",$D3645,0)</f>
      </c>
    </row>
    <row x14ac:dyDescent="0.25" r="3646" customHeight="1" ht="17.25">
      <c r="A3646" s="52"/>
      <c r="B3646" s="2"/>
      <c r="C3646" s="2"/>
      <c r="D3646" s="3"/>
      <c r="E3646" s="3"/>
      <c r="F3646" s="2"/>
      <c r="G3646" s="13">
        <f>IF($B3646="IN",$D3646,0)</f>
      </c>
      <c r="H3646" s="13">
        <f>IF($B3646="OUT",$D3646,0)</f>
      </c>
    </row>
    <row x14ac:dyDescent="0.25" r="3647" customHeight="1" ht="17.25">
      <c r="A3647" s="52"/>
      <c r="B3647" s="2"/>
      <c r="C3647" s="2"/>
      <c r="D3647" s="3"/>
      <c r="E3647" s="3"/>
      <c r="F3647" s="2"/>
      <c r="G3647" s="13">
        <f>IF($B3647="IN",$D3647,0)</f>
      </c>
      <c r="H3647" s="13">
        <f>IF($B3647="OUT",$D3647,0)</f>
      </c>
    </row>
    <row x14ac:dyDescent="0.25" r="3648" customHeight="1" ht="17.25">
      <c r="A3648" s="52"/>
      <c r="B3648" s="2"/>
      <c r="C3648" s="2"/>
      <c r="D3648" s="3"/>
      <c r="E3648" s="3"/>
      <c r="F3648" s="2"/>
      <c r="G3648" s="13">
        <f>IF($B3648="IN",$D3648,0)</f>
      </c>
      <c r="H3648" s="13">
        <f>IF($B3648="OUT",$D3648,0)</f>
      </c>
    </row>
    <row x14ac:dyDescent="0.25" r="3649" customHeight="1" ht="17.25">
      <c r="A3649" s="52"/>
      <c r="B3649" s="2"/>
      <c r="C3649" s="2"/>
      <c r="D3649" s="3"/>
      <c r="E3649" s="3"/>
      <c r="F3649" s="2"/>
      <c r="G3649" s="13">
        <f>IF($B3649="IN",$D3649,0)</f>
      </c>
      <c r="H3649" s="13">
        <f>IF($B3649="OUT",$D3649,0)</f>
      </c>
    </row>
    <row x14ac:dyDescent="0.25" r="3650" customHeight="1" ht="17.25">
      <c r="A3650" s="52"/>
      <c r="B3650" s="2"/>
      <c r="C3650" s="2"/>
      <c r="D3650" s="3"/>
      <c r="E3650" s="3"/>
      <c r="F3650" s="2"/>
      <c r="G3650" s="13">
        <f>IF($B3650="IN",$D3650,0)</f>
      </c>
      <c r="H3650" s="13">
        <f>IF($B3650="OUT",$D3650,0)</f>
      </c>
    </row>
    <row x14ac:dyDescent="0.25" r="3651" customHeight="1" ht="17.25">
      <c r="A3651" s="52"/>
      <c r="B3651" s="2"/>
      <c r="C3651" s="2"/>
      <c r="D3651" s="3"/>
      <c r="E3651" s="3"/>
      <c r="F3651" s="2"/>
      <c r="G3651" s="13">
        <f>IF($B3651="IN",$D3651,0)</f>
      </c>
      <c r="H3651" s="13">
        <f>IF($B3651="OUT",$D3651,0)</f>
      </c>
    </row>
    <row x14ac:dyDescent="0.25" r="3652" customHeight="1" ht="17.25">
      <c r="A3652" s="52"/>
      <c r="B3652" s="2"/>
      <c r="C3652" s="2"/>
      <c r="D3652" s="3"/>
      <c r="E3652" s="3"/>
      <c r="F3652" s="2"/>
      <c r="G3652" s="13">
        <f>IF($B3652="IN",$D3652,0)</f>
      </c>
      <c r="H3652" s="13">
        <f>IF($B3652="OUT",$D3652,0)</f>
      </c>
    </row>
    <row x14ac:dyDescent="0.25" r="3653" customHeight="1" ht="17.25">
      <c r="A3653" s="52"/>
      <c r="B3653" s="2"/>
      <c r="C3653" s="2"/>
      <c r="D3653" s="3"/>
      <c r="E3653" s="3"/>
      <c r="F3653" s="2"/>
      <c r="G3653" s="13">
        <f>IF($B3653="IN",$D3653,0)</f>
      </c>
      <c r="H3653" s="13">
        <f>IF($B3653="OUT",$D3653,0)</f>
      </c>
    </row>
    <row x14ac:dyDescent="0.25" r="3654" customHeight="1" ht="17.25">
      <c r="A3654" s="52"/>
      <c r="B3654" s="2"/>
      <c r="C3654" s="2"/>
      <c r="D3654" s="3"/>
      <c r="E3654" s="3"/>
      <c r="F3654" s="2"/>
      <c r="G3654" s="13">
        <f>IF($B3654="IN",$D3654,0)</f>
      </c>
      <c r="H3654" s="13">
        <f>IF($B3654="OUT",$D3654,0)</f>
      </c>
    </row>
    <row x14ac:dyDescent="0.25" r="3655" customHeight="1" ht="17.25">
      <c r="A3655" s="52"/>
      <c r="B3655" s="2"/>
      <c r="C3655" s="2"/>
      <c r="D3655" s="3"/>
      <c r="E3655" s="3"/>
      <c r="F3655" s="2"/>
      <c r="G3655" s="13">
        <f>IF($B3655="IN",$D3655,0)</f>
      </c>
      <c r="H3655" s="13">
        <f>IF($B3655="OUT",$D3655,0)</f>
      </c>
    </row>
    <row x14ac:dyDescent="0.25" r="3656" customHeight="1" ht="17.25">
      <c r="A3656" s="52"/>
      <c r="B3656" s="2"/>
      <c r="C3656" s="2"/>
      <c r="D3656" s="3"/>
      <c r="E3656" s="3"/>
      <c r="F3656" s="2"/>
      <c r="G3656" s="13">
        <f>IF($B3656="IN",$D3656,0)</f>
      </c>
      <c r="H3656" s="13">
        <f>IF($B3656="OUT",$D3656,0)</f>
      </c>
    </row>
    <row x14ac:dyDescent="0.25" r="3657" customHeight="1" ht="17.25">
      <c r="A3657" s="52"/>
      <c r="B3657" s="2"/>
      <c r="C3657" s="2"/>
      <c r="D3657" s="3"/>
      <c r="E3657" s="3"/>
      <c r="F3657" s="2"/>
      <c r="G3657" s="13">
        <f>IF($B3657="IN",$D3657,0)</f>
      </c>
      <c r="H3657" s="13">
        <f>IF($B3657="OUT",$D3657,0)</f>
      </c>
    </row>
    <row x14ac:dyDescent="0.25" r="3658" customHeight="1" ht="17.25">
      <c r="A3658" s="52"/>
      <c r="B3658" s="2"/>
      <c r="C3658" s="2"/>
      <c r="D3658" s="3"/>
      <c r="E3658" s="3"/>
      <c r="F3658" s="2"/>
      <c r="G3658" s="13">
        <f>IF($B3658="IN",$D3658,0)</f>
      </c>
      <c r="H3658" s="13">
        <f>IF($B3658="OUT",$D3658,0)</f>
      </c>
    </row>
    <row x14ac:dyDescent="0.25" r="3659" customHeight="1" ht="17.25">
      <c r="A3659" s="52"/>
      <c r="B3659" s="2"/>
      <c r="C3659" s="2"/>
      <c r="D3659" s="3"/>
      <c r="E3659" s="3"/>
      <c r="F3659" s="2"/>
      <c r="G3659" s="13">
        <f>IF($B3659="IN",$D3659,0)</f>
      </c>
      <c r="H3659" s="13">
        <f>IF($B3659="OUT",$D3659,0)</f>
      </c>
    </row>
    <row x14ac:dyDescent="0.25" r="3660" customHeight="1" ht="17.25">
      <c r="A3660" s="52"/>
      <c r="B3660" s="2"/>
      <c r="C3660" s="2"/>
      <c r="D3660" s="3"/>
      <c r="E3660" s="3"/>
      <c r="F3660" s="2"/>
      <c r="G3660" s="13">
        <f>IF($B3660="IN",$D3660,0)</f>
      </c>
      <c r="H3660" s="13">
        <f>IF($B3660="OUT",$D3660,0)</f>
      </c>
    </row>
    <row x14ac:dyDescent="0.25" r="3661" customHeight="1" ht="17.25">
      <c r="A3661" s="52"/>
      <c r="B3661" s="2"/>
      <c r="C3661" s="2"/>
      <c r="D3661" s="3"/>
      <c r="E3661" s="3"/>
      <c r="F3661" s="2"/>
      <c r="G3661" s="13">
        <f>IF($B3661="IN",$D3661,0)</f>
      </c>
      <c r="H3661" s="13">
        <f>IF($B3661="OUT",$D3661,0)</f>
      </c>
    </row>
    <row x14ac:dyDescent="0.25" r="3662" customHeight="1" ht="17.25">
      <c r="A3662" s="52"/>
      <c r="B3662" s="2"/>
      <c r="C3662" s="2"/>
      <c r="D3662" s="3"/>
      <c r="E3662" s="3"/>
      <c r="F3662" s="2"/>
      <c r="G3662" s="13">
        <f>IF($B3662="IN",$D3662,0)</f>
      </c>
      <c r="H3662" s="13">
        <f>IF($B3662="OUT",$D3662,0)</f>
      </c>
    </row>
    <row x14ac:dyDescent="0.25" r="3663" customHeight="1" ht="17.25">
      <c r="A3663" s="52"/>
      <c r="B3663" s="2"/>
      <c r="C3663" s="2"/>
      <c r="D3663" s="3"/>
      <c r="E3663" s="3"/>
      <c r="F3663" s="2"/>
      <c r="G3663" s="13">
        <f>IF($B3663="IN",$D3663,0)</f>
      </c>
      <c r="H3663" s="13">
        <f>IF($B3663="OUT",$D3663,0)</f>
      </c>
    </row>
    <row x14ac:dyDescent="0.25" r="3664" customHeight="1" ht="17.25">
      <c r="A3664" s="52"/>
      <c r="B3664" s="2"/>
      <c r="C3664" s="2"/>
      <c r="D3664" s="3"/>
      <c r="E3664" s="3"/>
      <c r="F3664" s="2"/>
      <c r="G3664" s="13">
        <f>IF($B3664="IN",$D3664,0)</f>
      </c>
      <c r="H3664" s="13">
        <f>IF($B3664="OUT",$D3664,0)</f>
      </c>
    </row>
    <row x14ac:dyDescent="0.25" r="3665" customHeight="1" ht="17.25">
      <c r="A3665" s="52"/>
      <c r="B3665" s="2"/>
      <c r="C3665" s="2"/>
      <c r="D3665" s="3"/>
      <c r="E3665" s="3"/>
      <c r="F3665" s="2"/>
      <c r="G3665" s="13">
        <f>IF($B3665="IN",$D3665,0)</f>
      </c>
      <c r="H3665" s="13">
        <f>IF($B3665="OUT",$D3665,0)</f>
      </c>
    </row>
    <row x14ac:dyDescent="0.25" r="3666" customHeight="1" ht="17.25">
      <c r="A3666" s="52"/>
      <c r="B3666" s="2"/>
      <c r="C3666" s="2"/>
      <c r="D3666" s="3"/>
      <c r="E3666" s="3"/>
      <c r="F3666" s="2"/>
      <c r="G3666" s="13">
        <f>IF($B3666="IN",$D3666,0)</f>
      </c>
      <c r="H3666" s="13">
        <f>IF($B3666="OUT",$D3666,0)</f>
      </c>
    </row>
    <row x14ac:dyDescent="0.25" r="3667" customHeight="1" ht="17.25">
      <c r="A3667" s="52"/>
      <c r="B3667" s="2"/>
      <c r="C3667" s="2"/>
      <c r="D3667" s="3"/>
      <c r="E3667" s="3"/>
      <c r="F3667" s="2"/>
      <c r="G3667" s="13">
        <f>IF($B3667="IN",$D3667,0)</f>
      </c>
      <c r="H3667" s="13">
        <f>IF($B3667="OUT",$D3667,0)</f>
      </c>
    </row>
    <row x14ac:dyDescent="0.25" r="3668" customHeight="1" ht="17.25">
      <c r="A3668" s="52"/>
      <c r="B3668" s="2"/>
      <c r="C3668" s="2"/>
      <c r="D3668" s="3"/>
      <c r="E3668" s="3"/>
      <c r="F3668" s="2"/>
      <c r="G3668" s="13">
        <f>IF($B3668="IN",$D3668,0)</f>
      </c>
      <c r="H3668" s="13">
        <f>IF($B3668="OUT",$D3668,0)</f>
      </c>
    </row>
    <row x14ac:dyDescent="0.25" r="3669" customHeight="1" ht="17.25">
      <c r="A3669" s="52"/>
      <c r="B3669" s="2"/>
      <c r="C3669" s="2"/>
      <c r="D3669" s="3"/>
      <c r="E3669" s="3"/>
      <c r="F3669" s="2"/>
      <c r="G3669" s="13">
        <f>IF($B3669="IN",$D3669,0)</f>
      </c>
      <c r="H3669" s="13">
        <f>IF($B3669="OUT",$D3669,0)</f>
      </c>
    </row>
    <row x14ac:dyDescent="0.25" r="3670" customHeight="1" ht="17.25">
      <c r="A3670" s="52"/>
      <c r="B3670" s="2"/>
      <c r="C3670" s="2"/>
      <c r="D3670" s="3"/>
      <c r="E3670" s="3"/>
      <c r="F3670" s="2"/>
      <c r="G3670" s="13">
        <f>IF($B3670="IN",$D3670,0)</f>
      </c>
      <c r="H3670" s="13">
        <f>IF($B3670="OUT",$D3670,0)</f>
      </c>
    </row>
    <row x14ac:dyDescent="0.25" r="3671" customHeight="1" ht="17.25">
      <c r="A3671" s="52"/>
      <c r="B3671" s="2"/>
      <c r="C3671" s="2"/>
      <c r="D3671" s="3"/>
      <c r="E3671" s="3"/>
      <c r="F3671" s="2"/>
      <c r="G3671" s="13">
        <f>IF($B3671="IN",$D3671,0)</f>
      </c>
      <c r="H3671" s="13">
        <f>IF($B3671="OUT",$D3671,0)</f>
      </c>
    </row>
    <row x14ac:dyDescent="0.25" r="3672" customHeight="1" ht="17.25">
      <c r="A3672" s="52"/>
      <c r="B3672" s="2"/>
      <c r="C3672" s="2"/>
      <c r="D3672" s="3"/>
      <c r="E3672" s="3"/>
      <c r="F3672" s="2"/>
      <c r="G3672" s="13">
        <f>IF($B3672="IN",$D3672,0)</f>
      </c>
      <c r="H3672" s="13">
        <f>IF($B3672="OUT",$D3672,0)</f>
      </c>
    </row>
    <row x14ac:dyDescent="0.25" r="3673" customHeight="1" ht="17.25">
      <c r="A3673" s="52"/>
      <c r="B3673" s="2"/>
      <c r="C3673" s="2"/>
      <c r="D3673" s="3"/>
      <c r="E3673" s="3"/>
      <c r="F3673" s="2"/>
      <c r="G3673" s="13">
        <f>IF($B3673="IN",$D3673,0)</f>
      </c>
      <c r="H3673" s="13">
        <f>IF($B3673="OUT",$D3673,0)</f>
      </c>
    </row>
    <row x14ac:dyDescent="0.25" r="3674" customHeight="1" ht="17.25">
      <c r="A3674" s="52"/>
      <c r="B3674" s="2"/>
      <c r="C3674" s="2"/>
      <c r="D3674" s="3"/>
      <c r="E3674" s="3"/>
      <c r="F3674" s="2"/>
      <c r="G3674" s="13">
        <f>IF($B3674="IN",$D3674,0)</f>
      </c>
      <c r="H3674" s="13">
        <f>IF($B3674="OUT",$D3674,0)</f>
      </c>
    </row>
    <row x14ac:dyDescent="0.25" r="3675" customHeight="1" ht="17.25">
      <c r="A3675" s="52"/>
      <c r="B3675" s="2"/>
      <c r="C3675" s="2"/>
      <c r="D3675" s="3"/>
      <c r="E3675" s="3"/>
      <c r="F3675" s="2"/>
      <c r="G3675" s="13">
        <f>IF($B3675="IN",$D3675,0)</f>
      </c>
      <c r="H3675" s="13">
        <f>IF($B3675="OUT",$D3675,0)</f>
      </c>
    </row>
    <row x14ac:dyDescent="0.25" r="3676" customHeight="1" ht="17.25">
      <c r="A3676" s="52"/>
      <c r="B3676" s="2"/>
      <c r="C3676" s="2"/>
      <c r="D3676" s="3"/>
      <c r="E3676" s="3"/>
      <c r="F3676" s="2"/>
      <c r="G3676" s="13">
        <f>IF($B3676="IN",$D3676,0)</f>
      </c>
      <c r="H3676" s="13">
        <f>IF($B3676="OUT",$D3676,0)</f>
      </c>
    </row>
    <row x14ac:dyDescent="0.25" r="3677" customHeight="1" ht="17.25">
      <c r="A3677" s="52"/>
      <c r="B3677" s="2"/>
      <c r="C3677" s="2"/>
      <c r="D3677" s="3"/>
      <c r="E3677" s="3"/>
      <c r="F3677" s="2"/>
      <c r="G3677" s="13">
        <f>IF($B3677="IN",$D3677,0)</f>
      </c>
      <c r="H3677" s="13">
        <f>IF($B3677="OUT",$D3677,0)</f>
      </c>
    </row>
    <row x14ac:dyDescent="0.25" r="3678" customHeight="1" ht="17.25">
      <c r="A3678" s="52"/>
      <c r="B3678" s="2"/>
      <c r="C3678" s="2"/>
      <c r="D3678" s="3"/>
      <c r="E3678" s="3"/>
      <c r="F3678" s="2"/>
      <c r="G3678" s="13">
        <f>IF($B3678="IN",$D3678,0)</f>
      </c>
      <c r="H3678" s="13">
        <f>IF($B3678="OUT",$D3678,0)</f>
      </c>
    </row>
    <row x14ac:dyDescent="0.25" r="3679" customHeight="1" ht="17.25">
      <c r="A3679" s="52"/>
      <c r="B3679" s="2"/>
      <c r="C3679" s="2"/>
      <c r="D3679" s="3"/>
      <c r="E3679" s="3"/>
      <c r="F3679" s="2"/>
      <c r="G3679" s="13">
        <f>IF($B3679="IN",$D3679,0)</f>
      </c>
      <c r="H3679" s="13">
        <f>IF($B3679="OUT",$D3679,0)</f>
      </c>
    </row>
    <row x14ac:dyDescent="0.25" r="3680" customHeight="1" ht="17.25">
      <c r="A3680" s="52"/>
      <c r="B3680" s="2"/>
      <c r="C3680" s="2"/>
      <c r="D3680" s="3"/>
      <c r="E3680" s="3"/>
      <c r="F3680" s="2"/>
      <c r="G3680" s="13">
        <f>IF($B3680="IN",$D3680,0)</f>
      </c>
      <c r="H3680" s="13">
        <f>IF($B3680="OUT",$D3680,0)</f>
      </c>
    </row>
    <row x14ac:dyDescent="0.25" r="3681" customHeight="1" ht="17.25">
      <c r="A3681" s="52"/>
      <c r="B3681" s="2"/>
      <c r="C3681" s="2"/>
      <c r="D3681" s="3"/>
      <c r="E3681" s="3"/>
      <c r="F3681" s="2"/>
      <c r="G3681" s="13">
        <f>IF($B3681="IN",$D3681,0)</f>
      </c>
      <c r="H3681" s="13">
        <f>IF($B3681="OUT",$D3681,0)</f>
      </c>
    </row>
    <row x14ac:dyDescent="0.25" r="3682" customHeight="1" ht="17.25">
      <c r="A3682" s="52"/>
      <c r="B3682" s="2"/>
      <c r="C3682" s="2"/>
      <c r="D3682" s="3"/>
      <c r="E3682" s="3"/>
      <c r="F3682" s="2"/>
      <c r="G3682" s="13">
        <f>IF($B3682="IN",$D3682,0)</f>
      </c>
      <c r="H3682" s="13">
        <f>IF($B3682="OUT",$D3682,0)</f>
      </c>
    </row>
    <row x14ac:dyDescent="0.25" r="3683" customHeight="1" ht="17.25">
      <c r="A3683" s="52"/>
      <c r="B3683" s="2"/>
      <c r="C3683" s="2"/>
      <c r="D3683" s="3"/>
      <c r="E3683" s="3"/>
      <c r="F3683" s="2"/>
      <c r="G3683" s="13">
        <f>IF($B3683="IN",$D3683,0)</f>
      </c>
      <c r="H3683" s="13">
        <f>IF($B3683="OUT",$D3683,0)</f>
      </c>
    </row>
    <row x14ac:dyDescent="0.25" r="3684" customHeight="1" ht="17.25">
      <c r="A3684" s="52"/>
      <c r="B3684" s="2"/>
      <c r="C3684" s="2"/>
      <c r="D3684" s="3"/>
      <c r="E3684" s="3"/>
      <c r="F3684" s="2"/>
      <c r="G3684" s="13">
        <f>IF($B3684="IN",$D3684,0)</f>
      </c>
      <c r="H3684" s="13">
        <f>IF($B3684="OUT",$D3684,0)</f>
      </c>
    </row>
    <row x14ac:dyDescent="0.25" r="3685" customHeight="1" ht="17.25">
      <c r="A3685" s="52"/>
      <c r="B3685" s="2"/>
      <c r="C3685" s="2"/>
      <c r="D3685" s="3"/>
      <c r="E3685" s="3"/>
      <c r="F3685" s="2"/>
      <c r="G3685" s="13">
        <f>IF($B3685="IN",$D3685,0)</f>
      </c>
      <c r="H3685" s="13">
        <f>IF($B3685="OUT",$D3685,0)</f>
      </c>
    </row>
    <row x14ac:dyDescent="0.25" r="3686" customHeight="1" ht="17.25">
      <c r="A3686" s="52"/>
      <c r="B3686" s="2"/>
      <c r="C3686" s="2"/>
      <c r="D3686" s="3"/>
      <c r="E3686" s="3"/>
      <c r="F3686" s="2"/>
      <c r="G3686" s="13">
        <f>IF($B3686="IN",$D3686,0)</f>
      </c>
      <c r="H3686" s="13">
        <f>IF($B3686="OUT",$D3686,0)</f>
      </c>
    </row>
    <row x14ac:dyDescent="0.25" r="3687" customHeight="1" ht="17.25">
      <c r="A3687" s="52"/>
      <c r="B3687" s="2"/>
      <c r="C3687" s="2"/>
      <c r="D3687" s="3"/>
      <c r="E3687" s="3"/>
      <c r="F3687" s="2"/>
      <c r="G3687" s="13">
        <f>IF($B3687="IN",$D3687,0)</f>
      </c>
      <c r="H3687" s="13">
        <f>IF($B3687="OUT",$D3687,0)</f>
      </c>
    </row>
    <row x14ac:dyDescent="0.25" r="3688" customHeight="1" ht="17.25">
      <c r="A3688" s="52"/>
      <c r="B3688" s="2"/>
      <c r="C3688" s="2"/>
      <c r="D3688" s="3"/>
      <c r="E3688" s="3"/>
      <c r="F3688" s="2"/>
      <c r="G3688" s="13">
        <f>IF($B3688="IN",$D3688,0)</f>
      </c>
      <c r="H3688" s="13">
        <f>IF($B3688="OUT",$D3688,0)</f>
      </c>
    </row>
    <row x14ac:dyDescent="0.25" r="3689" customHeight="1" ht="17.25">
      <c r="A3689" s="52"/>
      <c r="B3689" s="2"/>
      <c r="C3689" s="2"/>
      <c r="D3689" s="3"/>
      <c r="E3689" s="3"/>
      <c r="F3689" s="2"/>
      <c r="G3689" s="13">
        <f>IF($B3689="IN",$D3689,0)</f>
      </c>
      <c r="H3689" s="13">
        <f>IF($B3689="OUT",$D3689,0)</f>
      </c>
    </row>
    <row x14ac:dyDescent="0.25" r="3690" customHeight="1" ht="17.25">
      <c r="A3690" s="52"/>
      <c r="B3690" s="2"/>
      <c r="C3690" s="2"/>
      <c r="D3690" s="3"/>
      <c r="E3690" s="3"/>
      <c r="F3690" s="2"/>
      <c r="G3690" s="13">
        <f>IF($B3690="IN",$D3690,0)</f>
      </c>
      <c r="H3690" s="13">
        <f>IF($B3690="OUT",$D3690,0)</f>
      </c>
    </row>
    <row x14ac:dyDescent="0.25" r="3691" customHeight="1" ht="17.25">
      <c r="A3691" s="52"/>
      <c r="B3691" s="2"/>
      <c r="C3691" s="2"/>
      <c r="D3691" s="3"/>
      <c r="E3691" s="3"/>
      <c r="F3691" s="2"/>
      <c r="G3691" s="13">
        <f>IF($B3691="IN",$D3691,0)</f>
      </c>
      <c r="H3691" s="13">
        <f>IF($B3691="OUT",$D3691,0)</f>
      </c>
    </row>
    <row x14ac:dyDescent="0.25" r="3692" customHeight="1" ht="17.25">
      <c r="A3692" s="52"/>
      <c r="B3692" s="2"/>
      <c r="C3692" s="2"/>
      <c r="D3692" s="3"/>
      <c r="E3692" s="3"/>
      <c r="F3692" s="2"/>
      <c r="G3692" s="13">
        <f>IF($B3692="IN",$D3692,0)</f>
      </c>
      <c r="H3692" s="13">
        <f>IF($B3692="OUT",$D3692,0)</f>
      </c>
    </row>
    <row x14ac:dyDescent="0.25" r="3693" customHeight="1" ht="17.25">
      <c r="A3693" s="52"/>
      <c r="B3693" s="2"/>
      <c r="C3693" s="2"/>
      <c r="D3693" s="3"/>
      <c r="E3693" s="3"/>
      <c r="F3693" s="2"/>
      <c r="G3693" s="13">
        <f>IF($B3693="IN",$D3693,0)</f>
      </c>
      <c r="H3693" s="13">
        <f>IF($B3693="OUT",$D3693,0)</f>
      </c>
    </row>
    <row x14ac:dyDescent="0.25" r="3694" customHeight="1" ht="17.25">
      <c r="A3694" s="52"/>
      <c r="B3694" s="2"/>
      <c r="C3694" s="2"/>
      <c r="D3694" s="3"/>
      <c r="E3694" s="3"/>
      <c r="F3694" s="2"/>
      <c r="G3694" s="13">
        <f>IF($B3694="IN",$D3694,0)</f>
      </c>
      <c r="H3694" s="13">
        <f>IF($B3694="OUT",$D3694,0)</f>
      </c>
    </row>
    <row x14ac:dyDescent="0.25" r="3695" customHeight="1" ht="17.25">
      <c r="A3695" s="52"/>
      <c r="B3695" s="2"/>
      <c r="C3695" s="2"/>
      <c r="D3695" s="3"/>
      <c r="E3695" s="3"/>
      <c r="F3695" s="2"/>
      <c r="G3695" s="13">
        <f>IF($B3695="IN",$D3695,0)</f>
      </c>
      <c r="H3695" s="13">
        <f>IF($B3695="OUT",$D3695,0)</f>
      </c>
    </row>
    <row x14ac:dyDescent="0.25" r="3696" customHeight="1" ht="17.25">
      <c r="A3696" s="52"/>
      <c r="B3696" s="2"/>
      <c r="C3696" s="2"/>
      <c r="D3696" s="3"/>
      <c r="E3696" s="3"/>
      <c r="F3696" s="2"/>
      <c r="G3696" s="13">
        <f>IF($B3696="IN",$D3696,0)</f>
      </c>
      <c r="H3696" s="13">
        <f>IF($B3696="OUT",$D3696,0)</f>
      </c>
    </row>
    <row x14ac:dyDescent="0.25" r="3697" customHeight="1" ht="17.25">
      <c r="A3697" s="52"/>
      <c r="B3697" s="2"/>
      <c r="C3697" s="2"/>
      <c r="D3697" s="3"/>
      <c r="E3697" s="3"/>
      <c r="F3697" s="2"/>
      <c r="G3697" s="13">
        <f>IF($B3697="IN",$D3697,0)</f>
      </c>
      <c r="H3697" s="13">
        <f>IF($B3697="OUT",$D3697,0)</f>
      </c>
    </row>
    <row x14ac:dyDescent="0.25" r="3698" customHeight="1" ht="17.25">
      <c r="A3698" s="52"/>
      <c r="B3698" s="2"/>
      <c r="C3698" s="2"/>
      <c r="D3698" s="3"/>
      <c r="E3698" s="3"/>
      <c r="F3698" s="2"/>
      <c r="G3698" s="13">
        <f>IF($B3698="IN",$D3698,0)</f>
      </c>
      <c r="H3698" s="13">
        <f>IF($B3698="OUT",$D3698,0)</f>
      </c>
    </row>
    <row x14ac:dyDescent="0.25" r="3699" customHeight="1" ht="17.25">
      <c r="A3699" s="52"/>
      <c r="B3699" s="2"/>
      <c r="C3699" s="2"/>
      <c r="D3699" s="3"/>
      <c r="E3699" s="3"/>
      <c r="F3699" s="2"/>
      <c r="G3699" s="13">
        <f>IF($B3699="IN",$D3699,0)</f>
      </c>
      <c r="H3699" s="13">
        <f>IF($B3699="OUT",$D3699,0)</f>
      </c>
    </row>
    <row x14ac:dyDescent="0.25" r="3700" customHeight="1" ht="17.25">
      <c r="A3700" s="52"/>
      <c r="B3700" s="2"/>
      <c r="C3700" s="2"/>
      <c r="D3700" s="3"/>
      <c r="E3700" s="3"/>
      <c r="F3700" s="2"/>
      <c r="G3700" s="13">
        <f>IF($B3700="IN",$D3700,0)</f>
      </c>
      <c r="H3700" s="13">
        <f>IF($B3700="OUT",$D3700,0)</f>
      </c>
    </row>
    <row x14ac:dyDescent="0.25" r="3701" customHeight="1" ht="17.25">
      <c r="A3701" s="52"/>
      <c r="B3701" s="2"/>
      <c r="C3701" s="2"/>
      <c r="D3701" s="3"/>
      <c r="E3701" s="3"/>
      <c r="F3701" s="2"/>
      <c r="G3701" s="13">
        <f>IF($B3701="IN",$D3701,0)</f>
      </c>
      <c r="H3701" s="13">
        <f>IF($B3701="OUT",$D3701,0)</f>
      </c>
    </row>
    <row x14ac:dyDescent="0.25" r="3702" customHeight="1" ht="17.25">
      <c r="A3702" s="52"/>
      <c r="B3702" s="2"/>
      <c r="C3702" s="2"/>
      <c r="D3702" s="3"/>
      <c r="E3702" s="3"/>
      <c r="F3702" s="2"/>
      <c r="G3702" s="13">
        <f>IF($B3702="IN",$D3702,0)</f>
      </c>
      <c r="H3702" s="13">
        <f>IF($B3702="OUT",$D3702,0)</f>
      </c>
    </row>
    <row x14ac:dyDescent="0.25" r="3703" customHeight="1" ht="17.25">
      <c r="A3703" s="52"/>
      <c r="B3703" s="2"/>
      <c r="C3703" s="2"/>
      <c r="D3703" s="3"/>
      <c r="E3703" s="3"/>
      <c r="F3703" s="2"/>
      <c r="G3703" s="13">
        <f>IF($B3703="IN",$D3703,0)</f>
      </c>
      <c r="H3703" s="13">
        <f>IF($B3703="OUT",$D3703,0)</f>
      </c>
    </row>
    <row x14ac:dyDescent="0.25" r="3704" customHeight="1" ht="17.25">
      <c r="A3704" s="52"/>
      <c r="B3704" s="2"/>
      <c r="C3704" s="2"/>
      <c r="D3704" s="3"/>
      <c r="E3704" s="3"/>
      <c r="F3704" s="2"/>
      <c r="G3704" s="13">
        <f>IF($B3704="IN",$D3704,0)</f>
      </c>
      <c r="H3704" s="13">
        <f>IF($B3704="OUT",$D3704,0)</f>
      </c>
    </row>
    <row x14ac:dyDescent="0.25" r="3705" customHeight="1" ht="17.25">
      <c r="A3705" s="52"/>
      <c r="B3705" s="2"/>
      <c r="C3705" s="2"/>
      <c r="D3705" s="3"/>
      <c r="E3705" s="3"/>
      <c r="F3705" s="2"/>
      <c r="G3705" s="13">
        <f>IF($B3705="IN",$D3705,0)</f>
      </c>
      <c r="H3705" s="13">
        <f>IF($B3705="OUT",$D3705,0)</f>
      </c>
    </row>
    <row x14ac:dyDescent="0.25" r="3706" customHeight="1" ht="17.25">
      <c r="A3706" s="52"/>
      <c r="B3706" s="2"/>
      <c r="C3706" s="2"/>
      <c r="D3706" s="3"/>
      <c r="E3706" s="3"/>
      <c r="F3706" s="2"/>
      <c r="G3706" s="13">
        <f>IF($B3706="IN",$D3706,0)</f>
      </c>
      <c r="H3706" s="13">
        <f>IF($B3706="OUT",$D3706,0)</f>
      </c>
    </row>
    <row x14ac:dyDescent="0.25" r="3707" customHeight="1" ht="17.25">
      <c r="A3707" s="52"/>
      <c r="B3707" s="2"/>
      <c r="C3707" s="2"/>
      <c r="D3707" s="3"/>
      <c r="E3707" s="3"/>
      <c r="F3707" s="2"/>
      <c r="G3707" s="13">
        <f>IF($B3707="IN",$D3707,0)</f>
      </c>
      <c r="H3707" s="13">
        <f>IF($B3707="OUT",$D3707,0)</f>
      </c>
    </row>
    <row x14ac:dyDescent="0.25" r="3708" customHeight="1" ht="17.25">
      <c r="A3708" s="52"/>
      <c r="B3708" s="2"/>
      <c r="C3708" s="2"/>
      <c r="D3708" s="3"/>
      <c r="E3708" s="3"/>
      <c r="F3708" s="2"/>
      <c r="G3708" s="13">
        <f>IF($B3708="IN",$D3708,0)</f>
      </c>
      <c r="H3708" s="13">
        <f>IF($B3708="OUT",$D3708,0)</f>
      </c>
    </row>
    <row x14ac:dyDescent="0.25" r="3709" customHeight="1" ht="17.25">
      <c r="A3709" s="52"/>
      <c r="B3709" s="2"/>
      <c r="C3709" s="2"/>
      <c r="D3709" s="3"/>
      <c r="E3709" s="3"/>
      <c r="F3709" s="2"/>
      <c r="G3709" s="13">
        <f>IF($B3709="IN",$D3709,0)</f>
      </c>
      <c r="H3709" s="13">
        <f>IF($B3709="OUT",$D3709,0)</f>
      </c>
    </row>
    <row x14ac:dyDescent="0.25" r="3710" customHeight="1" ht="17.25">
      <c r="A3710" s="52"/>
      <c r="B3710" s="2"/>
      <c r="C3710" s="2"/>
      <c r="D3710" s="3"/>
      <c r="E3710" s="3"/>
      <c r="F3710" s="2"/>
      <c r="G3710" s="13">
        <f>IF($B3710="IN",$D3710,0)</f>
      </c>
      <c r="H3710" s="13">
        <f>IF($B3710="OUT",$D3710,0)</f>
      </c>
    </row>
    <row x14ac:dyDescent="0.25" r="3711" customHeight="1" ht="17.25">
      <c r="A3711" s="52"/>
      <c r="B3711" s="2"/>
      <c r="C3711" s="2"/>
      <c r="D3711" s="3"/>
      <c r="E3711" s="3"/>
      <c r="F3711" s="2"/>
      <c r="G3711" s="13">
        <f>IF($B3711="IN",$D3711,0)</f>
      </c>
      <c r="H3711" s="13">
        <f>IF($B3711="OUT",$D3711,0)</f>
      </c>
    </row>
    <row x14ac:dyDescent="0.25" r="3712" customHeight="1" ht="17.25">
      <c r="A3712" s="52"/>
      <c r="B3712" s="2"/>
      <c r="C3712" s="2"/>
      <c r="D3712" s="3"/>
      <c r="E3712" s="3"/>
      <c r="F3712" s="2"/>
      <c r="G3712" s="13">
        <f>IF($B3712="IN",$D3712,0)</f>
      </c>
      <c r="H3712" s="13">
        <f>IF($B3712="OUT",$D3712,0)</f>
      </c>
    </row>
    <row x14ac:dyDescent="0.25" r="3713" customHeight="1" ht="17.25">
      <c r="A3713" s="52"/>
      <c r="B3713" s="2"/>
      <c r="C3713" s="2"/>
      <c r="D3713" s="3"/>
      <c r="E3713" s="3"/>
      <c r="F3713" s="2"/>
      <c r="G3713" s="13">
        <f>IF($B3713="IN",$D3713,0)</f>
      </c>
      <c r="H3713" s="13">
        <f>IF($B3713="OUT",$D3713,0)</f>
      </c>
    </row>
    <row x14ac:dyDescent="0.25" r="3714" customHeight="1" ht="17.25">
      <c r="A3714" s="52"/>
      <c r="B3714" s="2"/>
      <c r="C3714" s="2"/>
      <c r="D3714" s="3"/>
      <c r="E3714" s="3"/>
      <c r="F3714" s="2"/>
      <c r="G3714" s="13">
        <f>IF($B3714="IN",$D3714,0)</f>
      </c>
      <c r="H3714" s="13">
        <f>IF($B3714="OUT",$D3714,0)</f>
      </c>
    </row>
    <row x14ac:dyDescent="0.25" r="3715" customHeight="1" ht="17.25">
      <c r="A3715" s="52"/>
      <c r="B3715" s="2"/>
      <c r="C3715" s="2"/>
      <c r="D3715" s="3"/>
      <c r="E3715" s="3"/>
      <c r="F3715" s="2"/>
      <c r="G3715" s="13">
        <f>IF($B3715="IN",$D3715,0)</f>
      </c>
      <c r="H3715" s="13">
        <f>IF($B3715="OUT",$D3715,0)</f>
      </c>
    </row>
    <row x14ac:dyDescent="0.25" r="3716" customHeight="1" ht="17.25">
      <c r="A3716" s="52"/>
      <c r="B3716" s="2"/>
      <c r="C3716" s="2"/>
      <c r="D3716" s="3"/>
      <c r="E3716" s="3"/>
      <c r="F3716" s="2"/>
      <c r="G3716" s="13">
        <f>IF($B3716="IN",$D3716,0)</f>
      </c>
      <c r="H3716" s="13">
        <f>IF($B3716="OUT",$D3716,0)</f>
      </c>
    </row>
    <row x14ac:dyDescent="0.25" r="3717" customHeight="1" ht="17.25">
      <c r="A3717" s="52"/>
      <c r="B3717" s="2"/>
      <c r="C3717" s="2"/>
      <c r="D3717" s="3"/>
      <c r="E3717" s="3"/>
      <c r="F3717" s="2"/>
      <c r="G3717" s="13">
        <f>IF($B3717="IN",$D3717,0)</f>
      </c>
      <c r="H3717" s="13">
        <f>IF($B3717="OUT",$D3717,0)</f>
      </c>
    </row>
    <row x14ac:dyDescent="0.25" r="3718" customHeight="1" ht="17.25">
      <c r="A3718" s="52"/>
      <c r="B3718" s="2"/>
      <c r="C3718" s="2"/>
      <c r="D3718" s="3"/>
      <c r="E3718" s="3"/>
      <c r="F3718" s="2"/>
      <c r="G3718" s="13">
        <f>IF($B3718="IN",$D3718,0)</f>
      </c>
      <c r="H3718" s="13">
        <f>IF($B3718="OUT",$D3718,0)</f>
      </c>
    </row>
    <row x14ac:dyDescent="0.25" r="3719" customHeight="1" ht="17.25">
      <c r="A3719" s="52"/>
      <c r="B3719" s="2"/>
      <c r="C3719" s="2"/>
      <c r="D3719" s="3"/>
      <c r="E3719" s="3"/>
      <c r="F3719" s="2"/>
      <c r="G3719" s="13">
        <f>IF($B3719="IN",$D3719,0)</f>
      </c>
      <c r="H3719" s="13">
        <f>IF($B3719="OUT",$D3719,0)</f>
      </c>
    </row>
    <row x14ac:dyDescent="0.25" r="3720" customHeight="1" ht="17.25">
      <c r="A3720" s="52"/>
      <c r="B3720" s="2"/>
      <c r="C3720" s="2"/>
      <c r="D3720" s="3"/>
      <c r="E3720" s="3"/>
      <c r="F3720" s="2"/>
      <c r="G3720" s="13">
        <f>IF($B3720="IN",$D3720,0)</f>
      </c>
      <c r="H3720" s="13">
        <f>IF($B3720="OUT",$D3720,0)</f>
      </c>
    </row>
    <row x14ac:dyDescent="0.25" r="3721" customHeight="1" ht="17.25">
      <c r="A3721" s="52"/>
      <c r="B3721" s="2"/>
      <c r="C3721" s="2"/>
      <c r="D3721" s="3"/>
      <c r="E3721" s="3"/>
      <c r="F3721" s="2"/>
      <c r="G3721" s="13">
        <f>IF($B3721="IN",$D3721,0)</f>
      </c>
      <c r="H3721" s="13">
        <f>IF($B3721="OUT",$D3721,0)</f>
      </c>
    </row>
    <row x14ac:dyDescent="0.25" r="3722" customHeight="1" ht="17.25">
      <c r="A3722" s="52"/>
      <c r="B3722" s="2"/>
      <c r="C3722" s="2"/>
      <c r="D3722" s="3"/>
      <c r="E3722" s="3"/>
      <c r="F3722" s="2"/>
      <c r="G3722" s="13">
        <f>IF($B3722="IN",$D3722,0)</f>
      </c>
      <c r="H3722" s="13">
        <f>IF($B3722="OUT",$D3722,0)</f>
      </c>
    </row>
    <row x14ac:dyDescent="0.25" r="3723" customHeight="1" ht="17.25">
      <c r="A3723" s="52"/>
      <c r="B3723" s="2"/>
      <c r="C3723" s="2"/>
      <c r="D3723" s="3"/>
      <c r="E3723" s="3"/>
      <c r="F3723" s="2"/>
      <c r="G3723" s="13">
        <f>IF($B3723="IN",$D3723,0)</f>
      </c>
      <c r="H3723" s="13">
        <f>IF($B3723="OUT",$D3723,0)</f>
      </c>
    </row>
    <row x14ac:dyDescent="0.25" r="3724" customHeight="1" ht="17.25">
      <c r="A3724" s="52"/>
      <c r="B3724" s="2"/>
      <c r="C3724" s="2"/>
      <c r="D3724" s="3"/>
      <c r="E3724" s="3"/>
      <c r="F3724" s="2"/>
      <c r="G3724" s="13">
        <f>IF($B3724="IN",$D3724,0)</f>
      </c>
      <c r="H3724" s="13">
        <f>IF($B3724="OUT",$D3724,0)</f>
      </c>
    </row>
    <row x14ac:dyDescent="0.25" r="3725" customHeight="1" ht="17.25">
      <c r="A3725" s="52"/>
      <c r="B3725" s="2"/>
      <c r="C3725" s="2"/>
      <c r="D3725" s="3"/>
      <c r="E3725" s="3"/>
      <c r="F3725" s="2"/>
      <c r="G3725" s="13">
        <f>IF($B3725="IN",$D3725,0)</f>
      </c>
      <c r="H3725" s="13">
        <f>IF($B3725="OUT",$D3725,0)</f>
      </c>
    </row>
    <row x14ac:dyDescent="0.25" r="3726" customHeight="1" ht="17.25">
      <c r="A3726" s="52"/>
      <c r="B3726" s="2"/>
      <c r="C3726" s="2"/>
      <c r="D3726" s="3"/>
      <c r="E3726" s="3"/>
      <c r="F3726" s="2"/>
      <c r="G3726" s="13">
        <f>IF($B3726="IN",$D3726,0)</f>
      </c>
      <c r="H3726" s="13">
        <f>IF($B3726="OUT",$D3726,0)</f>
      </c>
    </row>
    <row x14ac:dyDescent="0.25" r="3727" customHeight="1" ht="17.25">
      <c r="A3727" s="52"/>
      <c r="B3727" s="2"/>
      <c r="C3727" s="2"/>
      <c r="D3727" s="3"/>
      <c r="E3727" s="3"/>
      <c r="F3727" s="2"/>
      <c r="G3727" s="13">
        <f>IF($B3727="IN",$D3727,0)</f>
      </c>
      <c r="H3727" s="13">
        <f>IF($B3727="OUT",$D3727,0)</f>
      </c>
    </row>
    <row x14ac:dyDescent="0.25" r="3728" customHeight="1" ht="17.25">
      <c r="A3728" s="52"/>
      <c r="B3728" s="2"/>
      <c r="C3728" s="2"/>
      <c r="D3728" s="3"/>
      <c r="E3728" s="3"/>
      <c r="F3728" s="2"/>
      <c r="G3728" s="13">
        <f>IF($B3728="IN",$D3728,0)</f>
      </c>
      <c r="H3728" s="13">
        <f>IF($B3728="OUT",$D3728,0)</f>
      </c>
    </row>
    <row x14ac:dyDescent="0.25" r="3729" customHeight="1" ht="17.25">
      <c r="A3729" s="52"/>
      <c r="B3729" s="2"/>
      <c r="C3729" s="2"/>
      <c r="D3729" s="3"/>
      <c r="E3729" s="3"/>
      <c r="F3729" s="2"/>
      <c r="G3729" s="13">
        <f>IF($B3729="IN",$D3729,0)</f>
      </c>
      <c r="H3729" s="13">
        <f>IF($B3729="OUT",$D3729,0)</f>
      </c>
    </row>
    <row x14ac:dyDescent="0.25" r="3730" customHeight="1" ht="17.25">
      <c r="A3730" s="52"/>
      <c r="B3730" s="2"/>
      <c r="C3730" s="2"/>
      <c r="D3730" s="3"/>
      <c r="E3730" s="3"/>
      <c r="F3730" s="2"/>
      <c r="G3730" s="13">
        <f>IF($B3730="IN",$D3730,0)</f>
      </c>
      <c r="H3730" s="13">
        <f>IF($B3730="OUT",$D3730,0)</f>
      </c>
    </row>
    <row x14ac:dyDescent="0.25" r="3731" customHeight="1" ht="17.25">
      <c r="A3731" s="52"/>
      <c r="B3731" s="2"/>
      <c r="C3731" s="2"/>
      <c r="D3731" s="3"/>
      <c r="E3731" s="3"/>
      <c r="F3731" s="2"/>
      <c r="G3731" s="13">
        <f>IF($B3731="IN",$D3731,0)</f>
      </c>
      <c r="H3731" s="13">
        <f>IF($B3731="OUT",$D3731,0)</f>
      </c>
    </row>
    <row x14ac:dyDescent="0.25" r="3732" customHeight="1" ht="17.25">
      <c r="A3732" s="52"/>
      <c r="B3732" s="2"/>
      <c r="C3732" s="2"/>
      <c r="D3732" s="3"/>
      <c r="E3732" s="3"/>
      <c r="F3732" s="2"/>
      <c r="G3732" s="13">
        <f>IF($B3732="IN",$D3732,0)</f>
      </c>
      <c r="H3732" s="13">
        <f>IF($B3732="OUT",$D3732,0)</f>
      </c>
    </row>
    <row x14ac:dyDescent="0.25" r="3733" customHeight="1" ht="17.25">
      <c r="A3733" s="52"/>
      <c r="B3733" s="2"/>
      <c r="C3733" s="2"/>
      <c r="D3733" s="3"/>
      <c r="E3733" s="3"/>
      <c r="F3733" s="2"/>
      <c r="G3733" s="13">
        <f>IF($B3733="IN",$D3733,0)</f>
      </c>
      <c r="H3733" s="13">
        <f>IF($B3733="OUT",$D3733,0)</f>
      </c>
    </row>
    <row x14ac:dyDescent="0.25" r="3734" customHeight="1" ht="17.25">
      <c r="A3734" s="52"/>
      <c r="B3734" s="2"/>
      <c r="C3734" s="2"/>
      <c r="D3734" s="3"/>
      <c r="E3734" s="3"/>
      <c r="F3734" s="2"/>
      <c r="G3734" s="13">
        <f>IF($B3734="IN",$D3734,0)</f>
      </c>
      <c r="H3734" s="13">
        <f>IF($B3734="OUT",$D3734,0)</f>
      </c>
    </row>
    <row x14ac:dyDescent="0.25" r="3735" customHeight="1" ht="17.25">
      <c r="A3735" s="52"/>
      <c r="B3735" s="2"/>
      <c r="C3735" s="2"/>
      <c r="D3735" s="3"/>
      <c r="E3735" s="3"/>
      <c r="F3735" s="2"/>
      <c r="G3735" s="13">
        <f>IF($B3735="IN",$D3735,0)</f>
      </c>
      <c r="H3735" s="13">
        <f>IF($B3735="OUT",$D3735,0)</f>
      </c>
    </row>
    <row x14ac:dyDescent="0.25" r="3736" customHeight="1" ht="17.25">
      <c r="A3736" s="52"/>
      <c r="B3736" s="2"/>
      <c r="C3736" s="2"/>
      <c r="D3736" s="3"/>
      <c r="E3736" s="3"/>
      <c r="F3736" s="2"/>
      <c r="G3736" s="13">
        <f>IF($B3736="IN",$D3736,0)</f>
      </c>
      <c r="H3736" s="13">
        <f>IF($B3736="OUT",$D3736,0)</f>
      </c>
    </row>
    <row x14ac:dyDescent="0.25" r="3737" customHeight="1" ht="17.25">
      <c r="A3737" s="52"/>
      <c r="B3737" s="2"/>
      <c r="C3737" s="2"/>
      <c r="D3737" s="3"/>
      <c r="E3737" s="3"/>
      <c r="F3737" s="2"/>
      <c r="G3737" s="13">
        <f>IF($B3737="IN",$D3737,0)</f>
      </c>
      <c r="H3737" s="13">
        <f>IF($B3737="OUT",$D3737,0)</f>
      </c>
    </row>
    <row x14ac:dyDescent="0.25" r="3738" customHeight="1" ht="17.25">
      <c r="A3738" s="52"/>
      <c r="B3738" s="2"/>
      <c r="C3738" s="2"/>
      <c r="D3738" s="3"/>
      <c r="E3738" s="3"/>
      <c r="F3738" s="2"/>
      <c r="G3738" s="13">
        <f>IF($B3738="IN",$D3738,0)</f>
      </c>
      <c r="H3738" s="13">
        <f>IF($B3738="OUT",$D3738,0)</f>
      </c>
    </row>
    <row x14ac:dyDescent="0.25" r="3739" customHeight="1" ht="17.25">
      <c r="A3739" s="52"/>
      <c r="B3739" s="2"/>
      <c r="C3739" s="2"/>
      <c r="D3739" s="3"/>
      <c r="E3739" s="3"/>
      <c r="F3739" s="2"/>
      <c r="G3739" s="13">
        <f>IF($B3739="IN",$D3739,0)</f>
      </c>
      <c r="H3739" s="13">
        <f>IF($B3739="OUT",$D3739,0)</f>
      </c>
    </row>
    <row x14ac:dyDescent="0.25" r="3740" customHeight="1" ht="17.25">
      <c r="A3740" s="52"/>
      <c r="B3740" s="2"/>
      <c r="C3740" s="2"/>
      <c r="D3740" s="3"/>
      <c r="E3740" s="3"/>
      <c r="F3740" s="2"/>
      <c r="G3740" s="13">
        <f>IF($B3740="IN",$D3740,0)</f>
      </c>
      <c r="H3740" s="13">
        <f>IF($B3740="OUT",$D3740,0)</f>
      </c>
    </row>
    <row x14ac:dyDescent="0.25" r="3741" customHeight="1" ht="17.25">
      <c r="A3741" s="52"/>
      <c r="B3741" s="2"/>
      <c r="C3741" s="2"/>
      <c r="D3741" s="3"/>
      <c r="E3741" s="3"/>
      <c r="F3741" s="2"/>
      <c r="G3741" s="13">
        <f>IF($B3741="IN",$D3741,0)</f>
      </c>
      <c r="H3741" s="13">
        <f>IF($B3741="OUT",$D3741,0)</f>
      </c>
    </row>
    <row x14ac:dyDescent="0.25" r="3742" customHeight="1" ht="17.25">
      <c r="A3742" s="52"/>
      <c r="B3742" s="2"/>
      <c r="C3742" s="2"/>
      <c r="D3742" s="3"/>
      <c r="E3742" s="3"/>
      <c r="F3742" s="2"/>
      <c r="G3742" s="13">
        <f>IF($B3742="IN",$D3742,0)</f>
      </c>
      <c r="H3742" s="13">
        <f>IF($B3742="OUT",$D3742,0)</f>
      </c>
    </row>
    <row x14ac:dyDescent="0.25" r="3743" customHeight="1" ht="17.25">
      <c r="A3743" s="52"/>
      <c r="B3743" s="2"/>
      <c r="C3743" s="2"/>
      <c r="D3743" s="3"/>
      <c r="E3743" s="3"/>
      <c r="F3743" s="2"/>
      <c r="G3743" s="13">
        <f>IF($B3743="IN",$D3743,0)</f>
      </c>
      <c r="H3743" s="13">
        <f>IF($B3743="OUT",$D3743,0)</f>
      </c>
    </row>
    <row x14ac:dyDescent="0.25" r="3744" customHeight="1" ht="17.25">
      <c r="A3744" s="52"/>
      <c r="B3744" s="2"/>
      <c r="C3744" s="2"/>
      <c r="D3744" s="3"/>
      <c r="E3744" s="3"/>
      <c r="F3744" s="2"/>
      <c r="G3744" s="13">
        <f>IF($B3744="IN",$D3744,0)</f>
      </c>
      <c r="H3744" s="13">
        <f>IF($B3744="OUT",$D3744,0)</f>
      </c>
    </row>
    <row x14ac:dyDescent="0.25" r="3745" customHeight="1" ht="17.25">
      <c r="A3745" s="52"/>
      <c r="B3745" s="2"/>
      <c r="C3745" s="2"/>
      <c r="D3745" s="3"/>
      <c r="E3745" s="3"/>
      <c r="F3745" s="2"/>
      <c r="G3745" s="13">
        <f>IF($B3745="IN",$D3745,0)</f>
      </c>
      <c r="H3745" s="13">
        <f>IF($B3745="OUT",$D3745,0)</f>
      </c>
    </row>
    <row x14ac:dyDescent="0.25" r="3746" customHeight="1" ht="17.25">
      <c r="A3746" s="52"/>
      <c r="B3746" s="2"/>
      <c r="C3746" s="2"/>
      <c r="D3746" s="3"/>
      <c r="E3746" s="3"/>
      <c r="F3746" s="2"/>
      <c r="G3746" s="13">
        <f>IF($B3746="IN",$D3746,0)</f>
      </c>
      <c r="H3746" s="13">
        <f>IF($B3746="OUT",$D3746,0)</f>
      </c>
    </row>
    <row x14ac:dyDescent="0.25" r="3747" customHeight="1" ht="17.25">
      <c r="A3747" s="52"/>
      <c r="B3747" s="2"/>
      <c r="C3747" s="2"/>
      <c r="D3747" s="3"/>
      <c r="E3747" s="3"/>
      <c r="F3747" s="2"/>
      <c r="G3747" s="13">
        <f>IF($B3747="IN",$D3747,0)</f>
      </c>
      <c r="H3747" s="13">
        <f>IF($B3747="OUT",$D3747,0)</f>
      </c>
    </row>
    <row x14ac:dyDescent="0.25" r="3748" customHeight="1" ht="17.25">
      <c r="A3748" s="52"/>
      <c r="B3748" s="2"/>
      <c r="C3748" s="2"/>
      <c r="D3748" s="3"/>
      <c r="E3748" s="3"/>
      <c r="F3748" s="2"/>
      <c r="G3748" s="13">
        <f>IF($B3748="IN",$D3748,0)</f>
      </c>
      <c r="H3748" s="13">
        <f>IF($B3748="OUT",$D3748,0)</f>
      </c>
    </row>
    <row x14ac:dyDescent="0.25" r="3749" customHeight="1" ht="17.25">
      <c r="A3749" s="52"/>
      <c r="B3749" s="2"/>
      <c r="C3749" s="2"/>
      <c r="D3749" s="3"/>
      <c r="E3749" s="3"/>
      <c r="F3749" s="2"/>
      <c r="G3749" s="13">
        <f>IF($B3749="IN",$D3749,0)</f>
      </c>
      <c r="H3749" s="13">
        <f>IF($B3749="OUT",$D3749,0)</f>
      </c>
    </row>
    <row x14ac:dyDescent="0.25" r="3750" customHeight="1" ht="17.25">
      <c r="A3750" s="52"/>
      <c r="B3750" s="2"/>
      <c r="C3750" s="2"/>
      <c r="D3750" s="3"/>
      <c r="E3750" s="3"/>
      <c r="F3750" s="2"/>
      <c r="G3750" s="13">
        <f>IF($B3750="IN",$D3750,0)</f>
      </c>
      <c r="H3750" s="13">
        <f>IF($B3750="OUT",$D3750,0)</f>
      </c>
    </row>
    <row x14ac:dyDescent="0.25" r="3751" customHeight="1" ht="17.25">
      <c r="A3751" s="52"/>
      <c r="B3751" s="2"/>
      <c r="C3751" s="2"/>
      <c r="D3751" s="3"/>
      <c r="E3751" s="3"/>
      <c r="F3751" s="2"/>
      <c r="G3751" s="13">
        <f>IF($B3751="IN",$D3751,0)</f>
      </c>
      <c r="H3751" s="13">
        <f>IF($B3751="OUT",$D3751,0)</f>
      </c>
    </row>
    <row x14ac:dyDescent="0.25" r="3752" customHeight="1" ht="17.25">
      <c r="A3752" s="52"/>
      <c r="B3752" s="2"/>
      <c r="C3752" s="2"/>
      <c r="D3752" s="3"/>
      <c r="E3752" s="3"/>
      <c r="F3752" s="2"/>
      <c r="G3752" s="13">
        <f>IF($B3752="IN",$D3752,0)</f>
      </c>
      <c r="H3752" s="13">
        <f>IF($B3752="OUT",$D3752,0)</f>
      </c>
    </row>
    <row x14ac:dyDescent="0.25" r="3753" customHeight="1" ht="17.25">
      <c r="A3753" s="52"/>
      <c r="B3753" s="2"/>
      <c r="C3753" s="2"/>
      <c r="D3753" s="3"/>
      <c r="E3753" s="3"/>
      <c r="F3753" s="2"/>
      <c r="G3753" s="13">
        <f>IF($B3753="IN",$D3753,0)</f>
      </c>
      <c r="H3753" s="13">
        <f>IF($B3753="OUT",$D3753,0)</f>
      </c>
    </row>
    <row x14ac:dyDescent="0.25" r="3754" customHeight="1" ht="17.25">
      <c r="A3754" s="52"/>
      <c r="B3754" s="2"/>
      <c r="C3754" s="2"/>
      <c r="D3754" s="3"/>
      <c r="E3754" s="3"/>
      <c r="F3754" s="2"/>
      <c r="G3754" s="13">
        <f>IF($B3754="IN",$D3754,0)</f>
      </c>
      <c r="H3754" s="13">
        <f>IF($B3754="OUT",$D3754,0)</f>
      </c>
    </row>
    <row x14ac:dyDescent="0.25" r="3755" customHeight="1" ht="17.25">
      <c r="A3755" s="52"/>
      <c r="B3755" s="2"/>
      <c r="C3755" s="2"/>
      <c r="D3755" s="3"/>
      <c r="E3755" s="3"/>
      <c r="F3755" s="2"/>
      <c r="G3755" s="13">
        <f>IF($B3755="IN",$D3755,0)</f>
      </c>
      <c r="H3755" s="13">
        <f>IF($B3755="OUT",$D3755,0)</f>
      </c>
    </row>
    <row x14ac:dyDescent="0.25" r="3756" customHeight="1" ht="17.25">
      <c r="A3756" s="52"/>
      <c r="B3756" s="2"/>
      <c r="C3756" s="2"/>
      <c r="D3756" s="3"/>
      <c r="E3756" s="3"/>
      <c r="F3756" s="2"/>
      <c r="G3756" s="13">
        <f>IF($B3756="IN",$D3756,0)</f>
      </c>
      <c r="H3756" s="13">
        <f>IF($B3756="OUT",$D3756,0)</f>
      </c>
    </row>
    <row x14ac:dyDescent="0.25" r="3757" customHeight="1" ht="17.25">
      <c r="A3757" s="52"/>
      <c r="B3757" s="2"/>
      <c r="C3757" s="2"/>
      <c r="D3757" s="3"/>
      <c r="E3757" s="3"/>
      <c r="F3757" s="2"/>
      <c r="G3757" s="13">
        <f>IF($B3757="IN",$D3757,0)</f>
      </c>
      <c r="H3757" s="13">
        <f>IF($B3757="OUT",$D3757,0)</f>
      </c>
    </row>
    <row x14ac:dyDescent="0.25" r="3758" customHeight="1" ht="17.25">
      <c r="A3758" s="52"/>
      <c r="B3758" s="2"/>
      <c r="C3758" s="2"/>
      <c r="D3758" s="3"/>
      <c r="E3758" s="3"/>
      <c r="F3758" s="2"/>
      <c r="G3758" s="13">
        <f>IF($B3758="IN",$D3758,0)</f>
      </c>
      <c r="H3758" s="13">
        <f>IF($B3758="OUT",$D3758,0)</f>
      </c>
    </row>
    <row x14ac:dyDescent="0.25" r="3759" customHeight="1" ht="17.25">
      <c r="A3759" s="52"/>
      <c r="B3759" s="2"/>
      <c r="C3759" s="2"/>
      <c r="D3759" s="3"/>
      <c r="E3759" s="3"/>
      <c r="F3759" s="2"/>
      <c r="G3759" s="13">
        <f>IF($B3759="IN",$D3759,0)</f>
      </c>
      <c r="H3759" s="13">
        <f>IF($B3759="OUT",$D3759,0)</f>
      </c>
    </row>
    <row x14ac:dyDescent="0.25" r="3760" customHeight="1" ht="17.25">
      <c r="A3760" s="52"/>
      <c r="B3760" s="2"/>
      <c r="C3760" s="2"/>
      <c r="D3760" s="3"/>
      <c r="E3760" s="3"/>
      <c r="F3760" s="2"/>
      <c r="G3760" s="13">
        <f>IF($B3760="IN",$D3760,0)</f>
      </c>
      <c r="H3760" s="13">
        <f>IF($B3760="OUT",$D3760,0)</f>
      </c>
    </row>
    <row x14ac:dyDescent="0.25" r="3761" customHeight="1" ht="17.25">
      <c r="A3761" s="52"/>
      <c r="B3761" s="2"/>
      <c r="C3761" s="2"/>
      <c r="D3761" s="3"/>
      <c r="E3761" s="3"/>
      <c r="F3761" s="2"/>
      <c r="G3761" s="13">
        <f>IF($B3761="IN",$D3761,0)</f>
      </c>
      <c r="H3761" s="13">
        <f>IF($B3761="OUT",$D3761,0)</f>
      </c>
    </row>
    <row x14ac:dyDescent="0.25" r="3762" customHeight="1" ht="17.25">
      <c r="A3762" s="52"/>
      <c r="B3762" s="2"/>
      <c r="C3762" s="2"/>
      <c r="D3762" s="3"/>
      <c r="E3762" s="3"/>
      <c r="F3762" s="2"/>
      <c r="G3762" s="13">
        <f>IF($B3762="IN",$D3762,0)</f>
      </c>
      <c r="H3762" s="13">
        <f>IF($B3762="OUT",$D3762,0)</f>
      </c>
    </row>
    <row x14ac:dyDescent="0.25" r="3763" customHeight="1" ht="17.25">
      <c r="A3763" s="52"/>
      <c r="B3763" s="2"/>
      <c r="C3763" s="2"/>
      <c r="D3763" s="3"/>
      <c r="E3763" s="3"/>
      <c r="F3763" s="2"/>
      <c r="G3763" s="13">
        <f>IF($B3763="IN",$D3763,0)</f>
      </c>
      <c r="H3763" s="13">
        <f>IF($B3763="OUT",$D3763,0)</f>
      </c>
    </row>
    <row x14ac:dyDescent="0.25" r="3764" customHeight="1" ht="17.25">
      <c r="A3764" s="52"/>
      <c r="B3764" s="2"/>
      <c r="C3764" s="2"/>
      <c r="D3764" s="3"/>
      <c r="E3764" s="3"/>
      <c r="F3764" s="2"/>
      <c r="G3764" s="13">
        <f>IF($B3764="IN",$D3764,0)</f>
      </c>
      <c r="H3764" s="13">
        <f>IF($B3764="OUT",$D3764,0)</f>
      </c>
    </row>
    <row x14ac:dyDescent="0.25" r="3765" customHeight="1" ht="17.25">
      <c r="A3765" s="52"/>
      <c r="B3765" s="2"/>
      <c r="C3765" s="2"/>
      <c r="D3765" s="3"/>
      <c r="E3765" s="3"/>
      <c r="F3765" s="2"/>
      <c r="G3765" s="13">
        <f>IF($B3765="IN",$D3765,0)</f>
      </c>
      <c r="H3765" s="13">
        <f>IF($B3765="OUT",$D3765,0)</f>
      </c>
    </row>
    <row x14ac:dyDescent="0.25" r="3766" customHeight="1" ht="17.25">
      <c r="A3766" s="52"/>
      <c r="B3766" s="2"/>
      <c r="C3766" s="2"/>
      <c r="D3766" s="3"/>
      <c r="E3766" s="3"/>
      <c r="F3766" s="2"/>
      <c r="G3766" s="13">
        <f>IF($B3766="IN",$D3766,0)</f>
      </c>
      <c r="H3766" s="13">
        <f>IF($B3766="OUT",$D3766,0)</f>
      </c>
    </row>
    <row x14ac:dyDescent="0.25" r="3767" customHeight="1" ht="17.25">
      <c r="A3767" s="52"/>
      <c r="B3767" s="2"/>
      <c r="C3767" s="2"/>
      <c r="D3767" s="3"/>
      <c r="E3767" s="3"/>
      <c r="F3767" s="2"/>
      <c r="G3767" s="13">
        <f>IF($B3767="IN",$D3767,0)</f>
      </c>
      <c r="H3767" s="13">
        <f>IF($B3767="OUT",$D3767,0)</f>
      </c>
    </row>
    <row x14ac:dyDescent="0.25" r="3768" customHeight="1" ht="17.25">
      <c r="A3768" s="52"/>
      <c r="B3768" s="2"/>
      <c r="C3768" s="2"/>
      <c r="D3768" s="3"/>
      <c r="E3768" s="3"/>
      <c r="F3768" s="2"/>
      <c r="G3768" s="13">
        <f>IF($B3768="IN",$D3768,0)</f>
      </c>
      <c r="H3768" s="13">
        <f>IF($B3768="OUT",$D3768,0)</f>
      </c>
    </row>
    <row x14ac:dyDescent="0.25" r="3769" customHeight="1" ht="17.25">
      <c r="A3769" s="52"/>
      <c r="B3769" s="2"/>
      <c r="C3769" s="2"/>
      <c r="D3769" s="3"/>
      <c r="E3769" s="3"/>
      <c r="F3769" s="2"/>
      <c r="G3769" s="13">
        <f>IF($B3769="IN",$D3769,0)</f>
      </c>
      <c r="H3769" s="13">
        <f>IF($B3769="OUT",$D3769,0)</f>
      </c>
    </row>
    <row x14ac:dyDescent="0.25" r="3770" customHeight="1" ht="17.25">
      <c r="A3770" s="52"/>
      <c r="B3770" s="2"/>
      <c r="C3770" s="2"/>
      <c r="D3770" s="3"/>
      <c r="E3770" s="3"/>
      <c r="F3770" s="2"/>
      <c r="G3770" s="13">
        <f>IF($B3770="IN",$D3770,0)</f>
      </c>
      <c r="H3770" s="13">
        <f>IF($B3770="OUT",$D3770,0)</f>
      </c>
    </row>
    <row x14ac:dyDescent="0.25" r="3771" customHeight="1" ht="17.25">
      <c r="A3771" s="52"/>
      <c r="B3771" s="2"/>
      <c r="C3771" s="2"/>
      <c r="D3771" s="3"/>
      <c r="E3771" s="3"/>
      <c r="F3771" s="2"/>
      <c r="G3771" s="13">
        <f>IF($B3771="IN",$D3771,0)</f>
      </c>
      <c r="H3771" s="13">
        <f>IF($B3771="OUT",$D3771,0)</f>
      </c>
    </row>
    <row x14ac:dyDescent="0.25" r="3772" customHeight="1" ht="17.25">
      <c r="A3772" s="52"/>
      <c r="B3772" s="2"/>
      <c r="C3772" s="2"/>
      <c r="D3772" s="3"/>
      <c r="E3772" s="3"/>
      <c r="F3772" s="2"/>
      <c r="G3772" s="13">
        <f>IF($B3772="IN",$D3772,0)</f>
      </c>
      <c r="H3772" s="13">
        <f>IF($B3772="OUT",$D3772,0)</f>
      </c>
    </row>
    <row x14ac:dyDescent="0.25" r="3773" customHeight="1" ht="17.25">
      <c r="A3773" s="52"/>
      <c r="B3773" s="2"/>
      <c r="C3773" s="2"/>
      <c r="D3773" s="3"/>
      <c r="E3773" s="3"/>
      <c r="F3773" s="2"/>
      <c r="G3773" s="13">
        <f>IF($B3773="IN",$D3773,0)</f>
      </c>
      <c r="H3773" s="13">
        <f>IF($B3773="OUT",$D3773,0)</f>
      </c>
    </row>
    <row x14ac:dyDescent="0.25" r="3774" customHeight="1" ht="17.25">
      <c r="A3774" s="52"/>
      <c r="B3774" s="2"/>
      <c r="C3774" s="2"/>
      <c r="D3774" s="3"/>
      <c r="E3774" s="3"/>
      <c r="F3774" s="2"/>
      <c r="G3774" s="13">
        <f>IF($B3774="IN",$D3774,0)</f>
      </c>
      <c r="H3774" s="13">
        <f>IF($B3774="OUT",$D3774,0)</f>
      </c>
    </row>
    <row x14ac:dyDescent="0.25" r="3775" customHeight="1" ht="17.25">
      <c r="A3775" s="52"/>
      <c r="B3775" s="2"/>
      <c r="C3775" s="2"/>
      <c r="D3775" s="3"/>
      <c r="E3775" s="3"/>
      <c r="F3775" s="2"/>
      <c r="G3775" s="13">
        <f>IF($B3775="IN",$D3775,0)</f>
      </c>
      <c r="H3775" s="13">
        <f>IF($B3775="OUT",$D3775,0)</f>
      </c>
    </row>
    <row x14ac:dyDescent="0.25" r="3776" customHeight="1" ht="17.25">
      <c r="A3776" s="52"/>
      <c r="B3776" s="2"/>
      <c r="C3776" s="2"/>
      <c r="D3776" s="3"/>
      <c r="E3776" s="3"/>
      <c r="F3776" s="2"/>
      <c r="G3776" s="13">
        <f>IF($B3776="IN",$D3776,0)</f>
      </c>
      <c r="H3776" s="13">
        <f>IF($B3776="OUT",$D3776,0)</f>
      </c>
    </row>
    <row x14ac:dyDescent="0.25" r="3777" customHeight="1" ht="17.25">
      <c r="A3777" s="52"/>
      <c r="B3777" s="2"/>
      <c r="C3777" s="2"/>
      <c r="D3777" s="3"/>
      <c r="E3777" s="3"/>
      <c r="F3777" s="2"/>
      <c r="G3777" s="13">
        <f>IF($B3777="IN",$D3777,0)</f>
      </c>
      <c r="H3777" s="13">
        <f>IF($B3777="OUT",$D3777,0)</f>
      </c>
    </row>
    <row x14ac:dyDescent="0.25" r="3778" customHeight="1" ht="17.25">
      <c r="A3778" s="52"/>
      <c r="B3778" s="2"/>
      <c r="C3778" s="2"/>
      <c r="D3778" s="3"/>
      <c r="E3778" s="3"/>
      <c r="F3778" s="2"/>
      <c r="G3778" s="13">
        <f>IF($B3778="IN",$D3778,0)</f>
      </c>
      <c r="H3778" s="13">
        <f>IF($B3778="OUT",$D3778,0)</f>
      </c>
    </row>
    <row x14ac:dyDescent="0.25" r="3779" customHeight="1" ht="17.25">
      <c r="A3779" s="52"/>
      <c r="B3779" s="2"/>
      <c r="C3779" s="2"/>
      <c r="D3779" s="3"/>
      <c r="E3779" s="3"/>
      <c r="F3779" s="2"/>
      <c r="G3779" s="13">
        <f>IF($B3779="IN",$D3779,0)</f>
      </c>
      <c r="H3779" s="13">
        <f>IF($B3779="OUT",$D3779,0)</f>
      </c>
    </row>
    <row x14ac:dyDescent="0.25" r="3780" customHeight="1" ht="17.25">
      <c r="A3780" s="52"/>
      <c r="B3780" s="2"/>
      <c r="C3780" s="2"/>
      <c r="D3780" s="3"/>
      <c r="E3780" s="3"/>
      <c r="F3780" s="2"/>
      <c r="G3780" s="13">
        <f>IF($B3780="IN",$D3780,0)</f>
      </c>
      <c r="H3780" s="13">
        <f>IF($B3780="OUT",$D3780,0)</f>
      </c>
    </row>
    <row x14ac:dyDescent="0.25" r="3781" customHeight="1" ht="17.25">
      <c r="A3781" s="52"/>
      <c r="B3781" s="2"/>
      <c r="C3781" s="2"/>
      <c r="D3781" s="3"/>
      <c r="E3781" s="3"/>
      <c r="F3781" s="2"/>
      <c r="G3781" s="13">
        <f>IF($B3781="IN",$D3781,0)</f>
      </c>
      <c r="H3781" s="13">
        <f>IF($B3781="OUT",$D3781,0)</f>
      </c>
    </row>
    <row x14ac:dyDescent="0.25" r="3782" customHeight="1" ht="17.25">
      <c r="A3782" s="52"/>
      <c r="B3782" s="2"/>
      <c r="C3782" s="2"/>
      <c r="D3782" s="3"/>
      <c r="E3782" s="3"/>
      <c r="F3782" s="2"/>
      <c r="G3782" s="13">
        <f>IF($B3782="IN",$D3782,0)</f>
      </c>
      <c r="H3782" s="13">
        <f>IF($B3782="OUT",$D3782,0)</f>
      </c>
    </row>
    <row x14ac:dyDescent="0.25" r="3783" customHeight="1" ht="17.25">
      <c r="A3783" s="52"/>
      <c r="B3783" s="2"/>
      <c r="C3783" s="2"/>
      <c r="D3783" s="3"/>
      <c r="E3783" s="3"/>
      <c r="F3783" s="2"/>
      <c r="G3783" s="13">
        <f>IF($B3783="IN",$D3783,0)</f>
      </c>
      <c r="H3783" s="13">
        <f>IF($B3783="OUT",$D3783,0)</f>
      </c>
    </row>
    <row x14ac:dyDescent="0.25" r="3784" customHeight="1" ht="17.25">
      <c r="A3784" s="52"/>
      <c r="B3784" s="2"/>
      <c r="C3784" s="2"/>
      <c r="D3784" s="3"/>
      <c r="E3784" s="3"/>
      <c r="F3784" s="2"/>
      <c r="G3784" s="13">
        <f>IF($B3784="IN",$D3784,0)</f>
      </c>
      <c r="H3784" s="13">
        <f>IF($B3784="OUT",$D3784,0)</f>
      </c>
    </row>
    <row x14ac:dyDescent="0.25" r="3785" customHeight="1" ht="17.25">
      <c r="A3785" s="52"/>
      <c r="B3785" s="2"/>
      <c r="C3785" s="2"/>
      <c r="D3785" s="3"/>
      <c r="E3785" s="3"/>
      <c r="F3785" s="2"/>
      <c r="G3785" s="13">
        <f>IF($B3785="IN",$D3785,0)</f>
      </c>
      <c r="H3785" s="13">
        <f>IF($B3785="OUT",$D3785,0)</f>
      </c>
    </row>
    <row x14ac:dyDescent="0.25" r="3786" customHeight="1" ht="17.25">
      <c r="A3786" s="52"/>
      <c r="B3786" s="2"/>
      <c r="C3786" s="2"/>
      <c r="D3786" s="3"/>
      <c r="E3786" s="3"/>
      <c r="F3786" s="2"/>
      <c r="G3786" s="13">
        <f>IF($B3786="IN",$D3786,0)</f>
      </c>
      <c r="H3786" s="13">
        <f>IF($B3786="OUT",$D3786,0)</f>
      </c>
    </row>
    <row x14ac:dyDescent="0.25" r="3787" customHeight="1" ht="17.25">
      <c r="A3787" s="52"/>
      <c r="B3787" s="2"/>
      <c r="C3787" s="2"/>
      <c r="D3787" s="3"/>
      <c r="E3787" s="3"/>
      <c r="F3787" s="2"/>
      <c r="G3787" s="13">
        <f>IF($B3787="IN",$D3787,0)</f>
      </c>
      <c r="H3787" s="13">
        <f>IF($B3787="OUT",$D3787,0)</f>
      </c>
    </row>
    <row x14ac:dyDescent="0.25" r="3788" customHeight="1" ht="17.25">
      <c r="A3788" s="52"/>
      <c r="B3788" s="2"/>
      <c r="C3788" s="2"/>
      <c r="D3788" s="3"/>
      <c r="E3788" s="3"/>
      <c r="F3788" s="2"/>
      <c r="G3788" s="13">
        <f>IF($B3788="IN",$D3788,0)</f>
      </c>
      <c r="H3788" s="13">
        <f>IF($B3788="OUT",$D3788,0)</f>
      </c>
    </row>
    <row x14ac:dyDescent="0.25" r="3789" customHeight="1" ht="17.25">
      <c r="A3789" s="52"/>
      <c r="B3789" s="2"/>
      <c r="C3789" s="2"/>
      <c r="D3789" s="3"/>
      <c r="E3789" s="3"/>
      <c r="F3789" s="2"/>
      <c r="G3789" s="13">
        <f>IF($B3789="IN",$D3789,0)</f>
      </c>
      <c r="H3789" s="13">
        <f>IF($B3789="OUT",$D3789,0)</f>
      </c>
    </row>
    <row x14ac:dyDescent="0.25" r="3790" customHeight="1" ht="17.25">
      <c r="A3790" s="52"/>
      <c r="B3790" s="2"/>
      <c r="C3790" s="2"/>
      <c r="D3790" s="3"/>
      <c r="E3790" s="3"/>
      <c r="F3790" s="2"/>
      <c r="G3790" s="13">
        <f>IF($B3790="IN",$D3790,0)</f>
      </c>
      <c r="H3790" s="13">
        <f>IF($B3790="OUT",$D3790,0)</f>
      </c>
    </row>
    <row x14ac:dyDescent="0.25" r="3791" customHeight="1" ht="17.25">
      <c r="A3791" s="52"/>
      <c r="B3791" s="2"/>
      <c r="C3791" s="2"/>
      <c r="D3791" s="3"/>
      <c r="E3791" s="3"/>
      <c r="F3791" s="2"/>
      <c r="G3791" s="13">
        <f>IF($B3791="IN",$D3791,0)</f>
      </c>
      <c r="H3791" s="13">
        <f>IF($B3791="OUT",$D3791,0)</f>
      </c>
    </row>
    <row x14ac:dyDescent="0.25" r="3792" customHeight="1" ht="17.25">
      <c r="A3792" s="52"/>
      <c r="B3792" s="2"/>
      <c r="C3792" s="2"/>
      <c r="D3792" s="3"/>
      <c r="E3792" s="3"/>
      <c r="F3792" s="2"/>
      <c r="G3792" s="13">
        <f>IF($B3792="IN",$D3792,0)</f>
      </c>
      <c r="H3792" s="13">
        <f>IF($B3792="OUT",$D3792,0)</f>
      </c>
    </row>
    <row x14ac:dyDescent="0.25" r="3793" customHeight="1" ht="17.25">
      <c r="A3793" s="52"/>
      <c r="B3793" s="2"/>
      <c r="C3793" s="2"/>
      <c r="D3793" s="3"/>
      <c r="E3793" s="3"/>
      <c r="F3793" s="2"/>
      <c r="G3793" s="13">
        <f>IF($B3793="IN",$D3793,0)</f>
      </c>
      <c r="H3793" s="13">
        <f>IF($B3793="OUT",$D3793,0)</f>
      </c>
    </row>
    <row x14ac:dyDescent="0.25" r="3794" customHeight="1" ht="17.25">
      <c r="A3794" s="52"/>
      <c r="B3794" s="2"/>
      <c r="C3794" s="2"/>
      <c r="D3794" s="3"/>
      <c r="E3794" s="3"/>
      <c r="F3794" s="2"/>
      <c r="G3794" s="13">
        <f>IF($B3794="IN",$D3794,0)</f>
      </c>
      <c r="H3794" s="13">
        <f>IF($B3794="OUT",$D3794,0)</f>
      </c>
    </row>
    <row x14ac:dyDescent="0.25" r="3795" customHeight="1" ht="17.25">
      <c r="A3795" s="52"/>
      <c r="B3795" s="2"/>
      <c r="C3795" s="2"/>
      <c r="D3795" s="3"/>
      <c r="E3795" s="3"/>
      <c r="F3795" s="2"/>
      <c r="G3795" s="13">
        <f>IF($B3795="IN",$D3795,0)</f>
      </c>
      <c r="H3795" s="13">
        <f>IF($B3795="OUT",$D3795,0)</f>
      </c>
    </row>
    <row x14ac:dyDescent="0.25" r="3796" customHeight="1" ht="17.25">
      <c r="A3796" s="52"/>
      <c r="B3796" s="2"/>
      <c r="C3796" s="2"/>
      <c r="D3796" s="3"/>
      <c r="E3796" s="3"/>
      <c r="F3796" s="2"/>
      <c r="G3796" s="13">
        <f>IF($B3796="IN",$D3796,0)</f>
      </c>
      <c r="H3796" s="13">
        <f>IF($B3796="OUT",$D3796,0)</f>
      </c>
    </row>
    <row x14ac:dyDescent="0.25" r="3797" customHeight="1" ht="17.25">
      <c r="A3797" s="52"/>
      <c r="B3797" s="2"/>
      <c r="C3797" s="2"/>
      <c r="D3797" s="3"/>
      <c r="E3797" s="3"/>
      <c r="F3797" s="2"/>
      <c r="G3797" s="13">
        <f>IF($B3797="IN",$D3797,0)</f>
      </c>
      <c r="H3797" s="13">
        <f>IF($B3797="OUT",$D3797,0)</f>
      </c>
    </row>
    <row x14ac:dyDescent="0.25" r="3798" customHeight="1" ht="17.25">
      <c r="A3798" s="52"/>
      <c r="B3798" s="2"/>
      <c r="C3798" s="2"/>
      <c r="D3798" s="3"/>
      <c r="E3798" s="3"/>
      <c r="F3798" s="2"/>
      <c r="G3798" s="13">
        <f>IF($B3798="IN",$D3798,0)</f>
      </c>
      <c r="H3798" s="13">
        <f>IF($B3798="OUT",$D3798,0)</f>
      </c>
    </row>
    <row x14ac:dyDescent="0.25" r="3799" customHeight="1" ht="17.25">
      <c r="A3799" s="52"/>
      <c r="B3799" s="2"/>
      <c r="C3799" s="2"/>
      <c r="D3799" s="3"/>
      <c r="E3799" s="3"/>
      <c r="F3799" s="2"/>
      <c r="G3799" s="13">
        <f>IF($B3799="IN",$D3799,0)</f>
      </c>
      <c r="H3799" s="13">
        <f>IF($B3799="OUT",$D3799,0)</f>
      </c>
    </row>
    <row x14ac:dyDescent="0.25" r="3800" customHeight="1" ht="17.25">
      <c r="A3800" s="52"/>
      <c r="B3800" s="2"/>
      <c r="C3800" s="2"/>
      <c r="D3800" s="3"/>
      <c r="E3800" s="3"/>
      <c r="F3800" s="2"/>
      <c r="G3800" s="13">
        <f>IF($B3800="IN",$D3800,0)</f>
      </c>
      <c r="H3800" s="13">
        <f>IF($B3800="OUT",$D3800,0)</f>
      </c>
    </row>
    <row x14ac:dyDescent="0.25" r="3801" customHeight="1" ht="17.25">
      <c r="A3801" s="52"/>
      <c r="B3801" s="2"/>
      <c r="C3801" s="2"/>
      <c r="D3801" s="3"/>
      <c r="E3801" s="3"/>
      <c r="F3801" s="2"/>
      <c r="G3801" s="13">
        <f>IF($B3801="IN",$D3801,0)</f>
      </c>
      <c r="H3801" s="13">
        <f>IF($B3801="OUT",$D3801,0)</f>
      </c>
    </row>
    <row x14ac:dyDescent="0.25" r="3802" customHeight="1" ht="17.25">
      <c r="A3802" s="52"/>
      <c r="B3802" s="2"/>
      <c r="C3802" s="2"/>
      <c r="D3802" s="3"/>
      <c r="E3802" s="3"/>
      <c r="F3802" s="2"/>
      <c r="G3802" s="13">
        <f>IF($B3802="IN",$D3802,0)</f>
      </c>
      <c r="H3802" s="13">
        <f>IF($B3802="OUT",$D3802,0)</f>
      </c>
    </row>
    <row x14ac:dyDescent="0.25" r="3803" customHeight="1" ht="17.25">
      <c r="A3803" s="52"/>
      <c r="B3803" s="2"/>
      <c r="C3803" s="2"/>
      <c r="D3803" s="3"/>
      <c r="E3803" s="3"/>
      <c r="F3803" s="2"/>
      <c r="G3803" s="13">
        <f>IF($B3803="IN",$D3803,0)</f>
      </c>
      <c r="H3803" s="13">
        <f>IF($B3803="OUT",$D3803,0)</f>
      </c>
    </row>
    <row x14ac:dyDescent="0.25" r="3804" customHeight="1" ht="17.25">
      <c r="A3804" s="52"/>
      <c r="B3804" s="2"/>
      <c r="C3804" s="2"/>
      <c r="D3804" s="3"/>
      <c r="E3804" s="3"/>
      <c r="F3804" s="2"/>
      <c r="G3804" s="13">
        <f>IF($B3804="IN",$D3804,0)</f>
      </c>
      <c r="H3804" s="13">
        <f>IF($B3804="OUT",$D3804,0)</f>
      </c>
    </row>
    <row x14ac:dyDescent="0.25" r="3805" customHeight="1" ht="17.25">
      <c r="A3805" s="52"/>
      <c r="B3805" s="2"/>
      <c r="C3805" s="2"/>
      <c r="D3805" s="3"/>
      <c r="E3805" s="3"/>
      <c r="F3805" s="2"/>
      <c r="G3805" s="13">
        <f>IF($B3805="IN",$D3805,0)</f>
      </c>
      <c r="H3805" s="13">
        <f>IF($B3805="OUT",$D3805,0)</f>
      </c>
    </row>
    <row x14ac:dyDescent="0.25" r="3806" customHeight="1" ht="17.25">
      <c r="A3806" s="52"/>
      <c r="B3806" s="2"/>
      <c r="C3806" s="2"/>
      <c r="D3806" s="3"/>
      <c r="E3806" s="3"/>
      <c r="F3806" s="2"/>
      <c r="G3806" s="13">
        <f>IF($B3806="IN",$D3806,0)</f>
      </c>
      <c r="H3806" s="13">
        <f>IF($B3806="OUT",$D3806,0)</f>
      </c>
    </row>
    <row x14ac:dyDescent="0.25" r="3807" customHeight="1" ht="17.25">
      <c r="A3807" s="52"/>
      <c r="B3807" s="2"/>
      <c r="C3807" s="2"/>
      <c r="D3807" s="3"/>
      <c r="E3807" s="3"/>
      <c r="F3807" s="2"/>
      <c r="G3807" s="13">
        <f>IF($B3807="IN",$D3807,0)</f>
      </c>
      <c r="H3807" s="13">
        <f>IF($B3807="OUT",$D3807,0)</f>
      </c>
    </row>
    <row x14ac:dyDescent="0.25" r="3808" customHeight="1" ht="17.25">
      <c r="A3808" s="52"/>
      <c r="B3808" s="2"/>
      <c r="C3808" s="2"/>
      <c r="D3808" s="3"/>
      <c r="E3808" s="3"/>
      <c r="F3808" s="2"/>
      <c r="G3808" s="13">
        <f>IF($B3808="IN",$D3808,0)</f>
      </c>
      <c r="H3808" s="13">
        <f>IF($B3808="OUT",$D3808,0)</f>
      </c>
    </row>
    <row x14ac:dyDescent="0.25" r="3809" customHeight="1" ht="17.25">
      <c r="A3809" s="52"/>
      <c r="B3809" s="2"/>
      <c r="C3809" s="2"/>
      <c r="D3809" s="3"/>
      <c r="E3809" s="3"/>
      <c r="F3809" s="2"/>
      <c r="G3809" s="13">
        <f>IF($B3809="IN",$D3809,0)</f>
      </c>
      <c r="H3809" s="13">
        <f>IF($B3809="OUT",$D3809,0)</f>
      </c>
    </row>
    <row x14ac:dyDescent="0.25" r="3810" customHeight="1" ht="17.25">
      <c r="A3810" s="52"/>
      <c r="B3810" s="2"/>
      <c r="C3810" s="2"/>
      <c r="D3810" s="3"/>
      <c r="E3810" s="3"/>
      <c r="F3810" s="2"/>
      <c r="G3810" s="13">
        <f>IF($B3810="IN",$D3810,0)</f>
      </c>
      <c r="H3810" s="13">
        <f>IF($B3810="OUT",$D3810,0)</f>
      </c>
    </row>
    <row x14ac:dyDescent="0.25" r="3811" customHeight="1" ht="17.25">
      <c r="A3811" s="52"/>
      <c r="B3811" s="2"/>
      <c r="C3811" s="2"/>
      <c r="D3811" s="3"/>
      <c r="E3811" s="3"/>
      <c r="F3811" s="2"/>
      <c r="G3811" s="13">
        <f>IF($B3811="IN",$D3811,0)</f>
      </c>
      <c r="H3811" s="13">
        <f>IF($B3811="OUT",$D3811,0)</f>
      </c>
    </row>
    <row x14ac:dyDescent="0.25" r="3812" customHeight="1" ht="17.25">
      <c r="A3812" s="52"/>
      <c r="B3812" s="2"/>
      <c r="C3812" s="2"/>
      <c r="D3812" s="3"/>
      <c r="E3812" s="3"/>
      <c r="F3812" s="2"/>
      <c r="G3812" s="13">
        <f>IF($B3812="IN",$D3812,0)</f>
      </c>
      <c r="H3812" s="13">
        <f>IF($B3812="OUT",$D3812,0)</f>
      </c>
    </row>
    <row x14ac:dyDescent="0.25" r="3813" customHeight="1" ht="17.25">
      <c r="A3813" s="52"/>
      <c r="B3813" s="2"/>
      <c r="C3813" s="2"/>
      <c r="D3813" s="3"/>
      <c r="E3813" s="3"/>
      <c r="F3813" s="2"/>
      <c r="G3813" s="13">
        <f>IF($B3813="IN",$D3813,0)</f>
      </c>
      <c r="H3813" s="13">
        <f>IF($B3813="OUT",$D3813,0)</f>
      </c>
    </row>
    <row x14ac:dyDescent="0.25" r="3814" customHeight="1" ht="17.25">
      <c r="A3814" s="52"/>
      <c r="B3814" s="2"/>
      <c r="C3814" s="2"/>
      <c r="D3814" s="3"/>
      <c r="E3814" s="3"/>
      <c r="F3814" s="2"/>
      <c r="G3814" s="13">
        <f>IF($B3814="IN",$D3814,0)</f>
      </c>
      <c r="H3814" s="13">
        <f>IF($B3814="OUT",$D3814,0)</f>
      </c>
    </row>
    <row x14ac:dyDescent="0.25" r="3815" customHeight="1" ht="17.25">
      <c r="A3815" s="52"/>
      <c r="B3815" s="2"/>
      <c r="C3815" s="2"/>
      <c r="D3815" s="3"/>
      <c r="E3815" s="3"/>
      <c r="F3815" s="2"/>
      <c r="G3815" s="13">
        <f>IF($B3815="IN",$D3815,0)</f>
      </c>
      <c r="H3815" s="13">
        <f>IF($B3815="OUT",$D3815,0)</f>
      </c>
    </row>
    <row x14ac:dyDescent="0.25" r="3816" customHeight="1" ht="17.25">
      <c r="A3816" s="52"/>
      <c r="B3816" s="2"/>
      <c r="C3816" s="2"/>
      <c r="D3816" s="3"/>
      <c r="E3816" s="3"/>
      <c r="F3816" s="2"/>
      <c r="G3816" s="13">
        <f>IF($B3816="IN",$D3816,0)</f>
      </c>
      <c r="H3816" s="13">
        <f>IF($B3816="OUT",$D3816,0)</f>
      </c>
    </row>
    <row x14ac:dyDescent="0.25" r="3817" customHeight="1" ht="17.25">
      <c r="A3817" s="52"/>
      <c r="B3817" s="2"/>
      <c r="C3817" s="2"/>
      <c r="D3817" s="3"/>
      <c r="E3817" s="3"/>
      <c r="F3817" s="2"/>
      <c r="G3817" s="13">
        <f>IF($B3817="IN",$D3817,0)</f>
      </c>
      <c r="H3817" s="13">
        <f>IF($B3817="OUT",$D3817,0)</f>
      </c>
    </row>
    <row x14ac:dyDescent="0.25" r="3818" customHeight="1" ht="17.25">
      <c r="A3818" s="52"/>
      <c r="B3818" s="2"/>
      <c r="C3818" s="2"/>
      <c r="D3818" s="3"/>
      <c r="E3818" s="3"/>
      <c r="F3818" s="2"/>
      <c r="G3818" s="13">
        <f>IF($B3818="IN",$D3818,0)</f>
      </c>
      <c r="H3818" s="13">
        <f>IF($B3818="OUT",$D3818,0)</f>
      </c>
    </row>
    <row x14ac:dyDescent="0.25" r="3819" customHeight="1" ht="17.25">
      <c r="A3819" s="52"/>
      <c r="B3819" s="2"/>
      <c r="C3819" s="2"/>
      <c r="D3819" s="3"/>
      <c r="E3819" s="3"/>
      <c r="F3819" s="2"/>
      <c r="G3819" s="13">
        <f>IF($B3819="IN",$D3819,0)</f>
      </c>
      <c r="H3819" s="13">
        <f>IF($B3819="OUT",$D3819,0)</f>
      </c>
    </row>
    <row x14ac:dyDescent="0.25" r="3820" customHeight="1" ht="17.25">
      <c r="A3820" s="52"/>
      <c r="B3820" s="2"/>
      <c r="C3820" s="2"/>
      <c r="D3820" s="3"/>
      <c r="E3820" s="3"/>
      <c r="F3820" s="2"/>
      <c r="G3820" s="13">
        <f>IF($B3820="IN",$D3820,0)</f>
      </c>
      <c r="H3820" s="13">
        <f>IF($B3820="OUT",$D3820,0)</f>
      </c>
    </row>
    <row x14ac:dyDescent="0.25" r="3821" customHeight="1" ht="17.25">
      <c r="A3821" s="52"/>
      <c r="B3821" s="2"/>
      <c r="C3821" s="2"/>
      <c r="D3821" s="3"/>
      <c r="E3821" s="3"/>
      <c r="F3821" s="2"/>
      <c r="G3821" s="13">
        <f>IF($B3821="IN",$D3821,0)</f>
      </c>
      <c r="H3821" s="13">
        <f>IF($B3821="OUT",$D3821,0)</f>
      </c>
    </row>
    <row x14ac:dyDescent="0.25" r="3822" customHeight="1" ht="17.25">
      <c r="A3822" s="52"/>
      <c r="B3822" s="2"/>
      <c r="C3822" s="2"/>
      <c r="D3822" s="3"/>
      <c r="E3822" s="3"/>
      <c r="F3822" s="2"/>
      <c r="G3822" s="13">
        <f>IF($B3822="IN",$D3822,0)</f>
      </c>
      <c r="H3822" s="13">
        <f>IF($B3822="OUT",$D3822,0)</f>
      </c>
    </row>
    <row x14ac:dyDescent="0.25" r="3823" customHeight="1" ht="17.25">
      <c r="A3823" s="52"/>
      <c r="B3823" s="2"/>
      <c r="C3823" s="2"/>
      <c r="D3823" s="3"/>
      <c r="E3823" s="3"/>
      <c r="F3823" s="2"/>
      <c r="G3823" s="13">
        <f>IF($B3823="IN",$D3823,0)</f>
      </c>
      <c r="H3823" s="13">
        <f>IF($B3823="OUT",$D3823,0)</f>
      </c>
    </row>
    <row x14ac:dyDescent="0.25" r="3824" customHeight="1" ht="17.25">
      <c r="A3824" s="52"/>
      <c r="B3824" s="2"/>
      <c r="C3824" s="2"/>
      <c r="D3824" s="3"/>
      <c r="E3824" s="3"/>
      <c r="F3824" s="2"/>
      <c r="G3824" s="13">
        <f>IF($B3824="IN",$D3824,0)</f>
      </c>
      <c r="H3824" s="13">
        <f>IF($B3824="OUT",$D3824,0)</f>
      </c>
    </row>
    <row x14ac:dyDescent="0.25" r="3825" customHeight="1" ht="17.25">
      <c r="A3825" s="52"/>
      <c r="B3825" s="2"/>
      <c r="C3825" s="2"/>
      <c r="D3825" s="3"/>
      <c r="E3825" s="3"/>
      <c r="F3825" s="2"/>
      <c r="G3825" s="13">
        <f>IF($B3825="IN",$D3825,0)</f>
      </c>
      <c r="H3825" s="13">
        <f>IF($B3825="OUT",$D3825,0)</f>
      </c>
    </row>
    <row x14ac:dyDescent="0.25" r="3826" customHeight="1" ht="17.25">
      <c r="A3826" s="52"/>
      <c r="B3826" s="2"/>
      <c r="C3826" s="2"/>
      <c r="D3826" s="3"/>
      <c r="E3826" s="3"/>
      <c r="F3826" s="2"/>
      <c r="G3826" s="13">
        <f>IF($B3826="IN",$D3826,0)</f>
      </c>
      <c r="H3826" s="13">
        <f>IF($B3826="OUT",$D3826,0)</f>
      </c>
    </row>
    <row x14ac:dyDescent="0.25" r="3827" customHeight="1" ht="17.25">
      <c r="A3827" s="52"/>
      <c r="B3827" s="2"/>
      <c r="C3827" s="2"/>
      <c r="D3827" s="3"/>
      <c r="E3827" s="3"/>
      <c r="F3827" s="2"/>
      <c r="G3827" s="13">
        <f>IF($B3827="IN",$D3827,0)</f>
      </c>
      <c r="H3827" s="13">
        <f>IF($B3827="OUT",$D3827,0)</f>
      </c>
    </row>
    <row x14ac:dyDescent="0.25" r="3828" customHeight="1" ht="17.25">
      <c r="A3828" s="52"/>
      <c r="B3828" s="2"/>
      <c r="C3828" s="2"/>
      <c r="D3828" s="3"/>
      <c r="E3828" s="3"/>
      <c r="F3828" s="2"/>
      <c r="G3828" s="13">
        <f>IF($B3828="IN",$D3828,0)</f>
      </c>
      <c r="H3828" s="13">
        <f>IF($B3828="OUT",$D3828,0)</f>
      </c>
    </row>
    <row x14ac:dyDescent="0.25" r="3829" customHeight="1" ht="17.25">
      <c r="A3829" s="52"/>
      <c r="B3829" s="2"/>
      <c r="C3829" s="2"/>
      <c r="D3829" s="3"/>
      <c r="E3829" s="3"/>
      <c r="F3829" s="2"/>
      <c r="G3829" s="13">
        <f>IF($B3829="IN",$D3829,0)</f>
      </c>
      <c r="H3829" s="13">
        <f>IF($B3829="OUT",$D3829,0)</f>
      </c>
    </row>
    <row x14ac:dyDescent="0.25" r="3830" customHeight="1" ht="17.25">
      <c r="A3830" s="52"/>
      <c r="B3830" s="2"/>
      <c r="C3830" s="2"/>
      <c r="D3830" s="3"/>
      <c r="E3830" s="3"/>
      <c r="F3830" s="2"/>
      <c r="G3830" s="13">
        <f>IF($B3830="IN",$D3830,0)</f>
      </c>
      <c r="H3830" s="13">
        <f>IF($B3830="OUT",$D3830,0)</f>
      </c>
    </row>
    <row x14ac:dyDescent="0.25" r="3831" customHeight="1" ht="17.25">
      <c r="A3831" s="52"/>
      <c r="B3831" s="2"/>
      <c r="C3831" s="2"/>
      <c r="D3831" s="3"/>
      <c r="E3831" s="3"/>
      <c r="F3831" s="2"/>
      <c r="G3831" s="13">
        <f>IF($B3831="IN",$D3831,0)</f>
      </c>
      <c r="H3831" s="13">
        <f>IF($B3831="OUT",$D3831,0)</f>
      </c>
    </row>
    <row x14ac:dyDescent="0.25" r="3832" customHeight="1" ht="17.25">
      <c r="A3832" s="52"/>
      <c r="B3832" s="2"/>
      <c r="C3832" s="2"/>
      <c r="D3832" s="3"/>
      <c r="E3832" s="3"/>
      <c r="F3832" s="2"/>
      <c r="G3832" s="13">
        <f>IF($B3832="IN",$D3832,0)</f>
      </c>
      <c r="H3832" s="13">
        <f>IF($B3832="OUT",$D3832,0)</f>
      </c>
    </row>
    <row x14ac:dyDescent="0.25" r="3833" customHeight="1" ht="17.25">
      <c r="A3833" s="52"/>
      <c r="B3833" s="2"/>
      <c r="C3833" s="2"/>
      <c r="D3833" s="3"/>
      <c r="E3833" s="3"/>
      <c r="F3833" s="2"/>
      <c r="G3833" s="13">
        <f>IF($B3833="IN",$D3833,0)</f>
      </c>
      <c r="H3833" s="13">
        <f>IF($B3833="OUT",$D3833,0)</f>
      </c>
    </row>
    <row x14ac:dyDescent="0.25" r="3834" customHeight="1" ht="17.25">
      <c r="A3834" s="52"/>
      <c r="B3834" s="2"/>
      <c r="C3834" s="2"/>
      <c r="D3834" s="3"/>
      <c r="E3834" s="3"/>
      <c r="F3834" s="2"/>
      <c r="G3834" s="13">
        <f>IF($B3834="IN",$D3834,0)</f>
      </c>
      <c r="H3834" s="13">
        <f>IF($B3834="OUT",$D3834,0)</f>
      </c>
    </row>
    <row x14ac:dyDescent="0.25" r="3835" customHeight="1" ht="17.25">
      <c r="A3835" s="52"/>
      <c r="B3835" s="2"/>
      <c r="C3835" s="2"/>
      <c r="D3835" s="3"/>
      <c r="E3835" s="3"/>
      <c r="F3835" s="2"/>
      <c r="G3835" s="13">
        <f>IF($B3835="IN",$D3835,0)</f>
      </c>
      <c r="H3835" s="13">
        <f>IF($B3835="OUT",$D3835,0)</f>
      </c>
    </row>
    <row x14ac:dyDescent="0.25" r="3836" customHeight="1" ht="17.25">
      <c r="A3836" s="52"/>
      <c r="B3836" s="2"/>
      <c r="C3836" s="2"/>
      <c r="D3836" s="3"/>
      <c r="E3836" s="3"/>
      <c r="F3836" s="2"/>
      <c r="G3836" s="13">
        <f>IF($B3836="IN",$D3836,0)</f>
      </c>
      <c r="H3836" s="13">
        <f>IF($B3836="OUT",$D3836,0)</f>
      </c>
    </row>
    <row x14ac:dyDescent="0.25" r="3837" customHeight="1" ht="17.25">
      <c r="A3837" s="52"/>
      <c r="B3837" s="2"/>
      <c r="C3837" s="2"/>
      <c r="D3837" s="3"/>
      <c r="E3837" s="3"/>
      <c r="F3837" s="2"/>
      <c r="G3837" s="13">
        <f>IF($B3837="IN",$D3837,0)</f>
      </c>
      <c r="H3837" s="13">
        <f>IF($B3837="OUT",$D3837,0)</f>
      </c>
    </row>
    <row x14ac:dyDescent="0.25" r="3838" customHeight="1" ht="17.25">
      <c r="A3838" s="52"/>
      <c r="B3838" s="2"/>
      <c r="C3838" s="2"/>
      <c r="D3838" s="3"/>
      <c r="E3838" s="3"/>
      <c r="F3838" s="2"/>
      <c r="G3838" s="13">
        <f>IF($B3838="IN",$D3838,0)</f>
      </c>
      <c r="H3838" s="13">
        <f>IF($B3838="OUT",$D3838,0)</f>
      </c>
    </row>
    <row x14ac:dyDescent="0.25" r="3839" customHeight="1" ht="17.25">
      <c r="A3839" s="52"/>
      <c r="B3839" s="2"/>
      <c r="C3839" s="2"/>
      <c r="D3839" s="3"/>
      <c r="E3839" s="3"/>
      <c r="F3839" s="2"/>
      <c r="G3839" s="13">
        <f>IF($B3839="IN",$D3839,0)</f>
      </c>
      <c r="H3839" s="13">
        <f>IF($B3839="OUT",$D3839,0)</f>
      </c>
    </row>
    <row x14ac:dyDescent="0.25" r="3840" customHeight="1" ht="17.25">
      <c r="A3840" s="52"/>
      <c r="B3840" s="2"/>
      <c r="C3840" s="2"/>
      <c r="D3840" s="3"/>
      <c r="E3840" s="3"/>
      <c r="F3840" s="2"/>
      <c r="G3840" s="13">
        <f>IF($B3840="IN",$D3840,0)</f>
      </c>
      <c r="H3840" s="13">
        <f>IF($B3840="OUT",$D3840,0)</f>
      </c>
    </row>
    <row x14ac:dyDescent="0.25" r="3841" customHeight="1" ht="17.25">
      <c r="A3841" s="52"/>
      <c r="B3841" s="2"/>
      <c r="C3841" s="2"/>
      <c r="D3841" s="3"/>
      <c r="E3841" s="3"/>
      <c r="F3841" s="2"/>
      <c r="G3841" s="13">
        <f>IF($B3841="IN",$D3841,0)</f>
      </c>
      <c r="H3841" s="13">
        <f>IF($B3841="OUT",$D3841,0)</f>
      </c>
    </row>
    <row x14ac:dyDescent="0.25" r="3842" customHeight="1" ht="17.25">
      <c r="A3842" s="52"/>
      <c r="B3842" s="2"/>
      <c r="C3842" s="2"/>
      <c r="D3842" s="3"/>
      <c r="E3842" s="3"/>
      <c r="F3842" s="2"/>
      <c r="G3842" s="13">
        <f>IF($B3842="IN",$D3842,0)</f>
      </c>
      <c r="H3842" s="13">
        <f>IF($B3842="OUT",$D3842,0)</f>
      </c>
    </row>
    <row x14ac:dyDescent="0.25" r="3843" customHeight="1" ht="17.25">
      <c r="A3843" s="52"/>
      <c r="B3843" s="2"/>
      <c r="C3843" s="2"/>
      <c r="D3843" s="3"/>
      <c r="E3843" s="3"/>
      <c r="F3843" s="2"/>
      <c r="G3843" s="13">
        <f>IF($B3843="IN",$D3843,0)</f>
      </c>
      <c r="H3843" s="13">
        <f>IF($B3843="OUT",$D3843,0)</f>
      </c>
    </row>
    <row x14ac:dyDescent="0.25" r="3844" customHeight="1" ht="17.25">
      <c r="A3844" s="52"/>
      <c r="B3844" s="2"/>
      <c r="C3844" s="2"/>
      <c r="D3844" s="3"/>
      <c r="E3844" s="3"/>
      <c r="F3844" s="2"/>
      <c r="G3844" s="13">
        <f>IF($B3844="IN",$D3844,0)</f>
      </c>
      <c r="H3844" s="13">
        <f>IF($B3844="OUT",$D3844,0)</f>
      </c>
    </row>
    <row x14ac:dyDescent="0.25" r="3845" customHeight="1" ht="17.25">
      <c r="A3845" s="52"/>
      <c r="B3845" s="2"/>
      <c r="C3845" s="2"/>
      <c r="D3845" s="3"/>
      <c r="E3845" s="3"/>
      <c r="F3845" s="2"/>
      <c r="G3845" s="13">
        <f>IF($B3845="IN",$D3845,0)</f>
      </c>
      <c r="H3845" s="13">
        <f>IF($B3845="OUT",$D3845,0)</f>
      </c>
    </row>
    <row x14ac:dyDescent="0.25" r="3846" customHeight="1" ht="17.25">
      <c r="A3846" s="52"/>
      <c r="B3846" s="2"/>
      <c r="C3846" s="2"/>
      <c r="D3846" s="3"/>
      <c r="E3846" s="3"/>
      <c r="F3846" s="2"/>
      <c r="G3846" s="13">
        <f>IF($B3846="IN",$D3846,0)</f>
      </c>
      <c r="H3846" s="13">
        <f>IF($B3846="OUT",$D3846,0)</f>
      </c>
    </row>
    <row x14ac:dyDescent="0.25" r="3847" customHeight="1" ht="17.25">
      <c r="A3847" s="52"/>
      <c r="B3847" s="2"/>
      <c r="C3847" s="2"/>
      <c r="D3847" s="3"/>
      <c r="E3847" s="3"/>
      <c r="F3847" s="2"/>
      <c r="G3847" s="13">
        <f>IF($B3847="IN",$D3847,0)</f>
      </c>
      <c r="H3847" s="13">
        <f>IF($B3847="OUT",$D3847,0)</f>
      </c>
    </row>
    <row x14ac:dyDescent="0.25" r="3848" customHeight="1" ht="17.25">
      <c r="A3848" s="52"/>
      <c r="B3848" s="2"/>
      <c r="C3848" s="2"/>
      <c r="D3848" s="3"/>
      <c r="E3848" s="3"/>
      <c r="F3848" s="2"/>
      <c r="G3848" s="13">
        <f>IF($B3848="IN",$D3848,0)</f>
      </c>
      <c r="H3848" s="13">
        <f>IF($B3848="OUT",$D3848,0)</f>
      </c>
    </row>
    <row x14ac:dyDescent="0.25" r="3849" customHeight="1" ht="17.25">
      <c r="A3849" s="52"/>
      <c r="B3849" s="2"/>
      <c r="C3849" s="2"/>
      <c r="D3849" s="3"/>
      <c r="E3849" s="3"/>
      <c r="F3849" s="2"/>
      <c r="G3849" s="13">
        <f>IF($B3849="IN",$D3849,0)</f>
      </c>
      <c r="H3849" s="13">
        <f>IF($B3849="OUT",$D3849,0)</f>
      </c>
    </row>
    <row x14ac:dyDescent="0.25" r="3850" customHeight="1" ht="17.25">
      <c r="A3850" s="52"/>
      <c r="B3850" s="2"/>
      <c r="C3850" s="2"/>
      <c r="D3850" s="3"/>
      <c r="E3850" s="3"/>
      <c r="F3850" s="2"/>
      <c r="G3850" s="13">
        <f>IF($B3850="IN",$D3850,0)</f>
      </c>
      <c r="H3850" s="13">
        <f>IF($B3850="OUT",$D3850,0)</f>
      </c>
    </row>
    <row x14ac:dyDescent="0.25" r="3851" customHeight="1" ht="17.25">
      <c r="A3851" s="52"/>
      <c r="B3851" s="2"/>
      <c r="C3851" s="2"/>
      <c r="D3851" s="3"/>
      <c r="E3851" s="3"/>
      <c r="F3851" s="2"/>
      <c r="G3851" s="13">
        <f>IF($B3851="IN",$D3851,0)</f>
      </c>
      <c r="H3851" s="13">
        <f>IF($B3851="OUT",$D3851,0)</f>
      </c>
    </row>
    <row x14ac:dyDescent="0.25" r="3852" customHeight="1" ht="17.25">
      <c r="A3852" s="52"/>
      <c r="B3852" s="2"/>
      <c r="C3852" s="2"/>
      <c r="D3852" s="3"/>
      <c r="E3852" s="3"/>
      <c r="F3852" s="2"/>
      <c r="G3852" s="13">
        <f>IF($B3852="IN",$D3852,0)</f>
      </c>
      <c r="H3852" s="13">
        <f>IF($B3852="OUT",$D3852,0)</f>
      </c>
    </row>
    <row x14ac:dyDescent="0.25" r="3853" customHeight="1" ht="17.25">
      <c r="A3853" s="52"/>
      <c r="B3853" s="2"/>
      <c r="C3853" s="2"/>
      <c r="D3853" s="3"/>
      <c r="E3853" s="3"/>
      <c r="F3853" s="2"/>
      <c r="G3853" s="13">
        <f>IF($B3853="IN",$D3853,0)</f>
      </c>
      <c r="H3853" s="13">
        <f>IF($B3853="OUT",$D3853,0)</f>
      </c>
    </row>
    <row x14ac:dyDescent="0.25" r="3854" customHeight="1" ht="17.25">
      <c r="A3854" s="52"/>
      <c r="B3854" s="2"/>
      <c r="C3854" s="2"/>
      <c r="D3854" s="3"/>
      <c r="E3854" s="3"/>
      <c r="F3854" s="2"/>
      <c r="G3854" s="13">
        <f>IF($B3854="IN",$D3854,0)</f>
      </c>
      <c r="H3854" s="13">
        <f>IF($B3854="OUT",$D3854,0)</f>
      </c>
    </row>
    <row x14ac:dyDescent="0.25" r="3855" customHeight="1" ht="17.25">
      <c r="A3855" s="52"/>
      <c r="B3855" s="2"/>
      <c r="C3855" s="2"/>
      <c r="D3855" s="3"/>
      <c r="E3855" s="3"/>
      <c r="F3855" s="2"/>
      <c r="G3855" s="13">
        <f>IF($B3855="IN",$D3855,0)</f>
      </c>
      <c r="H3855" s="13">
        <f>IF($B3855="OUT",$D3855,0)</f>
      </c>
    </row>
    <row x14ac:dyDescent="0.25" r="3856" customHeight="1" ht="17.25">
      <c r="A3856" s="52"/>
      <c r="B3856" s="2"/>
      <c r="C3856" s="2"/>
      <c r="D3856" s="3"/>
      <c r="E3856" s="3"/>
      <c r="F3856" s="2"/>
      <c r="G3856" s="13">
        <f>IF($B3856="IN",$D3856,0)</f>
      </c>
      <c r="H3856" s="13">
        <f>IF($B3856="OUT",$D3856,0)</f>
      </c>
    </row>
    <row x14ac:dyDescent="0.25" r="3857" customHeight="1" ht="17.25">
      <c r="A3857" s="52"/>
      <c r="B3857" s="2"/>
      <c r="C3857" s="2"/>
      <c r="D3857" s="3"/>
      <c r="E3857" s="3"/>
      <c r="F3857" s="2"/>
      <c r="G3857" s="13">
        <f>IF($B3857="IN",$D3857,0)</f>
      </c>
      <c r="H3857" s="13">
        <f>IF($B3857="OUT",$D3857,0)</f>
      </c>
    </row>
    <row x14ac:dyDescent="0.25" r="3858" customHeight="1" ht="17.25">
      <c r="A3858" s="52"/>
      <c r="B3858" s="2"/>
      <c r="C3858" s="2"/>
      <c r="D3858" s="3"/>
      <c r="E3858" s="3"/>
      <c r="F3858" s="2"/>
      <c r="G3858" s="13">
        <f>IF($B3858="IN",$D3858,0)</f>
      </c>
      <c r="H3858" s="13">
        <f>IF($B3858="OUT",$D3858,0)</f>
      </c>
    </row>
    <row x14ac:dyDescent="0.25" r="3859" customHeight="1" ht="17.25">
      <c r="A3859" s="52"/>
      <c r="B3859" s="2"/>
      <c r="C3859" s="2"/>
      <c r="D3859" s="3"/>
      <c r="E3859" s="3"/>
      <c r="F3859" s="2"/>
      <c r="G3859" s="13">
        <f>IF($B3859="IN",$D3859,0)</f>
      </c>
      <c r="H3859" s="13">
        <f>IF($B3859="OUT",$D3859,0)</f>
      </c>
    </row>
    <row x14ac:dyDescent="0.25" r="3860" customHeight="1" ht="17.25">
      <c r="A3860" s="52"/>
      <c r="B3860" s="2"/>
      <c r="C3860" s="2"/>
      <c r="D3860" s="3"/>
      <c r="E3860" s="3"/>
      <c r="F3860" s="2"/>
      <c r="G3860" s="13">
        <f>IF($B3860="IN",$D3860,0)</f>
      </c>
      <c r="H3860" s="13">
        <f>IF($B3860="OUT",$D3860,0)</f>
      </c>
    </row>
    <row x14ac:dyDescent="0.25" r="3861" customHeight="1" ht="17.25">
      <c r="A3861" s="52"/>
      <c r="B3861" s="2"/>
      <c r="C3861" s="2"/>
      <c r="D3861" s="3"/>
      <c r="E3861" s="3"/>
      <c r="F3861" s="2"/>
      <c r="G3861" s="13">
        <f>IF($B3861="IN",$D3861,0)</f>
      </c>
      <c r="H3861" s="13">
        <f>IF($B3861="OUT",$D3861,0)</f>
      </c>
    </row>
    <row x14ac:dyDescent="0.25" r="3862" customHeight="1" ht="17.25">
      <c r="A3862" s="52"/>
      <c r="B3862" s="2"/>
      <c r="C3862" s="2"/>
      <c r="D3862" s="3"/>
      <c r="E3862" s="3"/>
      <c r="F3862" s="2"/>
      <c r="G3862" s="13">
        <f>IF($B3862="IN",$D3862,0)</f>
      </c>
      <c r="H3862" s="13">
        <f>IF($B3862="OUT",$D3862,0)</f>
      </c>
    </row>
    <row x14ac:dyDescent="0.25" r="3863" customHeight="1" ht="17.25">
      <c r="A3863" s="52"/>
      <c r="B3863" s="2"/>
      <c r="C3863" s="2"/>
      <c r="D3863" s="3"/>
      <c r="E3863" s="3"/>
      <c r="F3863" s="2"/>
      <c r="G3863" s="13">
        <f>IF($B3863="IN",$D3863,0)</f>
      </c>
      <c r="H3863" s="13">
        <f>IF($B3863="OUT",$D3863,0)</f>
      </c>
    </row>
    <row x14ac:dyDescent="0.25" r="3864" customHeight="1" ht="17.25">
      <c r="A3864" s="52"/>
      <c r="B3864" s="2"/>
      <c r="C3864" s="2"/>
      <c r="D3864" s="3"/>
      <c r="E3864" s="3"/>
      <c r="F3864" s="2"/>
      <c r="G3864" s="13">
        <f>IF($B3864="IN",$D3864,0)</f>
      </c>
      <c r="H3864" s="13">
        <f>IF($B3864="OUT",$D3864,0)</f>
      </c>
    </row>
    <row x14ac:dyDescent="0.25" r="3865" customHeight="1" ht="17.25">
      <c r="A3865" s="52"/>
      <c r="B3865" s="2"/>
      <c r="C3865" s="2"/>
      <c r="D3865" s="3"/>
      <c r="E3865" s="3"/>
      <c r="F3865" s="2"/>
      <c r="G3865" s="13">
        <f>IF($B3865="IN",$D3865,0)</f>
      </c>
      <c r="H3865" s="13">
        <f>IF($B3865="OUT",$D3865,0)</f>
      </c>
    </row>
    <row x14ac:dyDescent="0.25" r="3866" customHeight="1" ht="17.25">
      <c r="A3866" s="52"/>
      <c r="B3866" s="2"/>
      <c r="C3866" s="2"/>
      <c r="D3866" s="3"/>
      <c r="E3866" s="3"/>
      <c r="F3866" s="2"/>
      <c r="G3866" s="13">
        <f>IF($B3866="IN",$D3866,0)</f>
      </c>
      <c r="H3866" s="13">
        <f>IF($B3866="OUT",$D3866,0)</f>
      </c>
    </row>
    <row x14ac:dyDescent="0.25" r="3867" customHeight="1" ht="17.25">
      <c r="A3867" s="52"/>
      <c r="B3867" s="2"/>
      <c r="C3867" s="2"/>
      <c r="D3867" s="3"/>
      <c r="E3867" s="3"/>
      <c r="F3867" s="2"/>
      <c r="G3867" s="13">
        <f>IF($B3867="IN",$D3867,0)</f>
      </c>
      <c r="H3867" s="13">
        <f>IF($B3867="OUT",$D3867,0)</f>
      </c>
    </row>
    <row x14ac:dyDescent="0.25" r="3868" customHeight="1" ht="17.25">
      <c r="A3868" s="52"/>
      <c r="B3868" s="2"/>
      <c r="C3868" s="2"/>
      <c r="D3868" s="3"/>
      <c r="E3868" s="3"/>
      <c r="F3868" s="2"/>
      <c r="G3868" s="13">
        <f>IF($B3868="IN",$D3868,0)</f>
      </c>
      <c r="H3868" s="13">
        <f>IF($B3868="OUT",$D3868,0)</f>
      </c>
    </row>
    <row x14ac:dyDescent="0.25" r="3869" customHeight="1" ht="17.25">
      <c r="A3869" s="52"/>
      <c r="B3869" s="2"/>
      <c r="C3869" s="2"/>
      <c r="D3869" s="3"/>
      <c r="E3869" s="3"/>
      <c r="F3869" s="2"/>
      <c r="G3869" s="13">
        <f>IF($B3869="IN",$D3869,0)</f>
      </c>
      <c r="H3869" s="13">
        <f>IF($B3869="OUT",$D3869,0)</f>
      </c>
    </row>
    <row x14ac:dyDescent="0.25" r="3870" customHeight="1" ht="17.25">
      <c r="A3870" s="52"/>
      <c r="B3870" s="2"/>
      <c r="C3870" s="2"/>
      <c r="D3870" s="3"/>
      <c r="E3870" s="3"/>
      <c r="F3870" s="2"/>
      <c r="G3870" s="13">
        <f>IF($B3870="IN",$D3870,0)</f>
      </c>
      <c r="H3870" s="13">
        <f>IF($B3870="OUT",$D3870,0)</f>
      </c>
    </row>
    <row x14ac:dyDescent="0.25" r="3871" customHeight="1" ht="17.25">
      <c r="A3871" s="52"/>
      <c r="B3871" s="2"/>
      <c r="C3871" s="2"/>
      <c r="D3871" s="3"/>
      <c r="E3871" s="3"/>
      <c r="F3871" s="2"/>
      <c r="G3871" s="13">
        <f>IF($B3871="IN",$D3871,0)</f>
      </c>
      <c r="H3871" s="13">
        <f>IF($B3871="OUT",$D3871,0)</f>
      </c>
    </row>
    <row x14ac:dyDescent="0.25" r="3872" customHeight="1" ht="17.25">
      <c r="A3872" s="52"/>
      <c r="B3872" s="2"/>
      <c r="C3872" s="2"/>
      <c r="D3872" s="3"/>
      <c r="E3872" s="3"/>
      <c r="F3872" s="2"/>
      <c r="G3872" s="13">
        <f>IF($B3872="IN",$D3872,0)</f>
      </c>
      <c r="H3872" s="13">
        <f>IF($B3872="OUT",$D3872,0)</f>
      </c>
    </row>
    <row x14ac:dyDescent="0.25" r="3873" customHeight="1" ht="17.25">
      <c r="A3873" s="52"/>
      <c r="B3873" s="2"/>
      <c r="C3873" s="2"/>
      <c r="D3873" s="3"/>
      <c r="E3873" s="3"/>
      <c r="F3873" s="2"/>
      <c r="G3873" s="13">
        <f>IF($B3873="IN",$D3873,0)</f>
      </c>
      <c r="H3873" s="13">
        <f>IF($B3873="OUT",$D3873,0)</f>
      </c>
    </row>
    <row x14ac:dyDescent="0.25" r="3874" customHeight="1" ht="17.25">
      <c r="A3874" s="52"/>
      <c r="B3874" s="2"/>
      <c r="C3874" s="2"/>
      <c r="D3874" s="3"/>
      <c r="E3874" s="3"/>
      <c r="F3874" s="2"/>
      <c r="G3874" s="13">
        <f>IF($B3874="IN",$D3874,0)</f>
      </c>
      <c r="H3874" s="13">
        <f>IF($B3874="OUT",$D3874,0)</f>
      </c>
    </row>
    <row x14ac:dyDescent="0.25" r="3875" customHeight="1" ht="17.25">
      <c r="A3875" s="52"/>
      <c r="B3875" s="2"/>
      <c r="C3875" s="2"/>
      <c r="D3875" s="3"/>
      <c r="E3875" s="3"/>
      <c r="F3875" s="2"/>
      <c r="G3875" s="13">
        <f>IF($B3875="IN",$D3875,0)</f>
      </c>
      <c r="H3875" s="13">
        <f>IF($B3875="OUT",$D3875,0)</f>
      </c>
    </row>
    <row x14ac:dyDescent="0.25" r="3876" customHeight="1" ht="17.25">
      <c r="A3876" s="52"/>
      <c r="B3876" s="2"/>
      <c r="C3876" s="2"/>
      <c r="D3876" s="3"/>
      <c r="E3876" s="3"/>
      <c r="F3876" s="2"/>
      <c r="G3876" s="13">
        <f>IF($B3876="IN",$D3876,0)</f>
      </c>
      <c r="H3876" s="13">
        <f>IF($B3876="OUT",$D3876,0)</f>
      </c>
    </row>
    <row x14ac:dyDescent="0.25" r="3877" customHeight="1" ht="17.25">
      <c r="A3877" s="52"/>
      <c r="B3877" s="2"/>
      <c r="C3877" s="2"/>
      <c r="D3877" s="3"/>
      <c r="E3877" s="3"/>
      <c r="F3877" s="2"/>
      <c r="G3877" s="13">
        <f>IF($B3877="IN",$D3877,0)</f>
      </c>
      <c r="H3877" s="13">
        <f>IF($B3877="OUT",$D3877,0)</f>
      </c>
    </row>
    <row x14ac:dyDescent="0.25" r="3878" customHeight="1" ht="17.25">
      <c r="A3878" s="52"/>
      <c r="B3878" s="2"/>
      <c r="C3878" s="2"/>
      <c r="D3878" s="3"/>
      <c r="E3878" s="3"/>
      <c r="F3878" s="2"/>
      <c r="G3878" s="13">
        <f>IF($B3878="IN",$D3878,0)</f>
      </c>
      <c r="H3878" s="13">
        <f>IF($B3878="OUT",$D3878,0)</f>
      </c>
    </row>
    <row x14ac:dyDescent="0.25" r="3879" customHeight="1" ht="17.25">
      <c r="A3879" s="52"/>
      <c r="B3879" s="2"/>
      <c r="C3879" s="2"/>
      <c r="D3879" s="3"/>
      <c r="E3879" s="3"/>
      <c r="F3879" s="2"/>
      <c r="G3879" s="13">
        <f>IF($B3879="IN",$D3879,0)</f>
      </c>
      <c r="H3879" s="13">
        <f>IF($B3879="OUT",$D3879,0)</f>
      </c>
    </row>
    <row x14ac:dyDescent="0.25" r="3880" customHeight="1" ht="17.25">
      <c r="A3880" s="52"/>
      <c r="B3880" s="2"/>
      <c r="C3880" s="2"/>
      <c r="D3880" s="3"/>
      <c r="E3880" s="3"/>
      <c r="F3880" s="2"/>
      <c r="G3880" s="13">
        <f>IF($B3880="IN",$D3880,0)</f>
      </c>
      <c r="H3880" s="13">
        <f>IF($B3880="OUT",$D3880,0)</f>
      </c>
    </row>
    <row x14ac:dyDescent="0.25" r="3881" customHeight="1" ht="17.25">
      <c r="A3881" s="52"/>
      <c r="B3881" s="2"/>
      <c r="C3881" s="2"/>
      <c r="D3881" s="3"/>
      <c r="E3881" s="3"/>
      <c r="F3881" s="2"/>
      <c r="G3881" s="13">
        <f>IF($B3881="IN",$D3881,0)</f>
      </c>
      <c r="H3881" s="13">
        <f>IF($B3881="OUT",$D3881,0)</f>
      </c>
    </row>
    <row x14ac:dyDescent="0.25" r="3882" customHeight="1" ht="17.25">
      <c r="A3882" s="52"/>
      <c r="B3882" s="2"/>
      <c r="C3882" s="2"/>
      <c r="D3882" s="3"/>
      <c r="E3882" s="3"/>
      <c r="F3882" s="2"/>
      <c r="G3882" s="13">
        <f>IF($B3882="IN",$D3882,0)</f>
      </c>
      <c r="H3882" s="13">
        <f>IF($B3882="OUT",$D3882,0)</f>
      </c>
    </row>
    <row x14ac:dyDescent="0.25" r="3883" customHeight="1" ht="17.25">
      <c r="A3883" s="52"/>
      <c r="B3883" s="2"/>
      <c r="C3883" s="2"/>
      <c r="D3883" s="3"/>
      <c r="E3883" s="3"/>
      <c r="F3883" s="2"/>
      <c r="G3883" s="13">
        <f>IF($B3883="IN",$D3883,0)</f>
      </c>
      <c r="H3883" s="13">
        <f>IF($B3883="OUT",$D3883,0)</f>
      </c>
    </row>
    <row x14ac:dyDescent="0.25" r="3884" customHeight="1" ht="17.25">
      <c r="A3884" s="52"/>
      <c r="B3884" s="2"/>
      <c r="C3884" s="2"/>
      <c r="D3884" s="3"/>
      <c r="E3884" s="3"/>
      <c r="F3884" s="2"/>
      <c r="G3884" s="13">
        <f>IF($B3884="IN",$D3884,0)</f>
      </c>
      <c r="H3884" s="13">
        <f>IF($B3884="OUT",$D3884,0)</f>
      </c>
    </row>
    <row x14ac:dyDescent="0.25" r="3885" customHeight="1" ht="17.25">
      <c r="A3885" s="52"/>
      <c r="B3885" s="2"/>
      <c r="C3885" s="2"/>
      <c r="D3885" s="3"/>
      <c r="E3885" s="3"/>
      <c r="F3885" s="2"/>
      <c r="G3885" s="13">
        <f>IF($B3885="IN",$D3885,0)</f>
      </c>
      <c r="H3885" s="13">
        <f>IF($B3885="OUT",$D3885,0)</f>
      </c>
    </row>
    <row x14ac:dyDescent="0.25" r="3886" customHeight="1" ht="17.25">
      <c r="A3886" s="52"/>
      <c r="B3886" s="2"/>
      <c r="C3886" s="2"/>
      <c r="D3886" s="3"/>
      <c r="E3886" s="3"/>
      <c r="F3886" s="2"/>
      <c r="G3886" s="13">
        <f>IF($B3886="IN",$D3886,0)</f>
      </c>
      <c r="H3886" s="13">
        <f>IF($B3886="OUT",$D3886,0)</f>
      </c>
    </row>
    <row x14ac:dyDescent="0.25" r="3887" customHeight="1" ht="17.25">
      <c r="A3887" s="52"/>
      <c r="B3887" s="2"/>
      <c r="C3887" s="2"/>
      <c r="D3887" s="3"/>
      <c r="E3887" s="3"/>
      <c r="F3887" s="2"/>
      <c r="G3887" s="13">
        <f>IF($B3887="IN",$D3887,0)</f>
      </c>
      <c r="H3887" s="13">
        <f>IF($B3887="OUT",$D3887,0)</f>
      </c>
    </row>
    <row x14ac:dyDescent="0.25" r="3888" customHeight="1" ht="17.25">
      <c r="A3888" s="52"/>
      <c r="B3888" s="2"/>
      <c r="C3888" s="2"/>
      <c r="D3888" s="3"/>
      <c r="E3888" s="3"/>
      <c r="F3888" s="2"/>
      <c r="G3888" s="13">
        <f>IF($B3888="IN",$D3888,0)</f>
      </c>
      <c r="H3888" s="13">
        <f>IF($B3888="OUT",$D3888,0)</f>
      </c>
    </row>
    <row x14ac:dyDescent="0.25" r="3889" customHeight="1" ht="17.25">
      <c r="A3889" s="52"/>
      <c r="B3889" s="2"/>
      <c r="C3889" s="2"/>
      <c r="D3889" s="3"/>
      <c r="E3889" s="3"/>
      <c r="F3889" s="2"/>
      <c r="G3889" s="13">
        <f>IF($B3889="IN",$D3889,0)</f>
      </c>
      <c r="H3889" s="13">
        <f>IF($B3889="OUT",$D3889,0)</f>
      </c>
    </row>
    <row x14ac:dyDescent="0.25" r="3890" customHeight="1" ht="17.25">
      <c r="A3890" s="52"/>
      <c r="B3890" s="2"/>
      <c r="C3890" s="2"/>
      <c r="D3890" s="3"/>
      <c r="E3890" s="3"/>
      <c r="F3890" s="2"/>
      <c r="G3890" s="13">
        <f>IF($B3890="IN",$D3890,0)</f>
      </c>
      <c r="H3890" s="13">
        <f>IF($B3890="OUT",$D3890,0)</f>
      </c>
    </row>
    <row x14ac:dyDescent="0.25" r="3891" customHeight="1" ht="17.25">
      <c r="A3891" s="52"/>
      <c r="B3891" s="2"/>
      <c r="C3891" s="2"/>
      <c r="D3891" s="3"/>
      <c r="E3891" s="3"/>
      <c r="F3891" s="2"/>
      <c r="G3891" s="13">
        <f>IF($B3891="IN",$D3891,0)</f>
      </c>
      <c r="H3891" s="13">
        <f>IF($B3891="OUT",$D3891,0)</f>
      </c>
    </row>
    <row x14ac:dyDescent="0.25" r="3892" customHeight="1" ht="17.25">
      <c r="A3892" s="52"/>
      <c r="B3892" s="2"/>
      <c r="C3892" s="2"/>
      <c r="D3892" s="3"/>
      <c r="E3892" s="3"/>
      <c r="F3892" s="2"/>
      <c r="G3892" s="13">
        <f>IF($B3892="IN",$D3892,0)</f>
      </c>
      <c r="H3892" s="13">
        <f>IF($B3892="OUT",$D3892,0)</f>
      </c>
    </row>
    <row x14ac:dyDescent="0.25" r="3893" customHeight="1" ht="17.25">
      <c r="A3893" s="52"/>
      <c r="B3893" s="2"/>
      <c r="C3893" s="2"/>
      <c r="D3893" s="3"/>
      <c r="E3893" s="3"/>
      <c r="F3893" s="2"/>
      <c r="G3893" s="13">
        <f>IF($B3893="IN",$D3893,0)</f>
      </c>
      <c r="H3893" s="13">
        <f>IF($B3893="OUT",$D3893,0)</f>
      </c>
    </row>
    <row x14ac:dyDescent="0.25" r="3894" customHeight="1" ht="17.25">
      <c r="A3894" s="52"/>
      <c r="B3894" s="2"/>
      <c r="C3894" s="2"/>
      <c r="D3894" s="3"/>
      <c r="E3894" s="3"/>
      <c r="F3894" s="2"/>
      <c r="G3894" s="13">
        <f>IF($B3894="IN",$D3894,0)</f>
      </c>
      <c r="H3894" s="13">
        <f>IF($B3894="OUT",$D3894,0)</f>
      </c>
    </row>
    <row x14ac:dyDescent="0.25" r="3895" customHeight="1" ht="17.25">
      <c r="A3895" s="52"/>
      <c r="B3895" s="2"/>
      <c r="C3895" s="2"/>
      <c r="D3895" s="3"/>
      <c r="E3895" s="3"/>
      <c r="F3895" s="2"/>
      <c r="G3895" s="13">
        <f>IF($B3895="IN",$D3895,0)</f>
      </c>
      <c r="H3895" s="13">
        <f>IF($B3895="OUT",$D3895,0)</f>
      </c>
    </row>
    <row x14ac:dyDescent="0.25" r="3896" customHeight="1" ht="17.25">
      <c r="A3896" s="52"/>
      <c r="B3896" s="2"/>
      <c r="C3896" s="2"/>
      <c r="D3896" s="3"/>
      <c r="E3896" s="3"/>
      <c r="F3896" s="2"/>
      <c r="G3896" s="13">
        <f>IF($B3896="IN",$D3896,0)</f>
      </c>
      <c r="H3896" s="13">
        <f>IF($B3896="OUT",$D3896,0)</f>
      </c>
    </row>
    <row x14ac:dyDescent="0.25" r="3897" customHeight="1" ht="17.25">
      <c r="A3897" s="52"/>
      <c r="B3897" s="2"/>
      <c r="C3897" s="2"/>
      <c r="D3897" s="3"/>
      <c r="E3897" s="3"/>
      <c r="F3897" s="2"/>
      <c r="G3897" s="13">
        <f>IF($B3897="IN",$D3897,0)</f>
      </c>
      <c r="H3897" s="13">
        <f>IF($B3897="OUT",$D3897,0)</f>
      </c>
    </row>
    <row x14ac:dyDescent="0.25" r="3898" customHeight="1" ht="17.25">
      <c r="A3898" s="52"/>
      <c r="B3898" s="2"/>
      <c r="C3898" s="2"/>
      <c r="D3898" s="3"/>
      <c r="E3898" s="3"/>
      <c r="F3898" s="2"/>
      <c r="G3898" s="13">
        <f>IF($B3898="IN",$D3898,0)</f>
      </c>
      <c r="H3898" s="13">
        <f>IF($B3898="OUT",$D3898,0)</f>
      </c>
    </row>
    <row x14ac:dyDescent="0.25" r="3899" customHeight="1" ht="17.25">
      <c r="A3899" s="52"/>
      <c r="B3899" s="2"/>
      <c r="C3899" s="2"/>
      <c r="D3899" s="3"/>
      <c r="E3899" s="3"/>
      <c r="F3899" s="2"/>
      <c r="G3899" s="13">
        <f>IF($B3899="IN",$D3899,0)</f>
      </c>
      <c r="H3899" s="13">
        <f>IF($B3899="OUT",$D3899,0)</f>
      </c>
    </row>
    <row x14ac:dyDescent="0.25" r="3900" customHeight="1" ht="17.25">
      <c r="A3900" s="52"/>
      <c r="B3900" s="2"/>
      <c r="C3900" s="2"/>
      <c r="D3900" s="3"/>
      <c r="E3900" s="3"/>
      <c r="F3900" s="2"/>
      <c r="G3900" s="13">
        <f>IF($B3900="IN",$D3900,0)</f>
      </c>
      <c r="H3900" s="13">
        <f>IF($B3900="OUT",$D3900,0)</f>
      </c>
    </row>
    <row x14ac:dyDescent="0.25" r="3901" customHeight="1" ht="17.25">
      <c r="A3901" s="52"/>
      <c r="B3901" s="2"/>
      <c r="C3901" s="2"/>
      <c r="D3901" s="3"/>
      <c r="E3901" s="3"/>
      <c r="F3901" s="2"/>
      <c r="G3901" s="13">
        <f>IF($B3901="IN",$D3901,0)</f>
      </c>
      <c r="H3901" s="13">
        <f>IF($B3901="OUT",$D3901,0)</f>
      </c>
    </row>
    <row x14ac:dyDescent="0.25" r="3902" customHeight="1" ht="17.25">
      <c r="A3902" s="52"/>
      <c r="B3902" s="2"/>
      <c r="C3902" s="2"/>
      <c r="D3902" s="3"/>
      <c r="E3902" s="3"/>
      <c r="F3902" s="2"/>
      <c r="G3902" s="13">
        <f>IF($B3902="IN",$D3902,0)</f>
      </c>
      <c r="H3902" s="13">
        <f>IF($B3902="OUT",$D3902,0)</f>
      </c>
    </row>
    <row x14ac:dyDescent="0.25" r="3903" customHeight="1" ht="17.25">
      <c r="A3903" s="52"/>
      <c r="B3903" s="2"/>
      <c r="C3903" s="2"/>
      <c r="D3903" s="3"/>
      <c r="E3903" s="3"/>
      <c r="F3903" s="2"/>
      <c r="G3903" s="13">
        <f>IF($B3903="IN",$D3903,0)</f>
      </c>
      <c r="H3903" s="13">
        <f>IF($B3903="OUT",$D3903,0)</f>
      </c>
    </row>
    <row x14ac:dyDescent="0.25" r="3904" customHeight="1" ht="17.25">
      <c r="A3904" s="52"/>
      <c r="B3904" s="2"/>
      <c r="C3904" s="2"/>
      <c r="D3904" s="3"/>
      <c r="E3904" s="3"/>
      <c r="F3904" s="2"/>
      <c r="G3904" s="13">
        <f>IF($B3904="IN",$D3904,0)</f>
      </c>
      <c r="H3904" s="13">
        <f>IF($B3904="OUT",$D3904,0)</f>
      </c>
    </row>
    <row x14ac:dyDescent="0.25" r="3905" customHeight="1" ht="17.25">
      <c r="A3905" s="52"/>
      <c r="B3905" s="2"/>
      <c r="C3905" s="2"/>
      <c r="D3905" s="3"/>
      <c r="E3905" s="3"/>
      <c r="F3905" s="2"/>
      <c r="G3905" s="13">
        <f>IF($B3905="IN",$D3905,0)</f>
      </c>
      <c r="H3905" s="13">
        <f>IF($B3905="OUT",$D3905,0)</f>
      </c>
    </row>
    <row x14ac:dyDescent="0.25" r="3906" customHeight="1" ht="17.25">
      <c r="A3906" s="52"/>
      <c r="B3906" s="2"/>
      <c r="C3906" s="2"/>
      <c r="D3906" s="3"/>
      <c r="E3906" s="3"/>
      <c r="F3906" s="2"/>
      <c r="G3906" s="13">
        <f>IF($B3906="IN",$D3906,0)</f>
      </c>
      <c r="H3906" s="13">
        <f>IF($B3906="OUT",$D3906,0)</f>
      </c>
    </row>
    <row x14ac:dyDescent="0.25" r="3907" customHeight="1" ht="17.25">
      <c r="A3907" s="52"/>
      <c r="B3907" s="2"/>
      <c r="C3907" s="2"/>
      <c r="D3907" s="3"/>
      <c r="E3907" s="3"/>
      <c r="F3907" s="2"/>
      <c r="G3907" s="13">
        <f>IF($B3907="IN",$D3907,0)</f>
      </c>
      <c r="H3907" s="13">
        <f>IF($B3907="OUT",$D3907,0)</f>
      </c>
    </row>
    <row x14ac:dyDescent="0.25" r="3908" customHeight="1" ht="17.25">
      <c r="A3908" s="52"/>
      <c r="B3908" s="2"/>
      <c r="C3908" s="2"/>
      <c r="D3908" s="3"/>
      <c r="E3908" s="3"/>
      <c r="F3908" s="2"/>
      <c r="G3908" s="13">
        <f>IF($B3908="IN",$D3908,0)</f>
      </c>
      <c r="H3908" s="13">
        <f>IF($B3908="OUT",$D3908,0)</f>
      </c>
    </row>
    <row x14ac:dyDescent="0.25" r="3909" customHeight="1" ht="17.25">
      <c r="A3909" s="52"/>
      <c r="B3909" s="2"/>
      <c r="C3909" s="2"/>
      <c r="D3909" s="3"/>
      <c r="E3909" s="3"/>
      <c r="F3909" s="2"/>
      <c r="G3909" s="13">
        <f>IF($B3909="IN",$D3909,0)</f>
      </c>
      <c r="H3909" s="13">
        <f>IF($B3909="OUT",$D3909,0)</f>
      </c>
    </row>
    <row x14ac:dyDescent="0.25" r="3910" customHeight="1" ht="17.25">
      <c r="A3910" s="52"/>
      <c r="B3910" s="2"/>
      <c r="C3910" s="2"/>
      <c r="D3910" s="3"/>
      <c r="E3910" s="3"/>
      <c r="F3910" s="2"/>
      <c r="G3910" s="13">
        <f>IF($B3910="IN",$D3910,0)</f>
      </c>
      <c r="H3910" s="13">
        <f>IF($B3910="OUT",$D3910,0)</f>
      </c>
    </row>
    <row x14ac:dyDescent="0.25" r="3911" customHeight="1" ht="17.25">
      <c r="A3911" s="52"/>
      <c r="B3911" s="2"/>
      <c r="C3911" s="2"/>
      <c r="D3911" s="3"/>
      <c r="E3911" s="3"/>
      <c r="F3911" s="2"/>
      <c r="G3911" s="13">
        <f>IF($B3911="IN",$D3911,0)</f>
      </c>
      <c r="H3911" s="13">
        <f>IF($B3911="OUT",$D3911,0)</f>
      </c>
    </row>
    <row x14ac:dyDescent="0.25" r="3912" customHeight="1" ht="17.25">
      <c r="A3912" s="52"/>
      <c r="B3912" s="2"/>
      <c r="C3912" s="2"/>
      <c r="D3912" s="3"/>
      <c r="E3912" s="3"/>
      <c r="F3912" s="2"/>
      <c r="G3912" s="13">
        <f>IF($B3912="IN",$D3912,0)</f>
      </c>
      <c r="H3912" s="13">
        <f>IF($B3912="OUT",$D3912,0)</f>
      </c>
    </row>
    <row x14ac:dyDescent="0.25" r="3913" customHeight="1" ht="17.25">
      <c r="A3913" s="52"/>
      <c r="B3913" s="2"/>
      <c r="C3913" s="2"/>
      <c r="D3913" s="3"/>
      <c r="E3913" s="3"/>
      <c r="F3913" s="2"/>
      <c r="G3913" s="13">
        <f>IF($B3913="IN",$D3913,0)</f>
      </c>
      <c r="H3913" s="13">
        <f>IF($B3913="OUT",$D3913,0)</f>
      </c>
    </row>
    <row x14ac:dyDescent="0.25" r="3914" customHeight="1" ht="17.25">
      <c r="A3914" s="52"/>
      <c r="B3914" s="2"/>
      <c r="C3914" s="2"/>
      <c r="D3914" s="3"/>
      <c r="E3914" s="3"/>
      <c r="F3914" s="2"/>
      <c r="G3914" s="13">
        <f>IF($B3914="IN",$D3914,0)</f>
      </c>
      <c r="H3914" s="13">
        <f>IF($B3914="OUT",$D3914,0)</f>
      </c>
    </row>
    <row x14ac:dyDescent="0.25" r="3915" customHeight="1" ht="17.25">
      <c r="A3915" s="52"/>
      <c r="B3915" s="2"/>
      <c r="C3915" s="2"/>
      <c r="D3915" s="3"/>
      <c r="E3915" s="3"/>
      <c r="F3915" s="2"/>
      <c r="G3915" s="13">
        <f>IF($B3915="IN",$D3915,0)</f>
      </c>
      <c r="H3915" s="13">
        <f>IF($B3915="OUT",$D3915,0)</f>
      </c>
    </row>
    <row x14ac:dyDescent="0.25" r="3916" customHeight="1" ht="17.25">
      <c r="A3916" s="52"/>
      <c r="B3916" s="2"/>
      <c r="C3916" s="2"/>
      <c r="D3916" s="3"/>
      <c r="E3916" s="3"/>
      <c r="F3916" s="2"/>
      <c r="G3916" s="13">
        <f>IF($B3916="IN",$D3916,0)</f>
      </c>
      <c r="H3916" s="13">
        <f>IF($B3916="OUT",$D3916,0)</f>
      </c>
    </row>
    <row x14ac:dyDescent="0.25" r="3917" customHeight="1" ht="17.25">
      <c r="A3917" s="52"/>
      <c r="B3917" s="2"/>
      <c r="C3917" s="2"/>
      <c r="D3917" s="3"/>
      <c r="E3917" s="3"/>
      <c r="F3917" s="2"/>
      <c r="G3917" s="13">
        <f>IF($B3917="IN",$D3917,0)</f>
      </c>
      <c r="H3917" s="13">
        <f>IF($B3917="OUT",$D3917,0)</f>
      </c>
    </row>
    <row x14ac:dyDescent="0.25" r="3918" customHeight="1" ht="17.25">
      <c r="A3918" s="52"/>
      <c r="B3918" s="2"/>
      <c r="C3918" s="2"/>
      <c r="D3918" s="3"/>
      <c r="E3918" s="3"/>
      <c r="F3918" s="2"/>
      <c r="G3918" s="13">
        <f>IF($B3918="IN",$D3918,0)</f>
      </c>
      <c r="H3918" s="13">
        <f>IF($B3918="OUT",$D3918,0)</f>
      </c>
    </row>
    <row x14ac:dyDescent="0.25" r="3919" customHeight="1" ht="17.25">
      <c r="A3919" s="52"/>
      <c r="B3919" s="2"/>
      <c r="C3919" s="2"/>
      <c r="D3919" s="3"/>
      <c r="E3919" s="3"/>
      <c r="F3919" s="2"/>
      <c r="G3919" s="13">
        <f>IF($B3919="IN",$D3919,0)</f>
      </c>
      <c r="H3919" s="13">
        <f>IF($B3919="OUT",$D3919,0)</f>
      </c>
    </row>
    <row x14ac:dyDescent="0.25" r="3920" customHeight="1" ht="17.25">
      <c r="A3920" s="52"/>
      <c r="B3920" s="2"/>
      <c r="C3920" s="2"/>
      <c r="D3920" s="3"/>
      <c r="E3920" s="3"/>
      <c r="F3920" s="2"/>
      <c r="G3920" s="13">
        <f>IF($B3920="IN",$D3920,0)</f>
      </c>
      <c r="H3920" s="13">
        <f>IF($B3920="OUT",$D3920,0)</f>
      </c>
    </row>
    <row x14ac:dyDescent="0.25" r="3921" customHeight="1" ht="17.25">
      <c r="A3921" s="52"/>
      <c r="B3921" s="2"/>
      <c r="C3921" s="2"/>
      <c r="D3921" s="3"/>
      <c r="E3921" s="3"/>
      <c r="F3921" s="2"/>
      <c r="G3921" s="13">
        <f>IF($B3921="IN",$D3921,0)</f>
      </c>
      <c r="H3921" s="13">
        <f>IF($B3921="OUT",$D3921,0)</f>
      </c>
    </row>
    <row x14ac:dyDescent="0.25" r="3922" customHeight="1" ht="17.25">
      <c r="A3922" s="52"/>
      <c r="B3922" s="2"/>
      <c r="C3922" s="2"/>
      <c r="D3922" s="3"/>
      <c r="E3922" s="3"/>
      <c r="F3922" s="2"/>
      <c r="G3922" s="13">
        <f>IF($B3922="IN",$D3922,0)</f>
      </c>
      <c r="H3922" s="13">
        <f>IF($B3922="OUT",$D3922,0)</f>
      </c>
    </row>
    <row x14ac:dyDescent="0.25" r="3923" customHeight="1" ht="17.25">
      <c r="A3923" s="52"/>
      <c r="B3923" s="2"/>
      <c r="C3923" s="2"/>
      <c r="D3923" s="3"/>
      <c r="E3923" s="3"/>
      <c r="F3923" s="2"/>
      <c r="G3923" s="13">
        <f>IF($B3923="IN",$D3923,0)</f>
      </c>
      <c r="H3923" s="13">
        <f>IF($B3923="OUT",$D3923,0)</f>
      </c>
    </row>
    <row x14ac:dyDescent="0.25" r="3924" customHeight="1" ht="17.25">
      <c r="A3924" s="52"/>
      <c r="B3924" s="2"/>
      <c r="C3924" s="2"/>
      <c r="D3924" s="3"/>
      <c r="E3924" s="3"/>
      <c r="F3924" s="2"/>
      <c r="G3924" s="13">
        <f>IF($B3924="IN",$D3924,0)</f>
      </c>
      <c r="H3924" s="13">
        <f>IF($B3924="OUT",$D3924,0)</f>
      </c>
    </row>
    <row x14ac:dyDescent="0.25" r="3925" customHeight="1" ht="17.25">
      <c r="A3925" s="52"/>
      <c r="B3925" s="2"/>
      <c r="C3925" s="2"/>
      <c r="D3925" s="3"/>
      <c r="E3925" s="3"/>
      <c r="F3925" s="2"/>
      <c r="G3925" s="13">
        <f>IF($B3925="IN",$D3925,0)</f>
      </c>
      <c r="H3925" s="13">
        <f>IF($B3925="OUT",$D3925,0)</f>
      </c>
    </row>
    <row x14ac:dyDescent="0.25" r="3926" customHeight="1" ht="17.25">
      <c r="A3926" s="52"/>
      <c r="B3926" s="2"/>
      <c r="C3926" s="2"/>
      <c r="D3926" s="3"/>
      <c r="E3926" s="3"/>
      <c r="F3926" s="2"/>
      <c r="G3926" s="13">
        <f>IF($B3926="IN",$D3926,0)</f>
      </c>
      <c r="H3926" s="13">
        <f>IF($B3926="OUT",$D3926,0)</f>
      </c>
    </row>
    <row x14ac:dyDescent="0.25" r="3927" customHeight="1" ht="17.25">
      <c r="A3927" s="52"/>
      <c r="B3927" s="2"/>
      <c r="C3927" s="2"/>
      <c r="D3927" s="3"/>
      <c r="E3927" s="3"/>
      <c r="F3927" s="2"/>
      <c r="G3927" s="13">
        <f>IF($B3927="IN",$D3927,0)</f>
      </c>
      <c r="H3927" s="13">
        <f>IF($B3927="OUT",$D3927,0)</f>
      </c>
    </row>
    <row x14ac:dyDescent="0.25" r="3928" customHeight="1" ht="17.25">
      <c r="A3928" s="52"/>
      <c r="B3928" s="2"/>
      <c r="C3928" s="2"/>
      <c r="D3928" s="3"/>
      <c r="E3928" s="3"/>
      <c r="F3928" s="2"/>
      <c r="G3928" s="13">
        <f>IF($B3928="IN",$D3928,0)</f>
      </c>
      <c r="H3928" s="13">
        <f>IF($B3928="OUT",$D3928,0)</f>
      </c>
    </row>
    <row x14ac:dyDescent="0.25" r="3929" customHeight="1" ht="17.25">
      <c r="A3929" s="52"/>
      <c r="B3929" s="2"/>
      <c r="C3929" s="2"/>
      <c r="D3929" s="3"/>
      <c r="E3929" s="3"/>
      <c r="F3929" s="2"/>
      <c r="G3929" s="13">
        <f>IF($B3929="IN",$D3929,0)</f>
      </c>
      <c r="H3929" s="13">
        <f>IF($B3929="OUT",$D3929,0)</f>
      </c>
    </row>
    <row x14ac:dyDescent="0.25" r="3930" customHeight="1" ht="17.25">
      <c r="A3930" s="52"/>
      <c r="B3930" s="2"/>
      <c r="C3930" s="2"/>
      <c r="D3930" s="3"/>
      <c r="E3930" s="3"/>
      <c r="F3930" s="2"/>
      <c r="G3930" s="13">
        <f>IF($B3930="IN",$D3930,0)</f>
      </c>
      <c r="H3930" s="13">
        <f>IF($B3930="OUT",$D3930,0)</f>
      </c>
    </row>
    <row x14ac:dyDescent="0.25" r="3931" customHeight="1" ht="17.25">
      <c r="A3931" s="52"/>
      <c r="B3931" s="2"/>
      <c r="C3931" s="2"/>
      <c r="D3931" s="3"/>
      <c r="E3931" s="3"/>
      <c r="F3931" s="2"/>
      <c r="G3931" s="13">
        <f>IF($B3931="IN",$D3931,0)</f>
      </c>
      <c r="H3931" s="13">
        <f>IF($B3931="OUT",$D3931,0)</f>
      </c>
    </row>
    <row x14ac:dyDescent="0.25" r="3932" customHeight="1" ht="17.25">
      <c r="A3932" s="52"/>
      <c r="B3932" s="2"/>
      <c r="C3932" s="2"/>
      <c r="D3932" s="3"/>
      <c r="E3932" s="3"/>
      <c r="F3932" s="2"/>
      <c r="G3932" s="13">
        <f>IF($B3932="IN",$D3932,0)</f>
      </c>
      <c r="H3932" s="13">
        <f>IF($B3932="OUT",$D3932,0)</f>
      </c>
    </row>
    <row x14ac:dyDescent="0.25" r="3933" customHeight="1" ht="17.25">
      <c r="A3933" s="52"/>
      <c r="B3933" s="2"/>
      <c r="C3933" s="2"/>
      <c r="D3933" s="3"/>
      <c r="E3933" s="3"/>
      <c r="F3933" s="2"/>
      <c r="G3933" s="13">
        <f>IF($B3933="IN",$D3933,0)</f>
      </c>
      <c r="H3933" s="13">
        <f>IF($B3933="OUT",$D3933,0)</f>
      </c>
    </row>
    <row x14ac:dyDescent="0.25" r="3934" customHeight="1" ht="17.25">
      <c r="A3934" s="52"/>
      <c r="B3934" s="2"/>
      <c r="C3934" s="2"/>
      <c r="D3934" s="3"/>
      <c r="E3934" s="3"/>
      <c r="F3934" s="2"/>
      <c r="G3934" s="13">
        <f>IF($B3934="IN",$D3934,0)</f>
      </c>
      <c r="H3934" s="13">
        <f>IF($B3934="OUT",$D3934,0)</f>
      </c>
    </row>
    <row x14ac:dyDescent="0.25" r="3935" customHeight="1" ht="17.25">
      <c r="A3935" s="52"/>
      <c r="B3935" s="2"/>
      <c r="C3935" s="2"/>
      <c r="D3935" s="3"/>
      <c r="E3935" s="3"/>
      <c r="F3935" s="2"/>
      <c r="G3935" s="13">
        <f>IF($B3935="IN",$D3935,0)</f>
      </c>
      <c r="H3935" s="13">
        <f>IF($B3935="OUT",$D3935,0)</f>
      </c>
    </row>
    <row x14ac:dyDescent="0.25" r="3936" customHeight="1" ht="17.25">
      <c r="A3936" s="52"/>
      <c r="B3936" s="2"/>
      <c r="C3936" s="2"/>
      <c r="D3936" s="3"/>
      <c r="E3936" s="3"/>
      <c r="F3936" s="2"/>
      <c r="G3936" s="13">
        <f>IF($B3936="IN",$D3936,0)</f>
      </c>
      <c r="H3936" s="13">
        <f>IF($B3936="OUT",$D3936,0)</f>
      </c>
    </row>
    <row x14ac:dyDescent="0.25" r="3937" customHeight="1" ht="17.25">
      <c r="A3937" s="52"/>
      <c r="B3937" s="2"/>
      <c r="C3937" s="2"/>
      <c r="D3937" s="3"/>
      <c r="E3937" s="3"/>
      <c r="F3937" s="2"/>
      <c r="G3937" s="13">
        <f>IF($B3937="IN",$D3937,0)</f>
      </c>
      <c r="H3937" s="13">
        <f>IF($B3937="OUT",$D3937,0)</f>
      </c>
    </row>
    <row x14ac:dyDescent="0.25" r="3938" customHeight="1" ht="17.25">
      <c r="A3938" s="52"/>
      <c r="B3938" s="2"/>
      <c r="C3938" s="2"/>
      <c r="D3938" s="3"/>
      <c r="E3938" s="3"/>
      <c r="F3938" s="2"/>
      <c r="G3938" s="13">
        <f>IF($B3938="IN",$D3938,0)</f>
      </c>
      <c r="H3938" s="13">
        <f>IF($B3938="OUT",$D3938,0)</f>
      </c>
    </row>
    <row x14ac:dyDescent="0.25" r="3939" customHeight="1" ht="17.25">
      <c r="A3939" s="52"/>
      <c r="B3939" s="2"/>
      <c r="C3939" s="2"/>
      <c r="D3939" s="3"/>
      <c r="E3939" s="3"/>
      <c r="F3939" s="2"/>
      <c r="G3939" s="13">
        <f>IF($B3939="IN",$D3939,0)</f>
      </c>
      <c r="H3939" s="13">
        <f>IF($B3939="OUT",$D3939,0)</f>
      </c>
    </row>
    <row x14ac:dyDescent="0.25" r="3940" customHeight="1" ht="17.25">
      <c r="A3940" s="52"/>
      <c r="B3940" s="2"/>
      <c r="C3940" s="2"/>
      <c r="D3940" s="3"/>
      <c r="E3940" s="3"/>
      <c r="F3940" s="2"/>
      <c r="G3940" s="13">
        <f>IF($B3940="IN",$D3940,0)</f>
      </c>
      <c r="H3940" s="13">
        <f>IF($B3940="OUT",$D3940,0)</f>
      </c>
    </row>
    <row x14ac:dyDescent="0.25" r="3941" customHeight="1" ht="17.25">
      <c r="A3941" s="52"/>
      <c r="B3941" s="2"/>
      <c r="C3941" s="2"/>
      <c r="D3941" s="3"/>
      <c r="E3941" s="3"/>
      <c r="F3941" s="2"/>
      <c r="G3941" s="13">
        <f>IF($B3941="IN",$D3941,0)</f>
      </c>
      <c r="H3941" s="13">
        <f>IF($B3941="OUT",$D3941,0)</f>
      </c>
    </row>
    <row x14ac:dyDescent="0.25" r="3942" customHeight="1" ht="17.25">
      <c r="A3942" s="52"/>
      <c r="B3942" s="2"/>
      <c r="C3942" s="2"/>
      <c r="D3942" s="3"/>
      <c r="E3942" s="3"/>
      <c r="F3942" s="2"/>
      <c r="G3942" s="13">
        <f>IF($B3942="IN",$D3942,0)</f>
      </c>
      <c r="H3942" s="13">
        <f>IF($B3942="OUT",$D3942,0)</f>
      </c>
    </row>
    <row x14ac:dyDescent="0.25" r="3943" customHeight="1" ht="17.25">
      <c r="A3943" s="52"/>
      <c r="B3943" s="2"/>
      <c r="C3943" s="2"/>
      <c r="D3943" s="3"/>
      <c r="E3943" s="3"/>
      <c r="F3943" s="2"/>
      <c r="G3943" s="13">
        <f>IF($B3943="IN",$D3943,0)</f>
      </c>
      <c r="H3943" s="13">
        <f>IF($B3943="OUT",$D3943,0)</f>
      </c>
    </row>
    <row x14ac:dyDescent="0.25" r="3944" customHeight="1" ht="17.25">
      <c r="A3944" s="52"/>
      <c r="B3944" s="2"/>
      <c r="C3944" s="2"/>
      <c r="D3944" s="3"/>
      <c r="E3944" s="3"/>
      <c r="F3944" s="2"/>
      <c r="G3944" s="13">
        <f>IF($B3944="IN",$D3944,0)</f>
      </c>
      <c r="H3944" s="13">
        <f>IF($B3944="OUT",$D3944,0)</f>
      </c>
    </row>
    <row x14ac:dyDescent="0.25" r="3945" customHeight="1" ht="17.25">
      <c r="A3945" s="52"/>
      <c r="B3945" s="2"/>
      <c r="C3945" s="2"/>
      <c r="D3945" s="3"/>
      <c r="E3945" s="3"/>
      <c r="F3945" s="2"/>
      <c r="G3945" s="13">
        <f>IF($B3945="IN",$D3945,0)</f>
      </c>
      <c r="H3945" s="13">
        <f>IF($B3945="OUT",$D3945,0)</f>
      </c>
    </row>
    <row x14ac:dyDescent="0.25" r="3946" customHeight="1" ht="17.25">
      <c r="A3946" s="52"/>
      <c r="B3946" s="2"/>
      <c r="C3946" s="2"/>
      <c r="D3946" s="3"/>
      <c r="E3946" s="3"/>
      <c r="F3946" s="2"/>
      <c r="G3946" s="13">
        <f>IF($B3946="IN",$D3946,0)</f>
      </c>
      <c r="H3946" s="13">
        <f>IF($B3946="OUT",$D3946,0)</f>
      </c>
    </row>
    <row x14ac:dyDescent="0.25" r="3947" customHeight="1" ht="17.25">
      <c r="A3947" s="52"/>
      <c r="B3947" s="2"/>
      <c r="C3947" s="2"/>
      <c r="D3947" s="3"/>
      <c r="E3947" s="3"/>
      <c r="F3947" s="2"/>
      <c r="G3947" s="13">
        <f>IF($B3947="IN",$D3947,0)</f>
      </c>
      <c r="H3947" s="13">
        <f>IF($B3947="OUT",$D3947,0)</f>
      </c>
    </row>
    <row x14ac:dyDescent="0.25" r="3948" customHeight="1" ht="17.25">
      <c r="A3948" s="52"/>
      <c r="B3948" s="2"/>
      <c r="C3948" s="2"/>
      <c r="D3948" s="3"/>
      <c r="E3948" s="3"/>
      <c r="F3948" s="2"/>
      <c r="G3948" s="13">
        <f>IF($B3948="IN",$D3948,0)</f>
      </c>
      <c r="H3948" s="13">
        <f>IF($B3948="OUT",$D3948,0)</f>
      </c>
    </row>
    <row x14ac:dyDescent="0.25" r="3949" customHeight="1" ht="17.25">
      <c r="A3949" s="52"/>
      <c r="B3949" s="2"/>
      <c r="C3949" s="2"/>
      <c r="D3949" s="3"/>
      <c r="E3949" s="3"/>
      <c r="F3949" s="2"/>
      <c r="G3949" s="13">
        <f>IF($B3949="IN",$D3949,0)</f>
      </c>
      <c r="H3949" s="13">
        <f>IF($B3949="OUT",$D3949,0)</f>
      </c>
    </row>
    <row x14ac:dyDescent="0.25" r="3950" customHeight="1" ht="17.25">
      <c r="A3950" s="52"/>
      <c r="B3950" s="2"/>
      <c r="C3950" s="2"/>
      <c r="D3950" s="3"/>
      <c r="E3950" s="3"/>
      <c r="F3950" s="2"/>
      <c r="G3950" s="13">
        <f>IF($B3950="IN",$D3950,0)</f>
      </c>
      <c r="H3950" s="13">
        <f>IF($B3950="OUT",$D3950,0)</f>
      </c>
    </row>
    <row x14ac:dyDescent="0.25" r="3951" customHeight="1" ht="17.25">
      <c r="A3951" s="52"/>
      <c r="B3951" s="2"/>
      <c r="C3951" s="2"/>
      <c r="D3951" s="3"/>
      <c r="E3951" s="3"/>
      <c r="F3951" s="2"/>
      <c r="G3951" s="13">
        <f>IF($B3951="IN",$D3951,0)</f>
      </c>
      <c r="H3951" s="13">
        <f>IF($B3951="OUT",$D3951,0)</f>
      </c>
    </row>
    <row x14ac:dyDescent="0.25" r="3952" customHeight="1" ht="17.25">
      <c r="A3952" s="52"/>
      <c r="B3952" s="2"/>
      <c r="C3952" s="2"/>
      <c r="D3952" s="3"/>
      <c r="E3952" s="3"/>
      <c r="F3952" s="2"/>
      <c r="G3952" s="13">
        <f>IF($B3952="IN",$D3952,0)</f>
      </c>
      <c r="H3952" s="13">
        <f>IF($B3952="OUT",$D3952,0)</f>
      </c>
    </row>
    <row x14ac:dyDescent="0.25" r="3953" customHeight="1" ht="17.25">
      <c r="A3953" s="52"/>
      <c r="B3953" s="2"/>
      <c r="C3953" s="2"/>
      <c r="D3953" s="3"/>
      <c r="E3953" s="3"/>
      <c r="F3953" s="2"/>
      <c r="G3953" s="13">
        <f>IF($B3953="IN",$D3953,0)</f>
      </c>
      <c r="H3953" s="13">
        <f>IF($B3953="OUT",$D3953,0)</f>
      </c>
    </row>
    <row x14ac:dyDescent="0.25" r="3954" customHeight="1" ht="17.25">
      <c r="A3954" s="52"/>
      <c r="B3954" s="2"/>
      <c r="C3954" s="2"/>
      <c r="D3954" s="3"/>
      <c r="E3954" s="3"/>
      <c r="F3954" s="2"/>
      <c r="G3954" s="13">
        <f>IF($B3954="IN",$D3954,0)</f>
      </c>
      <c r="H3954" s="13">
        <f>IF($B3954="OUT",$D3954,0)</f>
      </c>
    </row>
    <row x14ac:dyDescent="0.25" r="3955" customHeight="1" ht="17.25">
      <c r="A3955" s="52"/>
      <c r="B3955" s="2"/>
      <c r="C3955" s="2"/>
      <c r="D3955" s="3"/>
      <c r="E3955" s="3"/>
      <c r="F3955" s="2"/>
      <c r="G3955" s="13">
        <f>IF($B3955="IN",$D3955,0)</f>
      </c>
      <c r="H3955" s="13">
        <f>IF($B3955="OUT",$D3955,0)</f>
      </c>
    </row>
    <row x14ac:dyDescent="0.25" r="3956" customHeight="1" ht="17.25">
      <c r="A3956" s="52"/>
      <c r="B3956" s="2"/>
      <c r="C3956" s="2"/>
      <c r="D3956" s="3"/>
      <c r="E3956" s="3"/>
      <c r="F3956" s="2"/>
      <c r="G3956" s="13">
        <f>IF($B3956="IN",$D3956,0)</f>
      </c>
      <c r="H3956" s="13">
        <f>IF($B3956="OUT",$D3956,0)</f>
      </c>
    </row>
    <row x14ac:dyDescent="0.25" r="3957" customHeight="1" ht="17.25">
      <c r="A3957" s="52"/>
      <c r="B3957" s="2"/>
      <c r="C3957" s="2"/>
      <c r="D3957" s="3"/>
      <c r="E3957" s="3"/>
      <c r="F3957" s="2"/>
      <c r="G3957" s="13">
        <f>IF($B3957="IN",$D3957,0)</f>
      </c>
      <c r="H3957" s="13">
        <f>IF($B3957="OUT",$D3957,0)</f>
      </c>
    </row>
    <row x14ac:dyDescent="0.25" r="3958" customHeight="1" ht="17.25">
      <c r="A3958" s="52"/>
      <c r="B3958" s="2"/>
      <c r="C3958" s="2"/>
      <c r="D3958" s="3"/>
      <c r="E3958" s="3"/>
      <c r="F3958" s="2"/>
      <c r="G3958" s="13">
        <f>IF($B3958="IN",$D3958,0)</f>
      </c>
      <c r="H3958" s="13">
        <f>IF($B3958="OUT",$D3958,0)</f>
      </c>
    </row>
    <row x14ac:dyDescent="0.25" r="3959" customHeight="1" ht="17.25">
      <c r="A3959" s="52"/>
      <c r="B3959" s="2"/>
      <c r="C3959" s="2"/>
      <c r="D3959" s="3"/>
      <c r="E3959" s="3"/>
      <c r="F3959" s="2"/>
      <c r="G3959" s="13">
        <f>IF($B3959="IN",$D3959,0)</f>
      </c>
      <c r="H3959" s="13">
        <f>IF($B3959="OUT",$D3959,0)</f>
      </c>
    </row>
    <row x14ac:dyDescent="0.25" r="3960" customHeight="1" ht="17.25">
      <c r="A3960" s="52"/>
      <c r="B3960" s="2"/>
      <c r="C3960" s="2"/>
      <c r="D3960" s="3"/>
      <c r="E3960" s="3"/>
      <c r="F3960" s="2"/>
      <c r="G3960" s="13">
        <f>IF($B3960="IN",$D3960,0)</f>
      </c>
      <c r="H3960" s="13">
        <f>IF($B3960="OUT",$D3960,0)</f>
      </c>
    </row>
    <row x14ac:dyDescent="0.25" r="3961" customHeight="1" ht="17.25">
      <c r="A3961" s="52"/>
      <c r="B3961" s="2"/>
      <c r="C3961" s="2"/>
      <c r="D3961" s="3"/>
      <c r="E3961" s="3"/>
      <c r="F3961" s="2"/>
      <c r="G3961" s="13">
        <f>IF($B3961="IN",$D3961,0)</f>
      </c>
      <c r="H3961" s="13">
        <f>IF($B3961="OUT",$D3961,0)</f>
      </c>
    </row>
    <row x14ac:dyDescent="0.25" r="3962" customHeight="1" ht="17.25">
      <c r="A3962" s="52"/>
      <c r="B3962" s="2"/>
      <c r="C3962" s="2"/>
      <c r="D3962" s="3"/>
      <c r="E3962" s="3"/>
      <c r="F3962" s="2"/>
      <c r="G3962" s="13">
        <f>IF($B3962="IN",$D3962,0)</f>
      </c>
      <c r="H3962" s="13">
        <f>IF($B3962="OUT",$D3962,0)</f>
      </c>
    </row>
    <row x14ac:dyDescent="0.25" r="3963" customHeight="1" ht="17.25">
      <c r="A3963" s="52"/>
      <c r="B3963" s="2"/>
      <c r="C3963" s="2"/>
      <c r="D3963" s="3"/>
      <c r="E3963" s="3"/>
      <c r="F3963" s="2"/>
      <c r="G3963" s="13">
        <f>IF($B3963="IN",$D3963,0)</f>
      </c>
      <c r="H3963" s="13">
        <f>IF($B3963="OUT",$D3963,0)</f>
      </c>
    </row>
    <row x14ac:dyDescent="0.25" r="3964" customHeight="1" ht="17.25">
      <c r="A3964" s="52"/>
      <c r="B3964" s="2"/>
      <c r="C3964" s="2"/>
      <c r="D3964" s="3"/>
      <c r="E3964" s="3"/>
      <c r="F3964" s="2"/>
      <c r="G3964" s="13">
        <f>IF($B3964="IN",$D3964,0)</f>
      </c>
      <c r="H3964" s="13">
        <f>IF($B3964="OUT",$D3964,0)</f>
      </c>
    </row>
    <row x14ac:dyDescent="0.25" r="3965" customHeight="1" ht="17.25">
      <c r="A3965" s="52"/>
      <c r="B3965" s="2"/>
      <c r="C3965" s="2"/>
      <c r="D3965" s="3"/>
      <c r="E3965" s="3"/>
      <c r="F3965" s="2"/>
      <c r="G3965" s="13">
        <f>IF($B3965="IN",$D3965,0)</f>
      </c>
      <c r="H3965" s="13">
        <f>IF($B3965="OUT",$D3965,0)</f>
      </c>
    </row>
    <row x14ac:dyDescent="0.25" r="3966" customHeight="1" ht="17.25">
      <c r="A3966" s="52"/>
      <c r="B3966" s="2"/>
      <c r="C3966" s="2"/>
      <c r="D3966" s="3"/>
      <c r="E3966" s="3"/>
      <c r="F3966" s="2"/>
      <c r="G3966" s="13">
        <f>IF($B3966="IN",$D3966,0)</f>
      </c>
      <c r="H3966" s="13">
        <f>IF($B3966="OUT",$D3966,0)</f>
      </c>
    </row>
    <row x14ac:dyDescent="0.25" r="3967" customHeight="1" ht="17.25">
      <c r="A3967" s="52"/>
      <c r="B3967" s="2"/>
      <c r="C3967" s="2"/>
      <c r="D3967" s="3"/>
      <c r="E3967" s="3"/>
      <c r="F3967" s="2"/>
      <c r="G3967" s="13">
        <f>IF($B3967="IN",$D3967,0)</f>
      </c>
      <c r="H3967" s="13">
        <f>IF($B3967="OUT",$D3967,0)</f>
      </c>
    </row>
    <row x14ac:dyDescent="0.25" r="3968" customHeight="1" ht="17.25">
      <c r="A3968" s="52"/>
      <c r="B3968" s="2"/>
      <c r="C3968" s="2"/>
      <c r="D3968" s="3"/>
      <c r="E3968" s="3"/>
      <c r="F3968" s="2"/>
      <c r="G3968" s="13">
        <f>IF($B3968="IN",$D3968,0)</f>
      </c>
      <c r="H3968" s="13">
        <f>IF($B3968="OUT",$D3968,0)</f>
      </c>
    </row>
    <row x14ac:dyDescent="0.25" r="3969" customHeight="1" ht="17.25">
      <c r="A3969" s="52"/>
      <c r="B3969" s="2"/>
      <c r="C3969" s="2"/>
      <c r="D3969" s="3"/>
      <c r="E3969" s="3"/>
      <c r="F3969" s="2"/>
      <c r="G3969" s="13">
        <f>IF($B3969="IN",$D3969,0)</f>
      </c>
      <c r="H3969" s="13">
        <f>IF($B3969="OUT",$D3969,0)</f>
      </c>
    </row>
    <row x14ac:dyDescent="0.25" r="3970" customHeight="1" ht="17.25">
      <c r="A3970" s="52"/>
      <c r="B3970" s="2"/>
      <c r="C3970" s="2"/>
      <c r="D3970" s="3"/>
      <c r="E3970" s="3"/>
      <c r="F3970" s="2"/>
      <c r="G3970" s="13">
        <f>IF($B3970="IN",$D3970,0)</f>
      </c>
      <c r="H3970" s="13">
        <f>IF($B3970="OUT",$D3970,0)</f>
      </c>
    </row>
    <row x14ac:dyDescent="0.25" r="3971" customHeight="1" ht="17.25">
      <c r="A3971" s="52"/>
      <c r="B3971" s="2"/>
      <c r="C3971" s="2"/>
      <c r="D3971" s="3"/>
      <c r="E3971" s="3"/>
      <c r="F3971" s="2"/>
      <c r="G3971" s="13">
        <f>IF($B3971="IN",$D3971,0)</f>
      </c>
      <c r="H3971" s="13">
        <f>IF($B3971="OUT",$D3971,0)</f>
      </c>
    </row>
    <row x14ac:dyDescent="0.25" r="3972" customHeight="1" ht="17.25">
      <c r="A3972" s="52"/>
      <c r="B3972" s="2"/>
      <c r="C3972" s="2"/>
      <c r="D3972" s="3"/>
      <c r="E3972" s="3"/>
      <c r="F3972" s="2"/>
      <c r="G3972" s="13">
        <f>IF($B3972="IN",$D3972,0)</f>
      </c>
      <c r="H3972" s="13">
        <f>IF($B3972="OUT",$D3972,0)</f>
      </c>
    </row>
    <row x14ac:dyDescent="0.25" r="3973" customHeight="1" ht="17.25">
      <c r="A3973" s="52"/>
      <c r="B3973" s="2"/>
      <c r="C3973" s="2"/>
      <c r="D3973" s="3"/>
      <c r="E3973" s="3"/>
      <c r="F3973" s="2"/>
      <c r="G3973" s="13">
        <f>IF($B3973="IN",$D3973,0)</f>
      </c>
      <c r="H3973" s="13">
        <f>IF($B3973="OUT",$D3973,0)</f>
      </c>
    </row>
    <row x14ac:dyDescent="0.25" r="3974" customHeight="1" ht="17.25">
      <c r="A3974" s="52"/>
      <c r="B3974" s="2"/>
      <c r="C3974" s="2"/>
      <c r="D3974" s="3"/>
      <c r="E3974" s="3"/>
      <c r="F3974" s="2"/>
      <c r="G3974" s="13">
        <f>IF($B3974="IN",$D3974,0)</f>
      </c>
      <c r="H3974" s="13">
        <f>IF($B3974="OUT",$D3974,0)</f>
      </c>
    </row>
    <row x14ac:dyDescent="0.25" r="3975" customHeight="1" ht="17.25">
      <c r="A3975" s="52"/>
      <c r="B3975" s="2"/>
      <c r="C3975" s="2"/>
      <c r="D3975" s="3"/>
      <c r="E3975" s="3"/>
      <c r="F3975" s="2"/>
      <c r="G3975" s="13">
        <f>IF($B3975="IN",$D3975,0)</f>
      </c>
      <c r="H3975" s="13">
        <f>IF($B3975="OUT",$D3975,0)</f>
      </c>
    </row>
    <row x14ac:dyDescent="0.25" r="3976" customHeight="1" ht="17.25">
      <c r="A3976" s="52"/>
      <c r="B3976" s="2"/>
      <c r="C3976" s="2"/>
      <c r="D3976" s="3"/>
      <c r="E3976" s="3"/>
      <c r="F3976" s="2"/>
      <c r="G3976" s="13">
        <f>IF($B3976="IN",$D3976,0)</f>
      </c>
      <c r="H3976" s="13">
        <f>IF($B3976="OUT",$D3976,0)</f>
      </c>
    </row>
    <row x14ac:dyDescent="0.25" r="3977" customHeight="1" ht="17.25">
      <c r="A3977" s="52"/>
      <c r="B3977" s="2"/>
      <c r="C3977" s="2"/>
      <c r="D3977" s="3"/>
      <c r="E3977" s="3"/>
      <c r="F3977" s="2"/>
      <c r="G3977" s="13">
        <f>IF($B3977="IN",$D3977,0)</f>
      </c>
      <c r="H3977" s="13">
        <f>IF($B3977="OUT",$D3977,0)</f>
      </c>
    </row>
    <row x14ac:dyDescent="0.25" r="3978" customHeight="1" ht="17.25">
      <c r="A3978" s="52"/>
      <c r="B3978" s="2"/>
      <c r="C3978" s="2"/>
      <c r="D3978" s="3"/>
      <c r="E3978" s="3"/>
      <c r="F3978" s="2"/>
      <c r="G3978" s="13">
        <f>IF($B3978="IN",$D3978,0)</f>
      </c>
      <c r="H3978" s="13">
        <f>IF($B3978="OUT",$D3978,0)</f>
      </c>
    </row>
    <row x14ac:dyDescent="0.25" r="3979" customHeight="1" ht="17.25">
      <c r="A3979" s="52"/>
      <c r="B3979" s="2"/>
      <c r="C3979" s="2"/>
      <c r="D3979" s="3"/>
      <c r="E3979" s="3"/>
      <c r="F3979" s="2"/>
      <c r="G3979" s="13">
        <f>IF($B3979="IN",$D3979,0)</f>
      </c>
      <c r="H3979" s="13">
        <f>IF($B3979="OUT",$D3979,0)</f>
      </c>
    </row>
    <row x14ac:dyDescent="0.25" r="3980" customHeight="1" ht="17.25">
      <c r="A3980" s="52"/>
      <c r="B3980" s="2"/>
      <c r="C3980" s="2"/>
      <c r="D3980" s="3"/>
      <c r="E3980" s="3"/>
      <c r="F3980" s="2"/>
      <c r="G3980" s="13">
        <f>IF($B3980="IN",$D3980,0)</f>
      </c>
      <c r="H3980" s="13">
        <f>IF($B3980="OUT",$D3980,0)</f>
      </c>
    </row>
    <row x14ac:dyDescent="0.25" r="3981" customHeight="1" ht="17.25">
      <c r="A3981" s="52"/>
      <c r="B3981" s="2"/>
      <c r="C3981" s="2"/>
      <c r="D3981" s="3"/>
      <c r="E3981" s="3"/>
      <c r="F3981" s="2"/>
      <c r="G3981" s="13">
        <f>IF($B3981="IN",$D3981,0)</f>
      </c>
      <c r="H3981" s="13">
        <f>IF($B3981="OUT",$D3981,0)</f>
      </c>
    </row>
    <row x14ac:dyDescent="0.25" r="3982" customHeight="1" ht="17.25">
      <c r="A3982" s="52"/>
      <c r="B3982" s="2"/>
      <c r="C3982" s="2"/>
      <c r="D3982" s="3"/>
      <c r="E3982" s="3"/>
      <c r="F3982" s="2"/>
      <c r="G3982" s="13">
        <f>IF($B3982="IN",$D3982,0)</f>
      </c>
      <c r="H3982" s="13">
        <f>IF($B3982="OUT",$D3982,0)</f>
      </c>
    </row>
    <row x14ac:dyDescent="0.25" r="3983" customHeight="1" ht="17.25">
      <c r="A3983" s="52"/>
      <c r="B3983" s="2"/>
      <c r="C3983" s="2"/>
      <c r="D3983" s="3"/>
      <c r="E3983" s="3"/>
      <c r="F3983" s="2"/>
      <c r="G3983" s="13">
        <f>IF($B3983="IN",$D3983,0)</f>
      </c>
      <c r="H3983" s="13">
        <f>IF($B3983="OUT",$D3983,0)</f>
      </c>
    </row>
    <row x14ac:dyDescent="0.25" r="3984" customHeight="1" ht="17.25">
      <c r="A3984" s="52"/>
      <c r="B3984" s="2"/>
      <c r="C3984" s="2"/>
      <c r="D3984" s="3"/>
      <c r="E3984" s="3"/>
      <c r="F3984" s="2"/>
      <c r="G3984" s="13">
        <f>IF($B3984="IN",$D3984,0)</f>
      </c>
      <c r="H3984" s="13">
        <f>IF($B3984="OUT",$D3984,0)</f>
      </c>
    </row>
    <row x14ac:dyDescent="0.25" r="3985" customHeight="1" ht="17.25">
      <c r="A3985" s="52"/>
      <c r="B3985" s="2"/>
      <c r="C3985" s="2"/>
      <c r="D3985" s="3"/>
      <c r="E3985" s="3"/>
      <c r="F3985" s="2"/>
      <c r="G3985" s="13">
        <f>IF($B3985="IN",$D3985,0)</f>
      </c>
      <c r="H3985" s="13">
        <f>IF($B3985="OUT",$D3985,0)</f>
      </c>
    </row>
    <row x14ac:dyDescent="0.25" r="3986" customHeight="1" ht="17.25">
      <c r="A3986" s="52"/>
      <c r="B3986" s="2"/>
      <c r="C3986" s="2"/>
      <c r="D3986" s="3"/>
      <c r="E3986" s="3"/>
      <c r="F3986" s="2"/>
      <c r="G3986" s="13">
        <f>IF($B3986="IN",$D3986,0)</f>
      </c>
      <c r="H3986" s="13">
        <f>IF($B3986="OUT",$D3986,0)</f>
      </c>
    </row>
    <row x14ac:dyDescent="0.25" r="3987" customHeight="1" ht="17.25">
      <c r="A3987" s="52"/>
      <c r="B3987" s="2"/>
      <c r="C3987" s="2"/>
      <c r="D3987" s="3"/>
      <c r="E3987" s="3"/>
      <c r="F3987" s="2"/>
      <c r="G3987" s="13">
        <f>IF($B3987="IN",$D3987,0)</f>
      </c>
      <c r="H3987" s="13">
        <f>IF($B3987="OUT",$D3987,0)</f>
      </c>
    </row>
    <row x14ac:dyDescent="0.25" r="3988" customHeight="1" ht="17.25">
      <c r="A3988" s="52"/>
      <c r="B3988" s="2"/>
      <c r="C3988" s="2"/>
      <c r="D3988" s="3"/>
      <c r="E3988" s="3"/>
      <c r="F3988" s="2"/>
      <c r="G3988" s="13">
        <f>IF($B3988="IN",$D3988,0)</f>
      </c>
      <c r="H3988" s="13">
        <f>IF($B3988="OUT",$D3988,0)</f>
      </c>
    </row>
    <row x14ac:dyDescent="0.25" r="3989" customHeight="1" ht="17.25">
      <c r="A3989" s="52"/>
      <c r="B3989" s="2"/>
      <c r="C3989" s="2"/>
      <c r="D3989" s="3"/>
      <c r="E3989" s="3"/>
      <c r="F3989" s="2"/>
      <c r="G3989" s="13">
        <f>IF($B3989="IN",$D3989,0)</f>
      </c>
      <c r="H3989" s="13">
        <f>IF($B3989="OUT",$D3989,0)</f>
      </c>
    </row>
    <row x14ac:dyDescent="0.25" r="3990" customHeight="1" ht="17.25">
      <c r="A3990" s="52"/>
      <c r="B3990" s="2"/>
      <c r="C3990" s="2"/>
      <c r="D3990" s="3"/>
      <c r="E3990" s="3"/>
      <c r="F3990" s="2"/>
      <c r="G3990" s="13">
        <f>IF($B3990="IN",$D3990,0)</f>
      </c>
      <c r="H3990" s="13">
        <f>IF($B3990="OUT",$D3990,0)</f>
      </c>
    </row>
    <row x14ac:dyDescent="0.25" r="3991" customHeight="1" ht="17.25">
      <c r="A3991" s="52"/>
      <c r="B3991" s="2"/>
      <c r="C3991" s="2"/>
      <c r="D3991" s="3"/>
      <c r="E3991" s="3"/>
      <c r="F3991" s="2"/>
      <c r="G3991" s="13">
        <f>IF($B3991="IN",$D3991,0)</f>
      </c>
      <c r="H3991" s="13">
        <f>IF($B3991="OUT",$D3991,0)</f>
      </c>
    </row>
    <row x14ac:dyDescent="0.25" r="3992" customHeight="1" ht="17.25">
      <c r="A3992" s="52"/>
      <c r="B3992" s="2"/>
      <c r="C3992" s="2"/>
      <c r="D3992" s="3"/>
      <c r="E3992" s="3"/>
      <c r="F3992" s="2"/>
      <c r="G3992" s="13">
        <f>IF($B3992="IN",$D3992,0)</f>
      </c>
      <c r="H3992" s="13">
        <f>IF($B3992="OUT",$D3992,0)</f>
      </c>
    </row>
    <row x14ac:dyDescent="0.25" r="3993" customHeight="1" ht="17.25">
      <c r="A3993" s="52"/>
      <c r="B3993" s="2"/>
      <c r="C3993" s="2"/>
      <c r="D3993" s="3"/>
      <c r="E3993" s="3"/>
      <c r="F3993" s="2"/>
      <c r="G3993" s="13">
        <f>IF($B3993="IN",$D3993,0)</f>
      </c>
      <c r="H3993" s="13">
        <f>IF($B3993="OUT",$D3993,0)</f>
      </c>
    </row>
    <row x14ac:dyDescent="0.25" r="3994" customHeight="1" ht="17.25">
      <c r="A3994" s="52"/>
      <c r="B3994" s="2"/>
      <c r="C3994" s="2"/>
      <c r="D3994" s="3"/>
      <c r="E3994" s="3"/>
      <c r="F3994" s="2"/>
      <c r="G3994" s="13">
        <f>IF($B3994="IN",$D3994,0)</f>
      </c>
      <c r="H3994" s="13">
        <f>IF($B3994="OUT",$D3994,0)</f>
      </c>
    </row>
    <row x14ac:dyDescent="0.25" r="3995" customHeight="1" ht="17.25">
      <c r="A3995" s="52"/>
      <c r="B3995" s="2"/>
      <c r="C3995" s="2"/>
      <c r="D3995" s="3"/>
      <c r="E3995" s="3"/>
      <c r="F3995" s="2"/>
      <c r="G3995" s="13">
        <f>IF($B3995="IN",$D3995,0)</f>
      </c>
      <c r="H3995" s="13">
        <f>IF($B3995="OUT",$D3995,0)</f>
      </c>
    </row>
    <row x14ac:dyDescent="0.25" r="3996" customHeight="1" ht="17.25">
      <c r="A3996" s="52"/>
      <c r="B3996" s="2"/>
      <c r="C3996" s="2"/>
      <c r="D3996" s="3"/>
      <c r="E3996" s="3"/>
      <c r="F3996" s="2"/>
      <c r="G3996" s="13">
        <f>IF($B3996="IN",$D3996,0)</f>
      </c>
      <c r="H3996" s="13">
        <f>IF($B3996="OUT",$D3996,0)</f>
      </c>
    </row>
    <row x14ac:dyDescent="0.25" r="3997" customHeight="1" ht="17.25">
      <c r="A3997" s="52"/>
      <c r="B3997" s="2"/>
      <c r="C3997" s="2"/>
      <c r="D3997" s="3"/>
      <c r="E3997" s="3"/>
      <c r="F3997" s="2"/>
      <c r="G3997" s="13">
        <f>IF($B3997="IN",$D3997,0)</f>
      </c>
      <c r="H3997" s="13">
        <f>IF($B3997="OUT",$D3997,0)</f>
      </c>
    </row>
    <row x14ac:dyDescent="0.25" r="3998" customHeight="1" ht="17.25">
      <c r="A3998" s="52"/>
      <c r="B3998" s="2"/>
      <c r="C3998" s="2"/>
      <c r="D3998" s="3"/>
      <c r="E3998" s="3"/>
      <c r="F3998" s="2"/>
      <c r="G3998" s="13">
        <f>IF($B3998="IN",$D3998,0)</f>
      </c>
      <c r="H3998" s="13">
        <f>IF($B3998="OUT",$D3998,0)</f>
      </c>
    </row>
    <row x14ac:dyDescent="0.25" r="3999" customHeight="1" ht="17.25">
      <c r="A3999" s="52"/>
      <c r="B3999" s="2"/>
      <c r="C3999" s="2"/>
      <c r="D3999" s="3"/>
      <c r="E3999" s="3"/>
      <c r="F3999" s="2"/>
      <c r="G3999" s="13">
        <f>IF($B3999="IN",$D3999,0)</f>
      </c>
      <c r="H3999" s="13">
        <f>IF($B3999="OUT",$D3999,0)</f>
      </c>
    </row>
    <row x14ac:dyDescent="0.25" r="4000" customHeight="1" ht="17.25">
      <c r="A4000" s="52"/>
      <c r="B4000" s="2"/>
      <c r="C4000" s="2"/>
      <c r="D4000" s="3"/>
      <c r="E4000" s="3"/>
      <c r="F4000" s="2"/>
      <c r="G4000" s="13">
        <f>IF($B4000="IN",$D4000,0)</f>
      </c>
      <c r="H4000" s="13">
        <f>IF($B4000="OUT",$D4000,0)</f>
      </c>
    </row>
    <row x14ac:dyDescent="0.25" r="4001" customHeight="1" ht="17.25">
      <c r="A4001" s="52"/>
      <c r="B4001" s="2"/>
      <c r="C4001" s="2"/>
      <c r="D4001" s="3"/>
      <c r="E4001" s="3"/>
      <c r="F4001" s="2"/>
      <c r="G4001" s="13">
        <f>IF($B4001="IN",$D4001,0)</f>
      </c>
      <c r="H4001" s="13">
        <f>IF($B4001="OUT",$D4001,0)</f>
      </c>
    </row>
    <row x14ac:dyDescent="0.25" r="4002" customHeight="1" ht="17.25">
      <c r="A4002" s="52"/>
      <c r="B4002" s="2"/>
      <c r="C4002" s="2"/>
      <c r="D4002" s="3"/>
      <c r="E4002" s="3"/>
      <c r="F4002" s="2"/>
      <c r="G4002" s="13">
        <f>IF($B4002="IN",$D4002,0)</f>
      </c>
      <c r="H4002" s="13">
        <f>IF($B4002="OUT",$D4002,0)</f>
      </c>
    </row>
    <row x14ac:dyDescent="0.25" r="4003" customHeight="1" ht="17.25">
      <c r="A4003" s="52"/>
      <c r="B4003" s="2"/>
      <c r="C4003" s="2"/>
      <c r="D4003" s="3"/>
      <c r="E4003" s="3"/>
      <c r="F4003" s="2"/>
      <c r="G4003" s="13">
        <f>IF($B4003="IN",$D4003,0)</f>
      </c>
      <c r="H4003" s="13">
        <f>IF($B4003="OUT",$D4003,0)</f>
      </c>
    </row>
    <row x14ac:dyDescent="0.25" r="4004" customHeight="1" ht="17.25">
      <c r="A4004" s="52"/>
      <c r="B4004" s="2"/>
      <c r="C4004" s="2"/>
      <c r="D4004" s="3"/>
      <c r="E4004" s="3"/>
      <c r="F4004" s="2"/>
      <c r="G4004" s="13">
        <f>IF($B4004="IN",$D4004,0)</f>
      </c>
      <c r="H4004" s="13">
        <f>IF($B4004="OUT",$D4004,0)</f>
      </c>
    </row>
    <row x14ac:dyDescent="0.25" r="4005" customHeight="1" ht="17.25">
      <c r="A4005" s="52"/>
      <c r="B4005" s="2"/>
      <c r="C4005" s="2"/>
      <c r="D4005" s="3"/>
      <c r="E4005" s="3"/>
      <c r="F4005" s="2"/>
      <c r="G4005" s="13">
        <f>IF($B4005="IN",$D4005,0)</f>
      </c>
      <c r="H4005" s="13">
        <f>IF($B4005="OUT",$D4005,0)</f>
      </c>
    </row>
    <row x14ac:dyDescent="0.25" r="4006" customHeight="1" ht="17.25">
      <c r="A4006" s="52"/>
      <c r="B4006" s="2"/>
      <c r="C4006" s="2"/>
      <c r="D4006" s="3"/>
      <c r="E4006" s="3"/>
      <c r="F4006" s="2"/>
      <c r="G4006" s="13">
        <f>IF($B4006="IN",$D4006,0)</f>
      </c>
      <c r="H4006" s="13">
        <f>IF($B4006="OUT",$D4006,0)</f>
      </c>
    </row>
    <row x14ac:dyDescent="0.25" r="4007" customHeight="1" ht="17.25">
      <c r="A4007" s="52"/>
      <c r="B4007" s="2"/>
      <c r="C4007" s="2"/>
      <c r="D4007" s="3"/>
      <c r="E4007" s="3"/>
      <c r="F4007" s="2"/>
      <c r="G4007" s="13">
        <f>IF($B4007="IN",$D4007,0)</f>
      </c>
      <c r="H4007" s="13">
        <f>IF($B4007="OUT",$D4007,0)</f>
      </c>
    </row>
    <row x14ac:dyDescent="0.25" r="4008" customHeight="1" ht="17.25">
      <c r="A4008" s="52"/>
      <c r="B4008" s="2"/>
      <c r="C4008" s="2"/>
      <c r="D4008" s="3"/>
      <c r="E4008" s="3"/>
      <c r="F4008" s="2"/>
      <c r="G4008" s="13">
        <f>IF($B4008="IN",$D4008,0)</f>
      </c>
      <c r="H4008" s="13">
        <f>IF($B4008="OUT",$D4008,0)</f>
      </c>
    </row>
    <row x14ac:dyDescent="0.25" r="4009" customHeight="1" ht="17.25">
      <c r="A4009" s="52"/>
      <c r="B4009" s="2"/>
      <c r="C4009" s="2"/>
      <c r="D4009" s="3"/>
      <c r="E4009" s="3"/>
      <c r="F4009" s="2"/>
      <c r="G4009" s="13">
        <f>IF($B4009="IN",$D4009,0)</f>
      </c>
      <c r="H4009" s="13">
        <f>IF($B4009="OUT",$D4009,0)</f>
      </c>
    </row>
    <row x14ac:dyDescent="0.25" r="4010" customHeight="1" ht="17.25">
      <c r="A4010" s="52"/>
      <c r="B4010" s="2"/>
      <c r="C4010" s="2"/>
      <c r="D4010" s="3"/>
      <c r="E4010" s="3"/>
      <c r="F4010" s="2"/>
      <c r="G4010" s="13">
        <f>IF($B4010="IN",$D4010,0)</f>
      </c>
      <c r="H4010" s="13">
        <f>IF($B4010="OUT",$D4010,0)</f>
      </c>
    </row>
    <row x14ac:dyDescent="0.25" r="4011" customHeight="1" ht="17.25">
      <c r="A4011" s="52"/>
      <c r="B4011" s="2"/>
      <c r="C4011" s="2"/>
      <c r="D4011" s="3"/>
      <c r="E4011" s="3"/>
      <c r="F4011" s="2"/>
      <c r="G4011" s="13">
        <f>IF($B4011="IN",$D4011,0)</f>
      </c>
      <c r="H4011" s="13">
        <f>IF($B4011="OUT",$D4011,0)</f>
      </c>
    </row>
    <row x14ac:dyDescent="0.25" r="4012" customHeight="1" ht="17.25">
      <c r="A4012" s="52"/>
      <c r="B4012" s="2"/>
      <c r="C4012" s="2"/>
      <c r="D4012" s="3"/>
      <c r="E4012" s="3"/>
      <c r="F4012" s="2"/>
      <c r="G4012" s="13">
        <f>IF($B4012="IN",$D4012,0)</f>
      </c>
      <c r="H4012" s="13">
        <f>IF($B4012="OUT",$D4012,0)</f>
      </c>
    </row>
    <row x14ac:dyDescent="0.25" r="4013" customHeight="1" ht="17.25">
      <c r="A4013" s="52"/>
      <c r="B4013" s="2"/>
      <c r="C4013" s="2"/>
      <c r="D4013" s="3"/>
      <c r="E4013" s="3"/>
      <c r="F4013" s="2"/>
      <c r="G4013" s="13">
        <f>IF($B4013="IN",$D4013,0)</f>
      </c>
      <c r="H4013" s="13">
        <f>IF($B4013="OUT",$D4013,0)</f>
      </c>
    </row>
    <row x14ac:dyDescent="0.25" r="4014" customHeight="1" ht="17.25">
      <c r="A4014" s="52"/>
      <c r="B4014" s="2"/>
      <c r="C4014" s="2"/>
      <c r="D4014" s="3"/>
      <c r="E4014" s="3"/>
      <c r="F4014" s="2"/>
      <c r="G4014" s="13">
        <f>IF($B4014="IN",$D4014,0)</f>
      </c>
      <c r="H4014" s="13">
        <f>IF($B4014="OUT",$D4014,0)</f>
      </c>
    </row>
    <row x14ac:dyDescent="0.25" r="4015" customHeight="1" ht="17.25">
      <c r="A4015" s="52"/>
      <c r="B4015" s="2"/>
      <c r="C4015" s="2"/>
      <c r="D4015" s="3"/>
      <c r="E4015" s="3"/>
      <c r="F4015" s="2"/>
      <c r="G4015" s="13">
        <f>IF($B4015="IN",$D4015,0)</f>
      </c>
      <c r="H4015" s="13">
        <f>IF($B4015="OUT",$D4015,0)</f>
      </c>
    </row>
    <row x14ac:dyDescent="0.25" r="4016" customHeight="1" ht="17.25">
      <c r="A4016" s="52"/>
      <c r="B4016" s="2"/>
      <c r="C4016" s="2"/>
      <c r="D4016" s="3"/>
      <c r="E4016" s="3"/>
      <c r="F4016" s="2"/>
      <c r="G4016" s="13">
        <f>IF($B4016="IN",$D4016,0)</f>
      </c>
      <c r="H4016" s="13">
        <f>IF($B4016="OUT",$D4016,0)</f>
      </c>
    </row>
    <row x14ac:dyDescent="0.25" r="4017" customHeight="1" ht="17.25">
      <c r="A4017" s="52"/>
      <c r="B4017" s="2"/>
      <c r="C4017" s="2"/>
      <c r="D4017" s="3"/>
      <c r="E4017" s="3"/>
      <c r="F4017" s="2"/>
      <c r="G4017" s="13">
        <f>IF($B4017="IN",$D4017,0)</f>
      </c>
      <c r="H4017" s="13">
        <f>IF($B4017="OUT",$D4017,0)</f>
      </c>
    </row>
    <row x14ac:dyDescent="0.25" r="4018" customHeight="1" ht="17.25">
      <c r="A4018" s="52"/>
      <c r="B4018" s="2"/>
      <c r="C4018" s="2"/>
      <c r="D4018" s="3"/>
      <c r="E4018" s="3"/>
      <c r="F4018" s="2"/>
      <c r="G4018" s="13">
        <f>IF($B4018="IN",$D4018,0)</f>
      </c>
      <c r="H4018" s="13">
        <f>IF($B4018="OUT",$D4018,0)</f>
      </c>
    </row>
    <row x14ac:dyDescent="0.25" r="4019" customHeight="1" ht="17.25">
      <c r="A4019" s="52"/>
      <c r="B4019" s="2"/>
      <c r="C4019" s="2"/>
      <c r="D4019" s="3"/>
      <c r="E4019" s="3"/>
      <c r="F4019" s="2"/>
      <c r="G4019" s="13">
        <f>IF($B4019="IN",$D4019,0)</f>
      </c>
      <c r="H4019" s="13">
        <f>IF($B4019="OUT",$D4019,0)</f>
      </c>
    </row>
    <row x14ac:dyDescent="0.25" r="4020" customHeight="1" ht="17.25">
      <c r="A4020" s="52"/>
      <c r="B4020" s="2"/>
      <c r="C4020" s="2"/>
      <c r="D4020" s="3"/>
      <c r="E4020" s="3"/>
      <c r="F4020" s="2"/>
      <c r="G4020" s="13">
        <f>IF($B4020="IN",$D4020,0)</f>
      </c>
      <c r="H4020" s="13">
        <f>IF($B4020="OUT",$D4020,0)</f>
      </c>
    </row>
    <row x14ac:dyDescent="0.25" r="4021" customHeight="1" ht="17.25">
      <c r="A4021" s="52"/>
      <c r="B4021" s="2"/>
      <c r="C4021" s="2"/>
      <c r="D4021" s="3"/>
      <c r="E4021" s="3"/>
      <c r="F4021" s="2"/>
      <c r="G4021" s="13">
        <f>IF($B4021="IN",$D4021,0)</f>
      </c>
      <c r="H4021" s="13">
        <f>IF($B4021="OUT",$D4021,0)</f>
      </c>
    </row>
    <row x14ac:dyDescent="0.25" r="4022" customHeight="1" ht="17.25">
      <c r="A4022" s="52"/>
      <c r="B4022" s="2"/>
      <c r="C4022" s="2"/>
      <c r="D4022" s="3"/>
      <c r="E4022" s="3"/>
      <c r="F4022" s="2"/>
      <c r="G4022" s="13">
        <f>IF($B4022="IN",$D4022,0)</f>
      </c>
      <c r="H4022" s="13">
        <f>IF($B4022="OUT",$D4022,0)</f>
      </c>
    </row>
    <row x14ac:dyDescent="0.25" r="4023" customHeight="1" ht="17.25">
      <c r="A4023" s="52"/>
      <c r="B4023" s="2"/>
      <c r="C4023" s="2"/>
      <c r="D4023" s="3"/>
      <c r="E4023" s="3"/>
      <c r="F4023" s="2"/>
      <c r="G4023" s="13">
        <f>IF($B4023="IN",$D4023,0)</f>
      </c>
      <c r="H4023" s="13">
        <f>IF($B4023="OUT",$D4023,0)</f>
      </c>
    </row>
    <row x14ac:dyDescent="0.25" r="4024" customHeight="1" ht="17.25">
      <c r="A4024" s="52"/>
      <c r="B4024" s="2"/>
      <c r="C4024" s="2"/>
      <c r="D4024" s="3"/>
      <c r="E4024" s="3"/>
      <c r="F4024" s="2"/>
      <c r="G4024" s="13">
        <f>IF($B4024="IN",$D4024,0)</f>
      </c>
      <c r="H4024" s="13">
        <f>IF($B4024="OUT",$D4024,0)</f>
      </c>
    </row>
    <row x14ac:dyDescent="0.25" r="4025" customHeight="1" ht="17.25">
      <c r="A4025" s="52"/>
      <c r="B4025" s="2"/>
      <c r="C4025" s="2"/>
      <c r="D4025" s="3"/>
      <c r="E4025" s="3"/>
      <c r="F4025" s="2"/>
      <c r="G4025" s="13">
        <f>IF($B4025="IN",$D4025,0)</f>
      </c>
      <c r="H4025" s="13">
        <f>IF($B4025="OUT",$D4025,0)</f>
      </c>
    </row>
    <row x14ac:dyDescent="0.25" r="4026" customHeight="1" ht="17.25">
      <c r="A4026" s="52"/>
      <c r="B4026" s="2"/>
      <c r="C4026" s="2"/>
      <c r="D4026" s="3"/>
      <c r="E4026" s="3"/>
      <c r="F4026" s="2"/>
      <c r="G4026" s="13">
        <f>IF($B4026="IN",$D4026,0)</f>
      </c>
      <c r="H4026" s="13">
        <f>IF($B4026="OUT",$D4026,0)</f>
      </c>
    </row>
    <row x14ac:dyDescent="0.25" r="4027" customHeight="1" ht="17.25">
      <c r="A4027" s="52"/>
      <c r="B4027" s="2"/>
      <c r="C4027" s="2"/>
      <c r="D4027" s="3"/>
      <c r="E4027" s="3"/>
      <c r="F4027" s="2"/>
      <c r="G4027" s="13">
        <f>IF($B4027="IN",$D4027,0)</f>
      </c>
      <c r="H4027" s="13">
        <f>IF($B4027="OUT",$D4027,0)</f>
      </c>
    </row>
    <row x14ac:dyDescent="0.25" r="4028" customHeight="1" ht="17.25">
      <c r="A4028" s="52"/>
      <c r="B4028" s="2"/>
      <c r="C4028" s="2"/>
      <c r="D4028" s="3"/>
      <c r="E4028" s="3"/>
      <c r="F4028" s="2"/>
      <c r="G4028" s="13">
        <f>IF($B4028="IN",$D4028,0)</f>
      </c>
      <c r="H4028" s="13">
        <f>IF($B4028="OUT",$D4028,0)</f>
      </c>
    </row>
    <row x14ac:dyDescent="0.25" r="4029" customHeight="1" ht="17.25">
      <c r="A4029" s="52"/>
      <c r="B4029" s="2"/>
      <c r="C4029" s="2"/>
      <c r="D4029" s="3"/>
      <c r="E4029" s="3"/>
      <c r="F4029" s="2"/>
      <c r="G4029" s="13">
        <f>IF($B4029="IN",$D4029,0)</f>
      </c>
      <c r="H4029" s="13">
        <f>IF($B4029="OUT",$D4029,0)</f>
      </c>
    </row>
    <row x14ac:dyDescent="0.25" r="4030" customHeight="1" ht="17.25">
      <c r="A4030" s="52"/>
      <c r="B4030" s="2"/>
      <c r="C4030" s="2"/>
      <c r="D4030" s="3"/>
      <c r="E4030" s="3"/>
      <c r="F4030" s="2"/>
      <c r="G4030" s="13">
        <f>IF($B4030="IN",$D4030,0)</f>
      </c>
      <c r="H4030" s="13">
        <f>IF($B4030="OUT",$D4030,0)</f>
      </c>
    </row>
    <row x14ac:dyDescent="0.25" r="4031" customHeight="1" ht="17.25">
      <c r="A4031" s="52"/>
      <c r="B4031" s="2"/>
      <c r="C4031" s="2"/>
      <c r="D4031" s="3"/>
      <c r="E4031" s="3"/>
      <c r="F4031" s="2"/>
      <c r="G4031" s="13">
        <f>IF($B4031="IN",$D4031,0)</f>
      </c>
      <c r="H4031" s="13">
        <f>IF($B4031="OUT",$D4031,0)</f>
      </c>
    </row>
    <row x14ac:dyDescent="0.25" r="4032" customHeight="1" ht="17.25">
      <c r="A4032" s="52"/>
      <c r="B4032" s="2"/>
      <c r="C4032" s="2"/>
      <c r="D4032" s="3"/>
      <c r="E4032" s="3"/>
      <c r="F4032" s="2"/>
      <c r="G4032" s="13">
        <f>IF($B4032="IN",$D4032,0)</f>
      </c>
      <c r="H4032" s="13">
        <f>IF($B4032="OUT",$D4032,0)</f>
      </c>
    </row>
    <row x14ac:dyDescent="0.25" r="4033" customHeight="1" ht="17.25">
      <c r="A4033" s="52"/>
      <c r="B4033" s="2"/>
      <c r="C4033" s="2"/>
      <c r="D4033" s="3"/>
      <c r="E4033" s="3"/>
      <c r="F4033" s="2"/>
      <c r="G4033" s="13">
        <f>IF($B4033="IN",$D4033,0)</f>
      </c>
      <c r="H4033" s="13">
        <f>IF($B4033="OUT",$D4033,0)</f>
      </c>
    </row>
    <row x14ac:dyDescent="0.25" r="4034" customHeight="1" ht="17.25">
      <c r="A4034" s="52"/>
      <c r="B4034" s="2"/>
      <c r="C4034" s="2"/>
      <c r="D4034" s="3"/>
      <c r="E4034" s="3"/>
      <c r="F4034" s="2"/>
      <c r="G4034" s="13">
        <f>IF($B4034="IN",$D4034,0)</f>
      </c>
      <c r="H4034" s="13">
        <f>IF($B4034="OUT",$D4034,0)</f>
      </c>
    </row>
    <row x14ac:dyDescent="0.25" r="4035" customHeight="1" ht="17.25">
      <c r="A4035" s="52"/>
      <c r="B4035" s="2"/>
      <c r="C4035" s="2"/>
      <c r="D4035" s="3"/>
      <c r="E4035" s="3"/>
      <c r="F4035" s="2"/>
      <c r="G4035" s="13">
        <f>IF($B4035="IN",$D4035,0)</f>
      </c>
      <c r="H4035" s="13">
        <f>IF($B4035="OUT",$D4035,0)</f>
      </c>
    </row>
    <row x14ac:dyDescent="0.25" r="4036" customHeight="1" ht="17.25">
      <c r="A4036" s="52"/>
      <c r="B4036" s="2"/>
      <c r="C4036" s="2"/>
      <c r="D4036" s="3"/>
      <c r="E4036" s="3"/>
      <c r="F4036" s="2"/>
      <c r="G4036" s="13">
        <f>IF($B4036="IN",$D4036,0)</f>
      </c>
      <c r="H4036" s="13">
        <f>IF($B4036="OUT",$D4036,0)</f>
      </c>
    </row>
    <row x14ac:dyDescent="0.25" r="4037" customHeight="1" ht="17.25">
      <c r="A4037" s="52"/>
      <c r="B4037" s="2"/>
      <c r="C4037" s="2"/>
      <c r="D4037" s="3"/>
      <c r="E4037" s="3"/>
      <c r="F4037" s="2"/>
      <c r="G4037" s="13">
        <f>IF($B4037="IN",$D4037,0)</f>
      </c>
      <c r="H4037" s="13">
        <f>IF($B4037="OUT",$D4037,0)</f>
      </c>
    </row>
    <row x14ac:dyDescent="0.25" r="4038" customHeight="1" ht="17.25">
      <c r="A4038" s="52"/>
      <c r="B4038" s="2"/>
      <c r="C4038" s="2"/>
      <c r="D4038" s="3"/>
      <c r="E4038" s="3"/>
      <c r="F4038" s="2"/>
      <c r="G4038" s="13">
        <f>IF($B4038="IN",$D4038,0)</f>
      </c>
      <c r="H4038" s="13">
        <f>IF($B4038="OUT",$D4038,0)</f>
      </c>
    </row>
    <row x14ac:dyDescent="0.25" r="4039" customHeight="1" ht="17.25">
      <c r="A4039" s="52"/>
      <c r="B4039" s="2"/>
      <c r="C4039" s="2"/>
      <c r="D4039" s="3"/>
      <c r="E4039" s="3"/>
      <c r="F4039" s="2"/>
      <c r="G4039" s="13">
        <f>IF($B4039="IN",$D4039,0)</f>
      </c>
      <c r="H4039" s="13">
        <f>IF($B4039="OUT",$D4039,0)</f>
      </c>
    </row>
    <row x14ac:dyDescent="0.25" r="4040" customHeight="1" ht="17.25">
      <c r="A4040" s="52"/>
      <c r="B4040" s="2"/>
      <c r="C4040" s="2"/>
      <c r="D4040" s="3"/>
      <c r="E4040" s="3"/>
      <c r="F4040" s="2"/>
      <c r="G4040" s="13">
        <f>IF($B4040="IN",$D4040,0)</f>
      </c>
      <c r="H4040" s="13">
        <f>IF($B4040="OUT",$D4040,0)</f>
      </c>
    </row>
    <row x14ac:dyDescent="0.25" r="4041" customHeight="1" ht="17.25">
      <c r="A4041" s="52"/>
      <c r="B4041" s="2"/>
      <c r="C4041" s="2"/>
      <c r="D4041" s="3"/>
      <c r="E4041" s="3"/>
      <c r="F4041" s="2"/>
      <c r="G4041" s="13">
        <f>IF($B4041="IN",$D4041,0)</f>
      </c>
      <c r="H4041" s="13">
        <f>IF($B4041="OUT",$D4041,0)</f>
      </c>
    </row>
    <row x14ac:dyDescent="0.25" r="4042" customHeight="1" ht="17.25">
      <c r="A4042" s="52"/>
      <c r="B4042" s="2"/>
      <c r="C4042" s="2"/>
      <c r="D4042" s="3"/>
      <c r="E4042" s="3"/>
      <c r="F4042" s="2"/>
      <c r="G4042" s="13">
        <f>IF($B4042="IN",$D4042,0)</f>
      </c>
      <c r="H4042" s="13">
        <f>IF($B4042="OUT",$D4042,0)</f>
      </c>
    </row>
    <row x14ac:dyDescent="0.25" r="4043" customHeight="1" ht="17.25">
      <c r="A4043" s="52"/>
      <c r="B4043" s="2"/>
      <c r="C4043" s="2"/>
      <c r="D4043" s="3"/>
      <c r="E4043" s="3"/>
      <c r="F4043" s="2"/>
      <c r="G4043" s="13">
        <f>IF($B4043="IN",$D4043,0)</f>
      </c>
      <c r="H4043" s="13">
        <f>IF($B4043="OUT",$D4043,0)</f>
      </c>
    </row>
    <row x14ac:dyDescent="0.25" r="4044" customHeight="1" ht="17.25">
      <c r="A4044" s="52"/>
      <c r="B4044" s="2"/>
      <c r="C4044" s="2"/>
      <c r="D4044" s="3"/>
      <c r="E4044" s="3"/>
      <c r="F4044" s="2"/>
      <c r="G4044" s="13">
        <f>IF($B4044="IN",$D4044,0)</f>
      </c>
      <c r="H4044" s="13">
        <f>IF($B4044="OUT",$D4044,0)</f>
      </c>
    </row>
    <row x14ac:dyDescent="0.25" r="4045" customHeight="1" ht="17.25">
      <c r="A4045" s="52"/>
      <c r="B4045" s="2"/>
      <c r="C4045" s="2"/>
      <c r="D4045" s="3"/>
      <c r="E4045" s="3"/>
      <c r="F4045" s="2"/>
      <c r="G4045" s="13">
        <f>IF($B4045="IN",$D4045,0)</f>
      </c>
      <c r="H4045" s="13">
        <f>IF($B4045="OUT",$D4045,0)</f>
      </c>
    </row>
    <row x14ac:dyDescent="0.25" r="4046" customHeight="1" ht="17.25">
      <c r="A4046" s="52"/>
      <c r="B4046" s="2"/>
      <c r="C4046" s="2"/>
      <c r="D4046" s="3"/>
      <c r="E4046" s="3"/>
      <c r="F4046" s="2"/>
      <c r="G4046" s="13">
        <f>IF($B4046="IN",$D4046,0)</f>
      </c>
      <c r="H4046" s="13">
        <f>IF($B4046="OUT",$D4046,0)</f>
      </c>
    </row>
    <row x14ac:dyDescent="0.25" r="4047" customHeight="1" ht="17.25">
      <c r="A4047" s="52"/>
      <c r="B4047" s="2"/>
      <c r="C4047" s="2"/>
      <c r="D4047" s="3"/>
      <c r="E4047" s="3"/>
      <c r="F4047" s="2"/>
      <c r="G4047" s="13">
        <f>IF($B4047="IN",$D4047,0)</f>
      </c>
      <c r="H4047" s="13">
        <f>IF($B4047="OUT",$D4047,0)</f>
      </c>
    </row>
    <row x14ac:dyDescent="0.25" r="4048" customHeight="1" ht="17.25">
      <c r="A4048" s="52"/>
      <c r="B4048" s="2"/>
      <c r="C4048" s="2"/>
      <c r="D4048" s="3"/>
      <c r="E4048" s="3"/>
      <c r="F4048" s="2"/>
      <c r="G4048" s="13">
        <f>IF($B4048="IN",$D4048,0)</f>
      </c>
      <c r="H4048" s="13">
        <f>IF($B4048="OUT",$D4048,0)</f>
      </c>
    </row>
    <row x14ac:dyDescent="0.25" r="4049" customHeight="1" ht="17.25">
      <c r="A4049" s="52"/>
      <c r="B4049" s="2"/>
      <c r="C4049" s="2"/>
      <c r="D4049" s="3"/>
      <c r="E4049" s="3"/>
      <c r="F4049" s="2"/>
      <c r="G4049" s="13">
        <f>IF($B4049="IN",$D4049,0)</f>
      </c>
      <c r="H4049" s="13">
        <f>IF($B4049="OUT",$D4049,0)</f>
      </c>
    </row>
    <row x14ac:dyDescent="0.25" r="4050" customHeight="1" ht="17.25">
      <c r="A4050" s="52"/>
      <c r="B4050" s="2"/>
      <c r="C4050" s="2"/>
      <c r="D4050" s="3"/>
      <c r="E4050" s="3"/>
      <c r="F4050" s="2"/>
      <c r="G4050" s="13">
        <f>IF($B4050="IN",$D4050,0)</f>
      </c>
      <c r="H4050" s="13">
        <f>IF($B4050="OUT",$D4050,0)</f>
      </c>
    </row>
    <row x14ac:dyDescent="0.25" r="4051" customHeight="1" ht="17.25">
      <c r="A4051" s="52"/>
      <c r="B4051" s="2"/>
      <c r="C4051" s="2"/>
      <c r="D4051" s="3"/>
      <c r="E4051" s="3"/>
      <c r="F4051" s="2"/>
      <c r="G4051" s="13">
        <f>IF($B4051="IN",$D4051,0)</f>
      </c>
      <c r="H4051" s="13">
        <f>IF($B4051="OUT",$D4051,0)</f>
      </c>
    </row>
    <row x14ac:dyDescent="0.25" r="4052" customHeight="1" ht="17.25">
      <c r="A4052" s="52"/>
      <c r="B4052" s="2"/>
      <c r="C4052" s="2"/>
      <c r="D4052" s="3"/>
      <c r="E4052" s="3"/>
      <c r="F4052" s="2"/>
      <c r="G4052" s="13">
        <f>IF($B4052="IN",$D4052,0)</f>
      </c>
      <c r="H4052" s="13">
        <f>IF($B4052="OUT",$D4052,0)</f>
      </c>
    </row>
    <row x14ac:dyDescent="0.25" r="4053" customHeight="1" ht="17.25">
      <c r="A4053" s="52"/>
      <c r="B4053" s="2"/>
      <c r="C4053" s="2"/>
      <c r="D4053" s="3"/>
      <c r="E4053" s="3"/>
      <c r="F4053" s="2"/>
      <c r="G4053" s="13">
        <f>IF($B4053="IN",$D4053,0)</f>
      </c>
      <c r="H4053" s="13">
        <f>IF($B4053="OUT",$D4053,0)</f>
      </c>
    </row>
    <row x14ac:dyDescent="0.25" r="4054" customHeight="1" ht="17.25">
      <c r="A4054" s="52"/>
      <c r="B4054" s="2"/>
      <c r="C4054" s="2"/>
      <c r="D4054" s="3"/>
      <c r="E4054" s="3"/>
      <c r="F4054" s="2"/>
      <c r="G4054" s="13">
        <f>IF($B4054="IN",$D4054,0)</f>
      </c>
      <c r="H4054" s="13">
        <f>IF($B4054="OUT",$D4054,0)</f>
      </c>
    </row>
    <row x14ac:dyDescent="0.25" r="4055" customHeight="1" ht="17.25">
      <c r="A4055" s="52"/>
      <c r="B4055" s="2"/>
      <c r="C4055" s="2"/>
      <c r="D4055" s="3"/>
      <c r="E4055" s="3"/>
      <c r="F4055" s="2"/>
      <c r="G4055" s="13">
        <f>IF($B4055="IN",$D4055,0)</f>
      </c>
      <c r="H4055" s="13">
        <f>IF($B4055="OUT",$D4055,0)</f>
      </c>
    </row>
    <row x14ac:dyDescent="0.25" r="4056" customHeight="1" ht="17.25">
      <c r="A4056" s="52"/>
      <c r="B4056" s="2"/>
      <c r="C4056" s="2"/>
      <c r="D4056" s="3"/>
      <c r="E4056" s="3"/>
      <c r="F4056" s="2"/>
      <c r="G4056" s="13">
        <f>IF($B4056="IN",$D4056,0)</f>
      </c>
      <c r="H4056" s="13">
        <f>IF($B4056="OUT",$D4056,0)</f>
      </c>
    </row>
    <row x14ac:dyDescent="0.25" r="4057" customHeight="1" ht="17.25">
      <c r="A4057" s="52"/>
      <c r="B4057" s="2"/>
      <c r="C4057" s="2"/>
      <c r="D4057" s="3"/>
      <c r="E4057" s="3"/>
      <c r="F4057" s="2"/>
      <c r="G4057" s="13">
        <f>IF($B4057="IN",$D4057,0)</f>
      </c>
      <c r="H4057" s="13">
        <f>IF($B4057="OUT",$D4057,0)</f>
      </c>
    </row>
    <row x14ac:dyDescent="0.25" r="4058" customHeight="1" ht="17.25">
      <c r="A4058" s="52"/>
      <c r="B4058" s="2"/>
      <c r="C4058" s="2"/>
      <c r="D4058" s="3"/>
      <c r="E4058" s="3"/>
      <c r="F4058" s="2"/>
      <c r="G4058" s="13">
        <f>IF($B4058="IN",$D4058,0)</f>
      </c>
      <c r="H4058" s="13">
        <f>IF($B4058="OUT",$D4058,0)</f>
      </c>
    </row>
    <row x14ac:dyDescent="0.25" r="4059" customHeight="1" ht="17.25">
      <c r="A4059" s="52"/>
      <c r="B4059" s="2"/>
      <c r="C4059" s="2"/>
      <c r="D4059" s="3"/>
      <c r="E4059" s="3"/>
      <c r="F4059" s="2"/>
      <c r="G4059" s="13">
        <f>IF($B4059="IN",$D4059,0)</f>
      </c>
      <c r="H4059" s="13">
        <f>IF($B4059="OUT",$D4059,0)</f>
      </c>
    </row>
    <row x14ac:dyDescent="0.25" r="4060" customHeight="1" ht="17.25">
      <c r="A4060" s="52"/>
      <c r="B4060" s="2"/>
      <c r="C4060" s="2"/>
      <c r="D4060" s="3"/>
      <c r="E4060" s="3"/>
      <c r="F4060" s="2"/>
      <c r="G4060" s="13">
        <f>IF($B4060="IN",$D4060,0)</f>
      </c>
      <c r="H4060" s="13">
        <f>IF($B4060="OUT",$D4060,0)</f>
      </c>
    </row>
    <row x14ac:dyDescent="0.25" r="4061" customHeight="1" ht="17.25">
      <c r="A4061" s="52"/>
      <c r="B4061" s="2"/>
      <c r="C4061" s="2"/>
      <c r="D4061" s="3"/>
      <c r="E4061" s="3"/>
      <c r="F4061" s="2"/>
      <c r="G4061" s="13">
        <f>IF($B4061="IN",$D4061,0)</f>
      </c>
      <c r="H4061" s="13">
        <f>IF($B4061="OUT",$D4061,0)</f>
      </c>
    </row>
    <row x14ac:dyDescent="0.25" r="4062" customHeight="1" ht="17.25">
      <c r="A4062" s="52"/>
      <c r="B4062" s="2"/>
      <c r="C4062" s="2"/>
      <c r="D4062" s="3"/>
      <c r="E4062" s="3"/>
      <c r="F4062" s="2"/>
      <c r="G4062" s="13">
        <f>IF($B4062="IN",$D4062,0)</f>
      </c>
      <c r="H4062" s="13">
        <f>IF($B4062="OUT",$D4062,0)</f>
      </c>
    </row>
    <row x14ac:dyDescent="0.25" r="4063" customHeight="1" ht="17.25">
      <c r="A4063" s="52"/>
      <c r="B4063" s="2"/>
      <c r="C4063" s="2"/>
      <c r="D4063" s="3"/>
      <c r="E4063" s="3"/>
      <c r="F4063" s="2"/>
      <c r="G4063" s="13">
        <f>IF($B4063="IN",$D4063,0)</f>
      </c>
      <c r="H4063" s="13">
        <f>IF($B4063="OUT",$D4063,0)</f>
      </c>
    </row>
    <row x14ac:dyDescent="0.25" r="4064" customHeight="1" ht="17.25">
      <c r="A4064" s="52"/>
      <c r="B4064" s="2"/>
      <c r="C4064" s="2"/>
      <c r="D4064" s="3"/>
      <c r="E4064" s="3"/>
      <c r="F4064" s="2"/>
      <c r="G4064" s="13">
        <f>IF($B4064="IN",$D4064,0)</f>
      </c>
      <c r="H4064" s="13">
        <f>IF($B4064="OUT",$D4064,0)</f>
      </c>
    </row>
    <row x14ac:dyDescent="0.25" r="4065" customHeight="1" ht="17.25">
      <c r="A4065" s="52"/>
      <c r="B4065" s="2"/>
      <c r="C4065" s="2"/>
      <c r="D4065" s="3"/>
      <c r="E4065" s="3"/>
      <c r="F4065" s="2"/>
      <c r="G4065" s="13">
        <f>IF($B4065="IN",$D4065,0)</f>
      </c>
      <c r="H4065" s="13">
        <f>IF($B4065="OUT",$D4065,0)</f>
      </c>
    </row>
    <row x14ac:dyDescent="0.25" r="4066" customHeight="1" ht="17.25">
      <c r="A4066" s="52"/>
      <c r="B4066" s="2"/>
      <c r="C4066" s="2"/>
      <c r="D4066" s="3"/>
      <c r="E4066" s="3"/>
      <c r="F4066" s="2"/>
      <c r="G4066" s="13">
        <f>IF($B4066="IN",$D4066,0)</f>
      </c>
      <c r="H4066" s="13">
        <f>IF($B4066="OUT",$D4066,0)</f>
      </c>
    </row>
    <row x14ac:dyDescent="0.25" r="4067" customHeight="1" ht="17.25">
      <c r="A4067" s="52"/>
      <c r="B4067" s="2"/>
      <c r="C4067" s="2"/>
      <c r="D4067" s="3"/>
      <c r="E4067" s="3"/>
      <c r="F4067" s="2"/>
      <c r="G4067" s="13">
        <f>IF($B4067="IN",$D4067,0)</f>
      </c>
      <c r="H4067" s="13">
        <f>IF($B4067="OUT",$D4067,0)</f>
      </c>
    </row>
    <row x14ac:dyDescent="0.25" r="4068" customHeight="1" ht="17.25">
      <c r="A4068" s="52"/>
      <c r="B4068" s="2"/>
      <c r="C4068" s="2"/>
      <c r="D4068" s="3"/>
      <c r="E4068" s="3"/>
      <c r="F4068" s="2"/>
      <c r="G4068" s="13">
        <f>IF($B4068="IN",$D4068,0)</f>
      </c>
      <c r="H4068" s="13">
        <f>IF($B4068="OUT",$D4068,0)</f>
      </c>
    </row>
    <row x14ac:dyDescent="0.25" r="4069" customHeight="1" ht="17.25">
      <c r="A4069" s="52"/>
      <c r="B4069" s="2"/>
      <c r="C4069" s="2"/>
      <c r="D4069" s="3"/>
      <c r="E4069" s="3"/>
      <c r="F4069" s="2"/>
      <c r="G4069" s="13">
        <f>IF($B4069="IN",$D4069,0)</f>
      </c>
      <c r="H4069" s="13">
        <f>IF($B4069="OUT",$D4069,0)</f>
      </c>
    </row>
    <row x14ac:dyDescent="0.25" r="4070" customHeight="1" ht="17.25">
      <c r="A4070" s="52"/>
      <c r="B4070" s="2"/>
      <c r="C4070" s="2"/>
      <c r="D4070" s="3"/>
      <c r="E4070" s="3"/>
      <c r="F4070" s="2"/>
      <c r="G4070" s="13">
        <f>IF($B4070="IN",$D4070,0)</f>
      </c>
      <c r="H4070" s="13">
        <f>IF($B4070="OUT",$D4070,0)</f>
      </c>
    </row>
    <row x14ac:dyDescent="0.25" r="4071" customHeight="1" ht="17.25">
      <c r="A4071" s="52"/>
      <c r="B4071" s="2"/>
      <c r="C4071" s="2"/>
      <c r="D4071" s="3"/>
      <c r="E4071" s="3"/>
      <c r="F4071" s="2"/>
      <c r="G4071" s="13">
        <f>IF($B4071="IN",$D4071,0)</f>
      </c>
      <c r="H4071" s="13">
        <f>IF($B4071="OUT",$D4071,0)</f>
      </c>
    </row>
    <row x14ac:dyDescent="0.25" r="4072" customHeight="1" ht="17.25">
      <c r="A4072" s="52"/>
      <c r="B4072" s="2"/>
      <c r="C4072" s="2"/>
      <c r="D4072" s="3"/>
      <c r="E4072" s="3"/>
      <c r="F4072" s="2"/>
      <c r="G4072" s="13">
        <f>IF($B4072="IN",$D4072,0)</f>
      </c>
      <c r="H4072" s="13">
        <f>IF($B4072="OUT",$D4072,0)</f>
      </c>
    </row>
    <row x14ac:dyDescent="0.25" r="4073" customHeight="1" ht="17.25">
      <c r="A4073" s="52"/>
      <c r="B4073" s="2"/>
      <c r="C4073" s="2"/>
      <c r="D4073" s="3"/>
      <c r="E4073" s="3"/>
      <c r="F4073" s="2"/>
      <c r="G4073" s="13">
        <f>IF($B4073="IN",$D4073,0)</f>
      </c>
      <c r="H4073" s="13">
        <f>IF($B4073="OUT",$D4073,0)</f>
      </c>
    </row>
    <row x14ac:dyDescent="0.25" r="4074" customHeight="1" ht="17.25">
      <c r="A4074" s="52"/>
      <c r="B4074" s="2"/>
      <c r="C4074" s="2"/>
      <c r="D4074" s="3"/>
      <c r="E4074" s="3"/>
      <c r="F4074" s="2"/>
      <c r="G4074" s="13">
        <f>IF($B4074="IN",$D4074,0)</f>
      </c>
      <c r="H4074" s="13">
        <f>IF($B4074="OUT",$D4074,0)</f>
      </c>
    </row>
    <row x14ac:dyDescent="0.25" r="4075" customHeight="1" ht="17.25">
      <c r="A4075" s="52"/>
      <c r="B4075" s="2"/>
      <c r="C4075" s="2"/>
      <c r="D4075" s="3"/>
      <c r="E4075" s="3"/>
      <c r="F4075" s="2"/>
      <c r="G4075" s="13">
        <f>IF($B4075="IN",$D4075,0)</f>
      </c>
      <c r="H4075" s="13">
        <f>IF($B4075="OUT",$D4075,0)</f>
      </c>
    </row>
    <row x14ac:dyDescent="0.25" r="4076" customHeight="1" ht="17.25">
      <c r="A4076" s="52"/>
      <c r="B4076" s="2"/>
      <c r="C4076" s="2"/>
      <c r="D4076" s="3"/>
      <c r="E4076" s="3"/>
      <c r="F4076" s="2"/>
      <c r="G4076" s="13">
        <f>IF($B4076="IN",$D4076,0)</f>
      </c>
      <c r="H4076" s="13">
        <f>IF($B4076="OUT",$D4076,0)</f>
      </c>
    </row>
    <row x14ac:dyDescent="0.25" r="4077" customHeight="1" ht="17.25">
      <c r="A4077" s="52"/>
      <c r="B4077" s="2"/>
      <c r="C4077" s="2"/>
      <c r="D4077" s="3"/>
      <c r="E4077" s="3"/>
      <c r="F4077" s="2"/>
      <c r="G4077" s="13">
        <f>IF($B4077="IN",$D4077,0)</f>
      </c>
      <c r="H4077" s="13">
        <f>IF($B4077="OUT",$D4077,0)</f>
      </c>
    </row>
    <row x14ac:dyDescent="0.25" r="4078" customHeight="1" ht="17.25">
      <c r="A4078" s="52"/>
      <c r="B4078" s="2"/>
      <c r="C4078" s="2"/>
      <c r="D4078" s="3"/>
      <c r="E4078" s="3"/>
      <c r="F4078" s="2"/>
      <c r="G4078" s="13">
        <f>IF($B4078="IN",$D4078,0)</f>
      </c>
      <c r="H4078" s="13">
        <f>IF($B4078="OUT",$D4078,0)</f>
      </c>
    </row>
    <row x14ac:dyDescent="0.25" r="4079" customHeight="1" ht="17.25">
      <c r="A4079" s="52"/>
      <c r="B4079" s="2"/>
      <c r="C4079" s="2"/>
      <c r="D4079" s="3"/>
      <c r="E4079" s="3"/>
      <c r="F4079" s="2"/>
      <c r="G4079" s="13">
        <f>IF($B4079="IN",$D4079,0)</f>
      </c>
      <c r="H4079" s="13">
        <f>IF($B4079="OUT",$D4079,0)</f>
      </c>
    </row>
    <row x14ac:dyDescent="0.25" r="4080" customHeight="1" ht="17.25">
      <c r="A4080" s="52"/>
      <c r="B4080" s="2"/>
      <c r="C4080" s="2"/>
      <c r="D4080" s="3"/>
      <c r="E4080" s="3"/>
      <c r="F4080" s="2"/>
      <c r="G4080" s="13">
        <f>IF($B4080="IN",$D4080,0)</f>
      </c>
      <c r="H4080" s="13">
        <f>IF($B4080="OUT",$D4080,0)</f>
      </c>
    </row>
    <row x14ac:dyDescent="0.25" r="4081" customHeight="1" ht="17.25">
      <c r="A4081" s="52"/>
      <c r="B4081" s="2"/>
      <c r="C4081" s="2"/>
      <c r="D4081" s="3"/>
      <c r="E4081" s="3"/>
      <c r="F4081" s="2"/>
      <c r="G4081" s="13">
        <f>IF($B4081="IN",$D4081,0)</f>
      </c>
      <c r="H4081" s="13">
        <f>IF($B4081="OUT",$D4081,0)</f>
      </c>
    </row>
    <row x14ac:dyDescent="0.25" r="4082" customHeight="1" ht="17.25">
      <c r="A4082" s="52"/>
      <c r="B4082" s="2"/>
      <c r="C4082" s="2"/>
      <c r="D4082" s="3"/>
      <c r="E4082" s="3"/>
      <c r="F4082" s="2"/>
      <c r="G4082" s="13">
        <f>IF($B4082="IN",$D4082,0)</f>
      </c>
      <c r="H4082" s="13">
        <f>IF($B4082="OUT",$D4082,0)</f>
      </c>
    </row>
    <row x14ac:dyDescent="0.25" r="4083" customHeight="1" ht="17.25">
      <c r="A4083" s="52"/>
      <c r="B4083" s="2"/>
      <c r="C4083" s="2"/>
      <c r="D4083" s="3"/>
      <c r="E4083" s="3"/>
      <c r="F4083" s="2"/>
      <c r="G4083" s="13">
        <f>IF($B4083="IN",$D4083,0)</f>
      </c>
      <c r="H4083" s="13">
        <f>IF($B4083="OUT",$D4083,0)</f>
      </c>
    </row>
    <row x14ac:dyDescent="0.25" r="4084" customHeight="1" ht="17.25">
      <c r="A4084" s="52"/>
      <c r="B4084" s="2"/>
      <c r="C4084" s="2"/>
      <c r="D4084" s="3"/>
      <c r="E4084" s="3"/>
      <c r="F4084" s="2"/>
      <c r="G4084" s="13">
        <f>IF($B4084="IN",$D4084,0)</f>
      </c>
      <c r="H4084" s="13">
        <f>IF($B4084="OUT",$D4084,0)</f>
      </c>
    </row>
    <row x14ac:dyDescent="0.25" r="4085" customHeight="1" ht="17.25">
      <c r="A4085" s="52"/>
      <c r="B4085" s="2"/>
      <c r="C4085" s="2"/>
      <c r="D4085" s="3"/>
      <c r="E4085" s="3"/>
      <c r="F4085" s="2"/>
      <c r="G4085" s="13">
        <f>IF($B4085="IN",$D4085,0)</f>
      </c>
      <c r="H4085" s="13">
        <f>IF($B4085="OUT",$D4085,0)</f>
      </c>
    </row>
    <row x14ac:dyDescent="0.25" r="4086" customHeight="1" ht="17.25">
      <c r="A4086" s="52"/>
      <c r="B4086" s="2"/>
      <c r="C4086" s="2"/>
      <c r="D4086" s="3"/>
      <c r="E4086" s="3"/>
      <c r="F4086" s="2"/>
      <c r="G4086" s="13">
        <f>IF($B4086="IN",$D4086,0)</f>
      </c>
      <c r="H4086" s="13">
        <f>IF($B4086="OUT",$D4086,0)</f>
      </c>
    </row>
    <row x14ac:dyDescent="0.25" r="4087" customHeight="1" ht="17.25">
      <c r="A4087" s="52"/>
      <c r="B4087" s="2"/>
      <c r="C4087" s="2"/>
      <c r="D4087" s="3"/>
      <c r="E4087" s="3"/>
      <c r="F4087" s="2"/>
      <c r="G4087" s="13">
        <f>IF($B4087="IN",$D4087,0)</f>
      </c>
      <c r="H4087" s="13">
        <f>IF($B4087="OUT",$D4087,0)</f>
      </c>
    </row>
    <row x14ac:dyDescent="0.25" r="4088" customHeight="1" ht="17.25">
      <c r="A4088" s="52"/>
      <c r="B4088" s="2"/>
      <c r="C4088" s="2"/>
      <c r="D4088" s="3"/>
      <c r="E4088" s="3"/>
      <c r="F4088" s="2"/>
      <c r="G4088" s="13">
        <f>IF($B4088="IN",$D4088,0)</f>
      </c>
      <c r="H4088" s="13">
        <f>IF($B4088="OUT",$D4088,0)</f>
      </c>
    </row>
    <row x14ac:dyDescent="0.25" r="4089" customHeight="1" ht="17.25">
      <c r="A4089" s="52"/>
      <c r="B4089" s="2"/>
      <c r="C4089" s="2"/>
      <c r="D4089" s="3"/>
      <c r="E4089" s="3"/>
      <c r="F4089" s="2"/>
      <c r="G4089" s="13">
        <f>IF($B4089="IN",$D4089,0)</f>
      </c>
      <c r="H4089" s="13">
        <f>IF($B4089="OUT",$D4089,0)</f>
      </c>
    </row>
    <row x14ac:dyDescent="0.25" r="4090" customHeight="1" ht="17.25">
      <c r="A4090" s="52"/>
      <c r="B4090" s="2"/>
      <c r="C4090" s="2"/>
      <c r="D4090" s="3"/>
      <c r="E4090" s="3"/>
      <c r="F4090" s="2"/>
      <c r="G4090" s="13">
        <f>IF($B4090="IN",$D4090,0)</f>
      </c>
      <c r="H4090" s="13">
        <f>IF($B4090="OUT",$D4090,0)</f>
      </c>
    </row>
    <row x14ac:dyDescent="0.25" r="4091" customHeight="1" ht="17.25">
      <c r="A4091" s="52"/>
      <c r="B4091" s="2"/>
      <c r="C4091" s="2"/>
      <c r="D4091" s="3"/>
      <c r="E4091" s="3"/>
      <c r="F4091" s="2"/>
      <c r="G4091" s="13">
        <f>IF($B4091="IN",$D4091,0)</f>
      </c>
      <c r="H4091" s="13">
        <f>IF($B4091="OUT",$D4091,0)</f>
      </c>
    </row>
    <row x14ac:dyDescent="0.25" r="4092" customHeight="1" ht="17.25">
      <c r="A4092" s="52"/>
      <c r="B4092" s="2"/>
      <c r="C4092" s="2"/>
      <c r="D4092" s="3"/>
      <c r="E4092" s="3"/>
      <c r="F4092" s="2"/>
      <c r="G4092" s="13">
        <f>IF($B4092="IN",$D4092,0)</f>
      </c>
      <c r="H4092" s="13">
        <f>IF($B4092="OUT",$D4092,0)</f>
      </c>
    </row>
    <row x14ac:dyDescent="0.25" r="4093" customHeight="1" ht="17.25">
      <c r="A4093" s="52"/>
      <c r="B4093" s="2"/>
      <c r="C4093" s="2"/>
      <c r="D4093" s="3"/>
      <c r="E4093" s="3"/>
      <c r="F4093" s="2"/>
      <c r="G4093" s="13">
        <f>IF($B4093="IN",$D4093,0)</f>
      </c>
      <c r="H4093" s="13">
        <f>IF($B4093="OUT",$D4093,0)</f>
      </c>
    </row>
    <row x14ac:dyDescent="0.25" r="4094" customHeight="1" ht="17.25">
      <c r="A4094" s="52"/>
      <c r="B4094" s="2"/>
      <c r="C4094" s="2"/>
      <c r="D4094" s="3"/>
      <c r="E4094" s="3"/>
      <c r="F4094" s="2"/>
      <c r="G4094" s="13">
        <f>IF($B4094="IN",$D4094,0)</f>
      </c>
      <c r="H4094" s="13">
        <f>IF($B4094="OUT",$D4094,0)</f>
      </c>
    </row>
    <row x14ac:dyDescent="0.25" r="4095" customHeight="1" ht="17.25">
      <c r="A4095" s="52"/>
      <c r="B4095" s="2"/>
      <c r="C4095" s="2"/>
      <c r="D4095" s="3"/>
      <c r="E4095" s="3"/>
      <c r="F4095" s="2"/>
      <c r="G4095" s="13">
        <f>IF($B4095="IN",$D4095,0)</f>
      </c>
      <c r="H4095" s="13">
        <f>IF($B4095="OUT",$D4095,0)</f>
      </c>
    </row>
    <row x14ac:dyDescent="0.25" r="4096" customHeight="1" ht="17.25">
      <c r="A4096" s="52"/>
      <c r="B4096" s="2"/>
      <c r="C4096" s="2"/>
      <c r="D4096" s="3"/>
      <c r="E4096" s="3"/>
      <c r="F4096" s="2"/>
      <c r="G4096" s="13">
        <f>IF($B4096="IN",$D4096,0)</f>
      </c>
      <c r="H4096" s="13">
        <f>IF($B4096="OUT",$D4096,0)</f>
      </c>
    </row>
    <row x14ac:dyDescent="0.25" r="4097" customHeight="1" ht="17.25">
      <c r="A4097" s="52"/>
      <c r="B4097" s="2"/>
      <c r="C4097" s="2"/>
      <c r="D4097" s="3"/>
      <c r="E4097" s="3"/>
      <c r="F4097" s="2"/>
      <c r="G4097" s="13">
        <f>IF($B4097="IN",$D4097,0)</f>
      </c>
      <c r="H4097" s="13">
        <f>IF($B4097="OUT",$D4097,0)</f>
      </c>
    </row>
    <row x14ac:dyDescent="0.25" r="4098" customHeight="1" ht="17.25">
      <c r="A4098" s="52"/>
      <c r="B4098" s="2"/>
      <c r="C4098" s="2"/>
      <c r="D4098" s="3"/>
      <c r="E4098" s="3"/>
      <c r="F4098" s="2"/>
      <c r="G4098" s="13">
        <f>IF($B4098="IN",$D4098,0)</f>
      </c>
      <c r="H4098" s="13">
        <f>IF($B4098="OUT",$D4098,0)</f>
      </c>
    </row>
    <row x14ac:dyDescent="0.25" r="4099" customHeight="1" ht="17.25">
      <c r="A4099" s="52"/>
      <c r="B4099" s="2"/>
      <c r="C4099" s="2"/>
      <c r="D4099" s="3"/>
      <c r="E4099" s="3"/>
      <c r="F4099" s="2"/>
      <c r="G4099" s="13">
        <f>IF($B4099="IN",$D4099,0)</f>
      </c>
      <c r="H4099" s="13">
        <f>IF($B4099="OUT",$D4099,0)</f>
      </c>
    </row>
    <row x14ac:dyDescent="0.25" r="4100" customHeight="1" ht="17.25">
      <c r="A4100" s="52"/>
      <c r="B4100" s="2"/>
      <c r="C4100" s="2"/>
      <c r="D4100" s="3"/>
      <c r="E4100" s="3"/>
      <c r="F4100" s="2"/>
      <c r="G4100" s="13">
        <f>IF($B4100="IN",$D4100,0)</f>
      </c>
      <c r="H4100" s="13">
        <f>IF($B4100="OUT",$D4100,0)</f>
      </c>
    </row>
    <row x14ac:dyDescent="0.25" r="4101" customHeight="1" ht="17.25">
      <c r="A4101" s="52"/>
      <c r="B4101" s="2"/>
      <c r="C4101" s="2"/>
      <c r="D4101" s="3"/>
      <c r="E4101" s="3"/>
      <c r="F4101" s="2"/>
      <c r="G4101" s="13">
        <f>IF($B4101="IN",$D4101,0)</f>
      </c>
      <c r="H4101" s="13">
        <f>IF($B4101="OUT",$D4101,0)</f>
      </c>
    </row>
    <row x14ac:dyDescent="0.25" r="4102" customHeight="1" ht="17.25">
      <c r="A4102" s="52"/>
      <c r="B4102" s="2"/>
      <c r="C4102" s="2"/>
      <c r="D4102" s="3"/>
      <c r="E4102" s="3"/>
      <c r="F4102" s="2"/>
      <c r="G4102" s="13">
        <f>IF($B4102="IN",$D4102,0)</f>
      </c>
      <c r="H4102" s="13">
        <f>IF($B4102="OUT",$D4102,0)</f>
      </c>
    </row>
    <row x14ac:dyDescent="0.25" r="4103" customHeight="1" ht="17.25">
      <c r="A4103" s="52"/>
      <c r="B4103" s="2"/>
      <c r="C4103" s="2"/>
      <c r="D4103" s="3"/>
      <c r="E4103" s="3"/>
      <c r="F4103" s="2"/>
      <c r="G4103" s="13">
        <f>IF($B4103="IN",$D4103,0)</f>
      </c>
      <c r="H4103" s="13">
        <f>IF($B4103="OUT",$D4103,0)</f>
      </c>
    </row>
    <row x14ac:dyDescent="0.25" r="4104" customHeight="1" ht="17.25">
      <c r="A4104" s="52"/>
      <c r="B4104" s="2"/>
      <c r="C4104" s="2"/>
      <c r="D4104" s="3"/>
      <c r="E4104" s="3"/>
      <c r="F4104" s="2"/>
      <c r="G4104" s="13">
        <f>IF($B4104="IN",$D4104,0)</f>
      </c>
      <c r="H4104" s="13">
        <f>IF($B4104="OUT",$D4104,0)</f>
      </c>
    </row>
    <row x14ac:dyDescent="0.25" r="4105" customHeight="1" ht="17.25">
      <c r="A4105" s="52"/>
      <c r="B4105" s="2"/>
      <c r="C4105" s="2"/>
      <c r="D4105" s="3"/>
      <c r="E4105" s="3"/>
      <c r="F4105" s="2"/>
      <c r="G4105" s="13">
        <f>IF($B4105="IN",$D4105,0)</f>
      </c>
      <c r="H4105" s="13">
        <f>IF($B4105="OUT",$D4105,0)</f>
      </c>
    </row>
    <row x14ac:dyDescent="0.25" r="4106" customHeight="1" ht="17.25">
      <c r="A4106" s="52"/>
      <c r="B4106" s="2"/>
      <c r="C4106" s="2"/>
      <c r="D4106" s="3"/>
      <c r="E4106" s="3"/>
      <c r="F4106" s="2"/>
      <c r="G4106" s="13">
        <f>IF($B4106="IN",$D4106,0)</f>
      </c>
      <c r="H4106" s="13">
        <f>IF($B4106="OUT",$D4106,0)</f>
      </c>
    </row>
    <row x14ac:dyDescent="0.25" r="4107" customHeight="1" ht="17.25">
      <c r="A4107" s="52"/>
      <c r="B4107" s="2"/>
      <c r="C4107" s="2"/>
      <c r="D4107" s="3"/>
      <c r="E4107" s="3"/>
      <c r="F4107" s="2"/>
      <c r="G4107" s="13">
        <f>IF($B4107="IN",$D4107,0)</f>
      </c>
      <c r="H4107" s="13">
        <f>IF($B4107="OUT",$D4107,0)</f>
      </c>
    </row>
    <row x14ac:dyDescent="0.25" r="4108" customHeight="1" ht="17.25">
      <c r="A4108" s="52"/>
      <c r="B4108" s="2"/>
      <c r="C4108" s="2"/>
      <c r="D4108" s="3"/>
      <c r="E4108" s="3"/>
      <c r="F4108" s="2"/>
      <c r="G4108" s="13">
        <f>IF($B4108="IN",$D4108,0)</f>
      </c>
      <c r="H4108" s="13">
        <f>IF($B4108="OUT",$D4108,0)</f>
      </c>
    </row>
    <row x14ac:dyDescent="0.25" r="4109" customHeight="1" ht="17.25">
      <c r="A4109" s="52"/>
      <c r="B4109" s="2"/>
      <c r="C4109" s="2"/>
      <c r="D4109" s="3"/>
      <c r="E4109" s="3"/>
      <c r="F4109" s="2"/>
      <c r="G4109" s="13">
        <f>IF($B4109="IN",$D4109,0)</f>
      </c>
      <c r="H4109" s="13">
        <f>IF($B4109="OUT",$D4109,0)</f>
      </c>
    </row>
    <row x14ac:dyDescent="0.25" r="4110" customHeight="1" ht="17.25">
      <c r="A4110" s="52"/>
      <c r="B4110" s="2"/>
      <c r="C4110" s="2"/>
      <c r="D4110" s="3"/>
      <c r="E4110" s="3"/>
      <c r="F4110" s="2"/>
      <c r="G4110" s="13">
        <f>IF($B4110="IN",$D4110,0)</f>
      </c>
      <c r="H4110" s="13">
        <f>IF($B4110="OUT",$D4110,0)</f>
      </c>
    </row>
    <row x14ac:dyDescent="0.25" r="4111" customHeight="1" ht="17.25">
      <c r="A4111" s="52"/>
      <c r="B4111" s="2"/>
      <c r="C4111" s="2"/>
      <c r="D4111" s="3"/>
      <c r="E4111" s="3"/>
      <c r="F4111" s="2"/>
      <c r="G4111" s="13">
        <f>IF($B4111="IN",$D4111,0)</f>
      </c>
      <c r="H4111" s="13">
        <f>IF($B4111="OUT",$D4111,0)</f>
      </c>
    </row>
    <row x14ac:dyDescent="0.25" r="4112" customHeight="1" ht="17.25">
      <c r="A4112" s="52"/>
      <c r="B4112" s="2"/>
      <c r="C4112" s="2"/>
      <c r="D4112" s="3"/>
      <c r="E4112" s="3"/>
      <c r="F4112" s="2"/>
      <c r="G4112" s="13">
        <f>IF($B4112="IN",$D4112,0)</f>
      </c>
      <c r="H4112" s="13">
        <f>IF($B4112="OUT",$D4112,0)</f>
      </c>
    </row>
    <row x14ac:dyDescent="0.25" r="4113" customHeight="1" ht="17.25">
      <c r="A4113" s="52"/>
      <c r="B4113" s="2"/>
      <c r="C4113" s="2"/>
      <c r="D4113" s="3"/>
      <c r="E4113" s="3"/>
      <c r="F4113" s="2"/>
      <c r="G4113" s="13">
        <f>IF($B4113="IN",$D4113,0)</f>
      </c>
      <c r="H4113" s="13">
        <f>IF($B4113="OUT",$D4113,0)</f>
      </c>
    </row>
    <row x14ac:dyDescent="0.25" r="4114" customHeight="1" ht="17.25">
      <c r="A4114" s="52"/>
      <c r="B4114" s="2"/>
      <c r="C4114" s="2"/>
      <c r="D4114" s="3"/>
      <c r="E4114" s="3"/>
      <c r="F4114" s="2"/>
      <c r="G4114" s="13">
        <f>IF($B4114="IN",$D4114,0)</f>
      </c>
      <c r="H4114" s="13">
        <f>IF($B4114="OUT",$D4114,0)</f>
      </c>
    </row>
    <row x14ac:dyDescent="0.25" r="4115" customHeight="1" ht="17.25">
      <c r="A4115" s="52"/>
      <c r="B4115" s="2"/>
      <c r="C4115" s="2"/>
      <c r="D4115" s="3"/>
      <c r="E4115" s="3"/>
      <c r="F4115" s="2"/>
      <c r="G4115" s="13">
        <f>IF($B4115="IN",$D4115,0)</f>
      </c>
      <c r="H4115" s="13">
        <f>IF($B4115="OUT",$D4115,0)</f>
      </c>
    </row>
    <row x14ac:dyDescent="0.25" r="4116" customHeight="1" ht="17.25">
      <c r="A4116" s="52"/>
      <c r="B4116" s="2"/>
      <c r="C4116" s="2"/>
      <c r="D4116" s="3"/>
      <c r="E4116" s="3"/>
      <c r="F4116" s="2"/>
      <c r="G4116" s="13">
        <f>IF($B4116="IN",$D4116,0)</f>
      </c>
      <c r="H4116" s="13">
        <f>IF($B4116="OUT",$D4116,0)</f>
      </c>
    </row>
    <row x14ac:dyDescent="0.25" r="4117" customHeight="1" ht="17.25">
      <c r="A4117" s="52"/>
      <c r="B4117" s="2"/>
      <c r="C4117" s="2"/>
      <c r="D4117" s="3"/>
      <c r="E4117" s="3"/>
      <c r="F4117" s="2"/>
      <c r="G4117" s="13">
        <f>IF($B4117="IN",$D4117,0)</f>
      </c>
      <c r="H4117" s="13">
        <f>IF($B4117="OUT",$D4117,0)</f>
      </c>
    </row>
    <row x14ac:dyDescent="0.25" r="4118" customHeight="1" ht="17.25">
      <c r="A4118" s="52"/>
      <c r="B4118" s="2"/>
      <c r="C4118" s="2"/>
      <c r="D4118" s="3"/>
      <c r="E4118" s="3"/>
      <c r="F4118" s="2"/>
      <c r="G4118" s="13">
        <f>IF($B4118="IN",$D4118,0)</f>
      </c>
      <c r="H4118" s="13">
        <f>IF($B4118="OUT",$D4118,0)</f>
      </c>
    </row>
    <row x14ac:dyDescent="0.25" r="4119" customHeight="1" ht="17.25">
      <c r="A4119" s="52"/>
      <c r="B4119" s="2"/>
      <c r="C4119" s="2"/>
      <c r="D4119" s="3"/>
      <c r="E4119" s="3"/>
      <c r="F4119" s="2"/>
      <c r="G4119" s="13">
        <f>IF($B4119="IN",$D4119,0)</f>
      </c>
      <c r="H4119" s="13">
        <f>IF($B4119="OUT",$D4119,0)</f>
      </c>
    </row>
    <row x14ac:dyDescent="0.25" r="4120" customHeight="1" ht="17.25">
      <c r="A4120" s="52"/>
      <c r="B4120" s="2"/>
      <c r="C4120" s="2"/>
      <c r="D4120" s="3"/>
      <c r="E4120" s="3"/>
      <c r="F4120" s="2"/>
      <c r="G4120" s="13">
        <f>IF($B4120="IN",$D4120,0)</f>
      </c>
      <c r="H4120" s="13">
        <f>IF($B4120="OUT",$D4120,0)</f>
      </c>
    </row>
    <row x14ac:dyDescent="0.25" r="4121" customHeight="1" ht="17.25">
      <c r="A4121" s="52"/>
      <c r="B4121" s="2"/>
      <c r="C4121" s="2"/>
      <c r="D4121" s="3"/>
      <c r="E4121" s="3"/>
      <c r="F4121" s="2"/>
      <c r="G4121" s="13">
        <f>IF($B4121="IN",$D4121,0)</f>
      </c>
      <c r="H4121" s="13">
        <f>IF($B4121="OUT",$D4121,0)</f>
      </c>
    </row>
    <row x14ac:dyDescent="0.25" r="4122" customHeight="1" ht="17.25">
      <c r="A4122" s="52"/>
      <c r="B4122" s="2"/>
      <c r="C4122" s="2"/>
      <c r="D4122" s="3"/>
      <c r="E4122" s="3"/>
      <c r="F4122" s="2"/>
      <c r="G4122" s="13">
        <f>IF($B4122="IN",$D4122,0)</f>
      </c>
      <c r="H4122" s="13">
        <f>IF($B4122="OUT",$D4122,0)</f>
      </c>
    </row>
    <row x14ac:dyDescent="0.25" r="4123" customHeight="1" ht="17.25">
      <c r="A4123" s="52"/>
      <c r="B4123" s="2"/>
      <c r="C4123" s="2"/>
      <c r="D4123" s="3"/>
      <c r="E4123" s="3"/>
      <c r="F4123" s="2"/>
      <c r="G4123" s="13">
        <f>IF($B4123="IN",$D4123,0)</f>
      </c>
      <c r="H4123" s="13">
        <f>IF($B4123="OUT",$D4123,0)</f>
      </c>
    </row>
    <row x14ac:dyDescent="0.25" r="4124" customHeight="1" ht="17.25">
      <c r="A4124" s="52"/>
      <c r="B4124" s="2"/>
      <c r="C4124" s="2"/>
      <c r="D4124" s="3"/>
      <c r="E4124" s="3"/>
      <c r="F4124" s="2"/>
      <c r="G4124" s="13">
        <f>IF($B4124="IN",$D4124,0)</f>
      </c>
      <c r="H4124" s="13">
        <f>IF($B4124="OUT",$D4124,0)</f>
      </c>
    </row>
    <row x14ac:dyDescent="0.25" r="4125" customHeight="1" ht="17.25">
      <c r="A4125" s="52"/>
      <c r="B4125" s="2"/>
      <c r="C4125" s="2"/>
      <c r="D4125" s="3"/>
      <c r="E4125" s="3"/>
      <c r="F4125" s="2"/>
      <c r="G4125" s="13">
        <f>IF($B4125="IN",$D4125,0)</f>
      </c>
      <c r="H4125" s="13">
        <f>IF($B4125="OUT",$D4125,0)</f>
      </c>
    </row>
    <row x14ac:dyDescent="0.25" r="4126" customHeight="1" ht="17.25">
      <c r="A4126" s="52"/>
      <c r="B4126" s="2"/>
      <c r="C4126" s="2"/>
      <c r="D4126" s="3"/>
      <c r="E4126" s="3"/>
      <c r="F4126" s="2"/>
      <c r="G4126" s="13">
        <f>IF($B4126="IN",$D4126,0)</f>
      </c>
      <c r="H4126" s="13">
        <f>IF($B4126="OUT",$D4126,0)</f>
      </c>
    </row>
    <row x14ac:dyDescent="0.25" r="4127" customHeight="1" ht="17.25">
      <c r="A4127" s="52"/>
      <c r="B4127" s="2"/>
      <c r="C4127" s="2"/>
      <c r="D4127" s="3"/>
      <c r="E4127" s="3"/>
      <c r="F4127" s="2"/>
      <c r="G4127" s="13">
        <f>IF($B4127="IN",$D4127,0)</f>
      </c>
      <c r="H4127" s="13">
        <f>IF($B4127="OUT",$D4127,0)</f>
      </c>
    </row>
    <row x14ac:dyDescent="0.25" r="4128" customHeight="1" ht="17.25">
      <c r="A4128" s="52"/>
      <c r="B4128" s="2"/>
      <c r="C4128" s="2"/>
      <c r="D4128" s="3"/>
      <c r="E4128" s="3"/>
      <c r="F4128" s="2"/>
      <c r="G4128" s="13">
        <f>IF($B4128="IN",$D4128,0)</f>
      </c>
      <c r="H4128" s="13">
        <f>IF($B4128="OUT",$D4128,0)</f>
      </c>
    </row>
    <row x14ac:dyDescent="0.25" r="4129" customHeight="1" ht="17.25">
      <c r="A4129" s="52"/>
      <c r="B4129" s="2"/>
      <c r="C4129" s="2"/>
      <c r="D4129" s="3"/>
      <c r="E4129" s="3"/>
      <c r="F4129" s="2"/>
      <c r="G4129" s="13">
        <f>IF($B4129="IN",$D4129,0)</f>
      </c>
      <c r="H4129" s="13">
        <f>IF($B4129="OUT",$D4129,0)</f>
      </c>
    </row>
    <row x14ac:dyDescent="0.25" r="4130" customHeight="1" ht="17.25">
      <c r="A4130" s="52"/>
      <c r="B4130" s="2"/>
      <c r="C4130" s="2"/>
      <c r="D4130" s="3"/>
      <c r="E4130" s="3"/>
      <c r="F4130" s="2"/>
      <c r="G4130" s="13">
        <f>IF($B4130="IN",$D4130,0)</f>
      </c>
      <c r="H4130" s="13">
        <f>IF($B4130="OUT",$D4130,0)</f>
      </c>
    </row>
    <row x14ac:dyDescent="0.25" r="4131" customHeight="1" ht="17.25">
      <c r="A4131" s="52"/>
      <c r="B4131" s="2"/>
      <c r="C4131" s="2"/>
      <c r="D4131" s="3"/>
      <c r="E4131" s="3"/>
      <c r="F4131" s="2"/>
      <c r="G4131" s="13">
        <f>IF($B4131="IN",$D4131,0)</f>
      </c>
      <c r="H4131" s="13">
        <f>IF($B4131="OUT",$D4131,0)</f>
      </c>
    </row>
    <row x14ac:dyDescent="0.25" r="4132" customHeight="1" ht="17.25">
      <c r="A4132" s="52"/>
      <c r="B4132" s="2"/>
      <c r="C4132" s="2"/>
      <c r="D4132" s="3"/>
      <c r="E4132" s="3"/>
      <c r="F4132" s="2"/>
      <c r="G4132" s="13">
        <f>IF($B4132="IN",$D4132,0)</f>
      </c>
      <c r="H4132" s="13">
        <f>IF($B4132="OUT",$D4132,0)</f>
      </c>
    </row>
    <row x14ac:dyDescent="0.25" r="4133" customHeight="1" ht="17.25">
      <c r="A4133" s="52"/>
      <c r="B4133" s="2"/>
      <c r="C4133" s="2"/>
      <c r="D4133" s="3"/>
      <c r="E4133" s="3"/>
      <c r="F4133" s="2"/>
      <c r="G4133" s="13">
        <f>IF($B4133="IN",$D4133,0)</f>
      </c>
      <c r="H4133" s="13">
        <f>IF($B4133="OUT",$D4133,0)</f>
      </c>
    </row>
    <row x14ac:dyDescent="0.25" r="4134" customHeight="1" ht="17.25">
      <c r="A4134" s="52"/>
      <c r="B4134" s="2"/>
      <c r="C4134" s="2"/>
      <c r="D4134" s="3"/>
      <c r="E4134" s="3"/>
      <c r="F4134" s="2"/>
      <c r="G4134" s="13">
        <f>IF($B4134="IN",$D4134,0)</f>
      </c>
      <c r="H4134" s="13">
        <f>IF($B4134="OUT",$D4134,0)</f>
      </c>
    </row>
    <row x14ac:dyDescent="0.25" r="4135" customHeight="1" ht="17.25">
      <c r="A4135" s="52"/>
      <c r="B4135" s="2"/>
      <c r="C4135" s="2"/>
      <c r="D4135" s="3"/>
      <c r="E4135" s="3"/>
      <c r="F4135" s="2"/>
      <c r="G4135" s="13">
        <f>IF($B4135="IN",$D4135,0)</f>
      </c>
      <c r="H4135" s="13">
        <f>IF($B4135="OUT",$D4135,0)</f>
      </c>
    </row>
    <row x14ac:dyDescent="0.25" r="4136" customHeight="1" ht="17.25">
      <c r="A4136" s="52"/>
      <c r="B4136" s="2"/>
      <c r="C4136" s="2"/>
      <c r="D4136" s="3"/>
      <c r="E4136" s="3"/>
      <c r="F4136" s="2"/>
      <c r="G4136" s="13">
        <f>IF($B4136="IN",$D4136,0)</f>
      </c>
      <c r="H4136" s="13">
        <f>IF($B4136="OUT",$D4136,0)</f>
      </c>
    </row>
    <row x14ac:dyDescent="0.25" r="4137" customHeight="1" ht="17.25">
      <c r="A4137" s="52"/>
      <c r="B4137" s="2"/>
      <c r="C4137" s="2"/>
      <c r="D4137" s="3"/>
      <c r="E4137" s="3"/>
      <c r="F4137" s="2"/>
      <c r="G4137" s="13">
        <f>IF($B4137="IN",$D4137,0)</f>
      </c>
      <c r="H4137" s="13">
        <f>IF($B4137="OUT",$D4137,0)</f>
      </c>
    </row>
    <row x14ac:dyDescent="0.25" r="4138" customHeight="1" ht="17.25">
      <c r="A4138" s="52"/>
      <c r="B4138" s="2"/>
      <c r="C4138" s="2"/>
      <c r="D4138" s="3"/>
      <c r="E4138" s="3"/>
      <c r="F4138" s="2"/>
      <c r="G4138" s="13">
        <f>IF($B4138="IN",$D4138,0)</f>
      </c>
      <c r="H4138" s="13">
        <f>IF($B4138="OUT",$D4138,0)</f>
      </c>
    </row>
    <row x14ac:dyDescent="0.25" r="4139" customHeight="1" ht="17.25">
      <c r="A4139" s="52"/>
      <c r="B4139" s="2"/>
      <c r="C4139" s="2"/>
      <c r="D4139" s="3"/>
      <c r="E4139" s="3"/>
      <c r="F4139" s="2"/>
      <c r="G4139" s="13">
        <f>IF($B4139="IN",$D4139,0)</f>
      </c>
      <c r="H4139" s="13">
        <f>IF($B4139="OUT",$D4139,0)</f>
      </c>
    </row>
    <row x14ac:dyDescent="0.25" r="4140" customHeight="1" ht="17.25">
      <c r="A4140" s="52"/>
      <c r="B4140" s="2"/>
      <c r="C4140" s="2"/>
      <c r="D4140" s="3"/>
      <c r="E4140" s="3"/>
      <c r="F4140" s="2"/>
      <c r="G4140" s="13">
        <f>IF($B4140="IN",$D4140,0)</f>
      </c>
      <c r="H4140" s="13">
        <f>IF($B4140="OUT",$D4140,0)</f>
      </c>
    </row>
    <row x14ac:dyDescent="0.25" r="4141" customHeight="1" ht="17.25">
      <c r="A4141" s="52"/>
      <c r="B4141" s="2"/>
      <c r="C4141" s="2"/>
      <c r="D4141" s="3"/>
      <c r="E4141" s="3"/>
      <c r="F4141" s="2"/>
      <c r="G4141" s="13">
        <f>IF($B4141="IN",$D4141,0)</f>
      </c>
      <c r="H4141" s="13">
        <f>IF($B4141="OUT",$D4141,0)</f>
      </c>
    </row>
    <row x14ac:dyDescent="0.25" r="4142" customHeight="1" ht="17.25">
      <c r="A4142" s="52"/>
      <c r="B4142" s="2"/>
      <c r="C4142" s="2"/>
      <c r="D4142" s="3"/>
      <c r="E4142" s="3"/>
      <c r="F4142" s="2"/>
      <c r="G4142" s="13">
        <f>IF($B4142="IN",$D4142,0)</f>
      </c>
      <c r="H4142" s="13">
        <f>IF($B4142="OUT",$D4142,0)</f>
      </c>
    </row>
    <row x14ac:dyDescent="0.25" r="4143" customHeight="1" ht="17.25">
      <c r="A4143" s="52"/>
      <c r="B4143" s="2"/>
      <c r="C4143" s="2"/>
      <c r="D4143" s="3"/>
      <c r="E4143" s="3"/>
      <c r="F4143" s="2"/>
      <c r="G4143" s="13">
        <f>IF($B4143="IN",$D4143,0)</f>
      </c>
      <c r="H4143" s="13">
        <f>IF($B4143="OUT",$D4143,0)</f>
      </c>
    </row>
    <row x14ac:dyDescent="0.25" r="4144" customHeight="1" ht="17.25">
      <c r="A4144" s="52"/>
      <c r="B4144" s="2"/>
      <c r="C4144" s="2"/>
      <c r="D4144" s="3"/>
      <c r="E4144" s="3"/>
      <c r="F4144" s="2"/>
      <c r="G4144" s="13">
        <f>IF($B4144="IN",$D4144,0)</f>
      </c>
      <c r="H4144" s="13">
        <f>IF($B4144="OUT",$D4144,0)</f>
      </c>
    </row>
    <row x14ac:dyDescent="0.25" r="4145" customHeight="1" ht="17.25">
      <c r="A4145" s="52"/>
      <c r="B4145" s="2"/>
      <c r="C4145" s="2"/>
      <c r="D4145" s="3"/>
      <c r="E4145" s="3"/>
      <c r="F4145" s="2"/>
      <c r="G4145" s="13">
        <f>IF($B4145="IN",$D4145,0)</f>
      </c>
      <c r="H4145" s="13">
        <f>IF($B4145="OUT",$D4145,0)</f>
      </c>
    </row>
    <row x14ac:dyDescent="0.25" r="4146" customHeight="1" ht="17.25">
      <c r="A4146" s="52"/>
      <c r="B4146" s="2"/>
      <c r="C4146" s="2"/>
      <c r="D4146" s="3"/>
      <c r="E4146" s="3"/>
      <c r="F4146" s="2"/>
      <c r="G4146" s="13">
        <f>IF($B4146="IN",$D4146,0)</f>
      </c>
      <c r="H4146" s="13">
        <f>IF($B4146="OUT",$D4146,0)</f>
      </c>
    </row>
    <row x14ac:dyDescent="0.25" r="4147" customHeight="1" ht="17.25">
      <c r="A4147" s="52"/>
      <c r="B4147" s="2"/>
      <c r="C4147" s="2"/>
      <c r="D4147" s="3"/>
      <c r="E4147" s="3"/>
      <c r="F4147" s="2"/>
      <c r="G4147" s="13">
        <f>IF($B4147="IN",$D4147,0)</f>
      </c>
      <c r="H4147" s="13">
        <f>IF($B4147="OUT",$D4147,0)</f>
      </c>
    </row>
    <row x14ac:dyDescent="0.25" r="4148" customHeight="1" ht="17.25">
      <c r="A4148" s="52"/>
      <c r="B4148" s="2"/>
      <c r="C4148" s="2"/>
      <c r="D4148" s="3"/>
      <c r="E4148" s="3"/>
      <c r="F4148" s="2"/>
      <c r="G4148" s="13">
        <f>IF($B4148="IN",$D4148,0)</f>
      </c>
      <c r="H4148" s="13">
        <f>IF($B4148="OUT",$D4148,0)</f>
      </c>
    </row>
    <row x14ac:dyDescent="0.25" r="4149" customHeight="1" ht="17.25">
      <c r="A4149" s="52"/>
      <c r="B4149" s="2"/>
      <c r="C4149" s="2"/>
      <c r="D4149" s="3"/>
      <c r="E4149" s="3"/>
      <c r="F4149" s="2"/>
      <c r="G4149" s="13">
        <f>IF($B4149="IN",$D4149,0)</f>
      </c>
      <c r="H4149" s="13">
        <f>IF($B4149="OUT",$D4149,0)</f>
      </c>
    </row>
    <row x14ac:dyDescent="0.25" r="4150" customHeight="1" ht="17.25">
      <c r="A4150" s="52"/>
      <c r="B4150" s="2"/>
      <c r="C4150" s="2"/>
      <c r="D4150" s="3"/>
      <c r="E4150" s="3"/>
      <c r="F4150" s="2"/>
      <c r="G4150" s="13">
        <f>IF($B4150="IN",$D4150,0)</f>
      </c>
      <c r="H4150" s="13">
        <f>IF($B4150="OUT",$D4150,0)</f>
      </c>
    </row>
    <row x14ac:dyDescent="0.25" r="4151" customHeight="1" ht="17.25">
      <c r="A4151" s="52"/>
      <c r="B4151" s="2"/>
      <c r="C4151" s="2"/>
      <c r="D4151" s="3"/>
      <c r="E4151" s="3"/>
      <c r="F4151" s="2"/>
      <c r="G4151" s="13">
        <f>IF($B4151="IN",$D4151,0)</f>
      </c>
      <c r="H4151" s="13">
        <f>IF($B4151="OUT",$D4151,0)</f>
      </c>
    </row>
    <row x14ac:dyDescent="0.25" r="4152" customHeight="1" ht="17.25">
      <c r="A4152" s="52"/>
      <c r="B4152" s="2"/>
      <c r="C4152" s="2"/>
      <c r="D4152" s="3"/>
      <c r="E4152" s="3"/>
      <c r="F4152" s="2"/>
      <c r="G4152" s="13">
        <f>IF($B4152="IN",$D4152,0)</f>
      </c>
      <c r="H4152" s="13">
        <f>IF($B4152="OUT",$D4152,0)</f>
      </c>
    </row>
    <row x14ac:dyDescent="0.25" r="4153" customHeight="1" ht="17.25">
      <c r="A4153" s="52"/>
      <c r="B4153" s="2"/>
      <c r="C4153" s="2"/>
      <c r="D4153" s="3"/>
      <c r="E4153" s="3"/>
      <c r="F4153" s="2"/>
      <c r="G4153" s="13">
        <f>IF($B4153="IN",$D4153,0)</f>
      </c>
      <c r="H4153" s="13">
        <f>IF($B4153="OUT",$D4153,0)</f>
      </c>
    </row>
    <row x14ac:dyDescent="0.25" r="4154" customHeight="1" ht="17.25">
      <c r="A4154" s="52"/>
      <c r="B4154" s="2"/>
      <c r="C4154" s="2"/>
      <c r="D4154" s="3"/>
      <c r="E4154" s="3"/>
      <c r="F4154" s="2"/>
      <c r="G4154" s="13">
        <f>IF($B4154="IN",$D4154,0)</f>
      </c>
      <c r="H4154" s="13">
        <f>IF($B4154="OUT",$D4154,0)</f>
      </c>
    </row>
    <row x14ac:dyDescent="0.25" r="4155" customHeight="1" ht="17.25">
      <c r="A4155" s="52"/>
      <c r="B4155" s="2"/>
      <c r="C4155" s="2"/>
      <c r="D4155" s="3"/>
      <c r="E4155" s="3"/>
      <c r="F4155" s="2"/>
      <c r="G4155" s="13">
        <f>IF($B4155="IN",$D4155,0)</f>
      </c>
      <c r="H4155" s="13">
        <f>IF($B4155="OUT",$D4155,0)</f>
      </c>
    </row>
    <row x14ac:dyDescent="0.25" r="4156" customHeight="1" ht="17.25">
      <c r="A4156" s="52"/>
      <c r="B4156" s="2"/>
      <c r="C4156" s="2"/>
      <c r="D4156" s="3"/>
      <c r="E4156" s="3"/>
      <c r="F4156" s="2"/>
      <c r="G4156" s="13">
        <f>IF($B4156="IN",$D4156,0)</f>
      </c>
      <c r="H4156" s="13">
        <f>IF($B4156="OUT",$D4156,0)</f>
      </c>
    </row>
    <row x14ac:dyDescent="0.25" r="4157" customHeight="1" ht="17.25">
      <c r="A4157" s="52"/>
      <c r="B4157" s="2"/>
      <c r="C4157" s="2"/>
      <c r="D4157" s="3"/>
      <c r="E4157" s="3"/>
      <c r="F4157" s="2"/>
      <c r="G4157" s="13">
        <f>IF($B4157="IN",$D4157,0)</f>
      </c>
      <c r="H4157" s="13">
        <f>IF($B4157="OUT",$D4157,0)</f>
      </c>
    </row>
    <row x14ac:dyDescent="0.25" r="4158" customHeight="1" ht="17.25">
      <c r="A4158" s="52"/>
      <c r="B4158" s="2"/>
      <c r="C4158" s="2"/>
      <c r="D4158" s="3"/>
      <c r="E4158" s="3"/>
      <c r="F4158" s="2"/>
      <c r="G4158" s="13">
        <f>IF($B4158="IN",$D4158,0)</f>
      </c>
      <c r="H4158" s="13">
        <f>IF($B4158="OUT",$D4158,0)</f>
      </c>
    </row>
    <row x14ac:dyDescent="0.25" r="4159" customHeight="1" ht="17.25">
      <c r="A4159" s="52"/>
      <c r="B4159" s="2"/>
      <c r="C4159" s="2"/>
      <c r="D4159" s="3"/>
      <c r="E4159" s="3"/>
      <c r="F4159" s="2"/>
      <c r="G4159" s="13">
        <f>IF($B4159="IN",$D4159,0)</f>
      </c>
      <c r="H4159" s="13">
        <f>IF($B4159="OUT",$D4159,0)</f>
      </c>
    </row>
    <row x14ac:dyDescent="0.25" r="4160" customHeight="1" ht="17.25">
      <c r="A4160" s="52"/>
      <c r="B4160" s="2"/>
      <c r="C4160" s="2"/>
      <c r="D4160" s="3"/>
      <c r="E4160" s="3"/>
      <c r="F4160" s="2"/>
      <c r="G4160" s="13">
        <f>IF($B4160="IN",$D4160,0)</f>
      </c>
      <c r="H4160" s="13">
        <f>IF($B4160="OUT",$D4160,0)</f>
      </c>
    </row>
    <row x14ac:dyDescent="0.25" r="4161" customHeight="1" ht="17.25">
      <c r="A4161" s="52"/>
      <c r="B4161" s="2"/>
      <c r="C4161" s="2"/>
      <c r="D4161" s="3"/>
      <c r="E4161" s="3"/>
      <c r="F4161" s="2"/>
      <c r="G4161" s="13">
        <f>IF($B4161="IN",$D4161,0)</f>
      </c>
      <c r="H4161" s="13">
        <f>IF($B4161="OUT",$D4161,0)</f>
      </c>
    </row>
    <row x14ac:dyDescent="0.25" r="4162" customHeight="1" ht="17.25">
      <c r="A4162" s="52"/>
      <c r="B4162" s="2"/>
      <c r="C4162" s="2"/>
      <c r="D4162" s="3"/>
      <c r="E4162" s="3"/>
      <c r="F4162" s="2"/>
      <c r="G4162" s="13">
        <f>IF($B4162="IN",$D4162,0)</f>
      </c>
      <c r="H4162" s="13">
        <f>IF($B4162="OUT",$D4162,0)</f>
      </c>
    </row>
    <row x14ac:dyDescent="0.25" r="4163" customHeight="1" ht="17.25">
      <c r="A4163" s="52"/>
      <c r="B4163" s="2"/>
      <c r="C4163" s="2"/>
      <c r="D4163" s="3"/>
      <c r="E4163" s="3"/>
      <c r="F4163" s="2"/>
      <c r="G4163" s="13">
        <f>IF($B4163="IN",$D4163,0)</f>
      </c>
      <c r="H4163" s="13">
        <f>IF($B4163="OUT",$D4163,0)</f>
      </c>
    </row>
    <row x14ac:dyDescent="0.25" r="4164" customHeight="1" ht="17.25">
      <c r="A4164" s="52"/>
      <c r="B4164" s="2"/>
      <c r="C4164" s="2"/>
      <c r="D4164" s="3"/>
      <c r="E4164" s="3"/>
      <c r="F4164" s="2"/>
      <c r="G4164" s="13">
        <f>IF($B4164="IN",$D4164,0)</f>
      </c>
      <c r="H4164" s="13">
        <f>IF($B4164="OUT",$D4164,0)</f>
      </c>
    </row>
    <row x14ac:dyDescent="0.25" r="4165" customHeight="1" ht="17.25">
      <c r="A4165" s="52"/>
      <c r="B4165" s="2"/>
      <c r="C4165" s="2"/>
      <c r="D4165" s="3"/>
      <c r="E4165" s="3"/>
      <c r="F4165" s="2"/>
      <c r="G4165" s="13">
        <f>IF($B4165="IN",$D4165,0)</f>
      </c>
      <c r="H4165" s="13">
        <f>IF($B4165="OUT",$D4165,0)</f>
      </c>
    </row>
    <row x14ac:dyDescent="0.25" r="4166" customHeight="1" ht="17.25">
      <c r="A4166" s="52"/>
      <c r="B4166" s="2"/>
      <c r="C4166" s="2"/>
      <c r="D4166" s="3"/>
      <c r="E4166" s="3"/>
      <c r="F4166" s="2"/>
      <c r="G4166" s="13">
        <f>IF($B4166="IN",$D4166,0)</f>
      </c>
      <c r="H4166" s="13">
        <f>IF($B4166="OUT",$D4166,0)</f>
      </c>
    </row>
    <row x14ac:dyDescent="0.25" r="4167" customHeight="1" ht="17.25">
      <c r="A4167" s="52"/>
      <c r="B4167" s="2"/>
      <c r="C4167" s="2"/>
      <c r="D4167" s="3"/>
      <c r="E4167" s="3"/>
      <c r="F4167" s="2"/>
      <c r="G4167" s="13">
        <f>IF($B4167="IN",$D4167,0)</f>
      </c>
      <c r="H4167" s="13">
        <f>IF($B4167="OUT",$D4167,0)</f>
      </c>
    </row>
    <row x14ac:dyDescent="0.25" r="4168" customHeight="1" ht="17.25">
      <c r="A4168" s="52"/>
      <c r="B4168" s="2"/>
      <c r="C4168" s="2"/>
      <c r="D4168" s="3"/>
      <c r="E4168" s="3"/>
      <c r="F4168" s="2"/>
      <c r="G4168" s="13">
        <f>IF($B4168="IN",$D4168,0)</f>
      </c>
      <c r="H4168" s="13">
        <f>IF($B4168="OUT",$D4168,0)</f>
      </c>
    </row>
    <row x14ac:dyDescent="0.25" r="4169" customHeight="1" ht="17.25">
      <c r="A4169" s="52"/>
      <c r="B4169" s="2"/>
      <c r="C4169" s="2"/>
      <c r="D4169" s="3"/>
      <c r="E4169" s="3"/>
      <c r="F4169" s="2"/>
      <c r="G4169" s="13">
        <f>IF($B4169="IN",$D4169,0)</f>
      </c>
      <c r="H4169" s="13">
        <f>IF($B4169="OUT",$D4169,0)</f>
      </c>
    </row>
    <row x14ac:dyDescent="0.25" r="4170" customHeight="1" ht="17.25">
      <c r="A4170" s="52"/>
      <c r="B4170" s="2"/>
      <c r="C4170" s="2"/>
      <c r="D4170" s="3"/>
      <c r="E4170" s="3"/>
      <c r="F4170" s="2"/>
      <c r="G4170" s="13">
        <f>IF($B4170="IN",$D4170,0)</f>
      </c>
      <c r="H4170" s="13">
        <f>IF($B4170="OUT",$D4170,0)</f>
      </c>
    </row>
    <row x14ac:dyDescent="0.25" r="4171" customHeight="1" ht="17.25">
      <c r="A4171" s="52"/>
      <c r="B4171" s="2"/>
      <c r="C4171" s="2"/>
      <c r="D4171" s="3"/>
      <c r="E4171" s="3"/>
      <c r="F4171" s="2"/>
      <c r="G4171" s="13">
        <f>IF($B4171="IN",$D4171,0)</f>
      </c>
      <c r="H4171" s="13">
        <f>IF($B4171="OUT",$D4171,0)</f>
      </c>
    </row>
    <row x14ac:dyDescent="0.25" r="4172" customHeight="1" ht="17.25">
      <c r="A4172" s="52"/>
      <c r="B4172" s="2"/>
      <c r="C4172" s="2"/>
      <c r="D4172" s="3"/>
      <c r="E4172" s="3"/>
      <c r="F4172" s="2"/>
      <c r="G4172" s="13">
        <f>IF($B4172="IN",$D4172,0)</f>
      </c>
      <c r="H4172" s="13">
        <f>IF($B4172="OUT",$D4172,0)</f>
      </c>
    </row>
    <row x14ac:dyDescent="0.25" r="4173" customHeight="1" ht="17.25">
      <c r="A4173" s="52"/>
      <c r="B4173" s="2"/>
      <c r="C4173" s="2"/>
      <c r="D4173" s="3"/>
      <c r="E4173" s="3"/>
      <c r="F4173" s="2"/>
      <c r="G4173" s="13">
        <f>IF($B4173="IN",$D4173,0)</f>
      </c>
      <c r="H4173" s="13">
        <f>IF($B4173="OUT",$D4173,0)</f>
      </c>
    </row>
    <row x14ac:dyDescent="0.25" r="4174" customHeight="1" ht="17.25">
      <c r="A4174" s="52"/>
      <c r="B4174" s="2"/>
      <c r="C4174" s="2"/>
      <c r="D4174" s="3"/>
      <c r="E4174" s="3"/>
      <c r="F4174" s="2"/>
      <c r="G4174" s="13">
        <f>IF($B4174="IN",$D4174,0)</f>
      </c>
      <c r="H4174" s="13">
        <f>IF($B4174="OUT",$D4174,0)</f>
      </c>
    </row>
    <row x14ac:dyDescent="0.25" r="4175" customHeight="1" ht="17.25">
      <c r="A4175" s="52"/>
      <c r="B4175" s="2"/>
      <c r="C4175" s="2"/>
      <c r="D4175" s="3"/>
      <c r="E4175" s="3"/>
      <c r="F4175" s="2"/>
      <c r="G4175" s="13">
        <f>IF($B4175="IN",$D4175,0)</f>
      </c>
      <c r="H4175" s="13">
        <f>IF($B4175="OUT",$D4175,0)</f>
      </c>
    </row>
    <row x14ac:dyDescent="0.25" r="4176" customHeight="1" ht="17.25">
      <c r="A4176" s="52"/>
      <c r="B4176" s="2"/>
      <c r="C4176" s="2"/>
      <c r="D4176" s="3"/>
      <c r="E4176" s="3"/>
      <c r="F4176" s="2"/>
      <c r="G4176" s="13">
        <f>IF($B4176="IN",$D4176,0)</f>
      </c>
      <c r="H4176" s="13">
        <f>IF($B4176="OUT",$D4176,0)</f>
      </c>
    </row>
    <row x14ac:dyDescent="0.25" r="4177" customHeight="1" ht="17.25">
      <c r="A4177" s="52"/>
      <c r="B4177" s="2"/>
      <c r="C4177" s="2"/>
      <c r="D4177" s="3"/>
      <c r="E4177" s="3"/>
      <c r="F4177" s="2"/>
      <c r="G4177" s="13">
        <f>IF($B4177="IN",$D4177,0)</f>
      </c>
      <c r="H4177" s="13">
        <f>IF($B4177="OUT",$D4177,0)</f>
      </c>
    </row>
    <row x14ac:dyDescent="0.25" r="4178" customHeight="1" ht="17.25">
      <c r="A4178" s="52"/>
      <c r="B4178" s="2"/>
      <c r="C4178" s="2"/>
      <c r="D4178" s="3"/>
      <c r="E4178" s="3"/>
      <c r="F4178" s="2"/>
      <c r="G4178" s="13">
        <f>IF($B4178="IN",$D4178,0)</f>
      </c>
      <c r="H4178" s="13">
        <f>IF($B4178="OUT",$D4178,0)</f>
      </c>
    </row>
    <row x14ac:dyDescent="0.25" r="4179" customHeight="1" ht="17.25">
      <c r="A4179" s="52"/>
      <c r="B4179" s="2"/>
      <c r="C4179" s="2"/>
      <c r="D4179" s="3"/>
      <c r="E4179" s="3"/>
      <c r="F4179" s="2"/>
      <c r="G4179" s="13">
        <f>IF($B4179="IN",$D4179,0)</f>
      </c>
      <c r="H4179" s="13">
        <f>IF($B4179="OUT",$D4179,0)</f>
      </c>
    </row>
    <row x14ac:dyDescent="0.25" r="4180" customHeight="1" ht="17.25">
      <c r="A4180" s="52"/>
      <c r="B4180" s="2"/>
      <c r="C4180" s="2"/>
      <c r="D4180" s="3"/>
      <c r="E4180" s="3"/>
      <c r="F4180" s="2"/>
      <c r="G4180" s="13">
        <f>IF($B4180="IN",$D4180,0)</f>
      </c>
      <c r="H4180" s="13">
        <f>IF($B4180="OUT",$D4180,0)</f>
      </c>
    </row>
    <row x14ac:dyDescent="0.25" r="4181" customHeight="1" ht="17.25">
      <c r="A4181" s="52"/>
      <c r="B4181" s="2"/>
      <c r="C4181" s="2"/>
      <c r="D4181" s="3"/>
      <c r="E4181" s="3"/>
      <c r="F4181" s="2"/>
      <c r="G4181" s="13">
        <f>IF($B4181="IN",$D4181,0)</f>
      </c>
      <c r="H4181" s="13">
        <f>IF($B4181="OUT",$D4181,0)</f>
      </c>
    </row>
    <row x14ac:dyDescent="0.25" r="4182" customHeight="1" ht="17.25">
      <c r="A4182" s="52"/>
      <c r="B4182" s="2"/>
      <c r="C4182" s="2"/>
      <c r="D4182" s="3"/>
      <c r="E4182" s="3"/>
      <c r="F4182" s="2"/>
      <c r="G4182" s="13">
        <f>IF($B4182="IN",$D4182,0)</f>
      </c>
      <c r="H4182" s="13">
        <f>IF($B4182="OUT",$D4182,0)</f>
      </c>
    </row>
    <row x14ac:dyDescent="0.25" r="4183" customHeight="1" ht="17.25">
      <c r="A4183" s="52"/>
      <c r="B4183" s="2"/>
      <c r="C4183" s="2"/>
      <c r="D4183" s="3"/>
      <c r="E4183" s="3"/>
      <c r="F4183" s="2"/>
      <c r="G4183" s="13">
        <f>IF($B4183="IN",$D4183,0)</f>
      </c>
      <c r="H4183" s="13">
        <f>IF($B4183="OUT",$D4183,0)</f>
      </c>
    </row>
    <row x14ac:dyDescent="0.25" r="4184" customHeight="1" ht="17.25">
      <c r="A4184" s="52"/>
      <c r="B4184" s="2"/>
      <c r="C4184" s="2"/>
      <c r="D4184" s="3"/>
      <c r="E4184" s="3"/>
      <c r="F4184" s="2"/>
      <c r="G4184" s="13">
        <f>IF($B4184="IN",$D4184,0)</f>
      </c>
      <c r="H4184" s="13">
        <f>IF($B4184="OUT",$D4184,0)</f>
      </c>
    </row>
    <row x14ac:dyDescent="0.25" r="4185" customHeight="1" ht="17.25">
      <c r="A4185" s="52"/>
      <c r="B4185" s="2"/>
      <c r="C4185" s="2"/>
      <c r="D4185" s="3"/>
      <c r="E4185" s="3"/>
      <c r="F4185" s="2"/>
      <c r="G4185" s="13">
        <f>IF($B4185="IN",$D4185,0)</f>
      </c>
      <c r="H4185" s="13">
        <f>IF($B4185="OUT",$D4185,0)</f>
      </c>
    </row>
    <row x14ac:dyDescent="0.25" r="4186" customHeight="1" ht="17.25">
      <c r="A4186" s="52"/>
      <c r="B4186" s="2"/>
      <c r="C4186" s="2"/>
      <c r="D4186" s="3"/>
      <c r="E4186" s="3"/>
      <c r="F4186" s="2"/>
      <c r="G4186" s="13">
        <f>IF($B4186="IN",$D4186,0)</f>
      </c>
      <c r="H4186" s="13">
        <f>IF($B4186="OUT",$D4186,0)</f>
      </c>
    </row>
    <row x14ac:dyDescent="0.25" r="4187" customHeight="1" ht="17.25">
      <c r="A4187" s="52"/>
      <c r="B4187" s="2"/>
      <c r="C4187" s="2"/>
      <c r="D4187" s="3"/>
      <c r="E4187" s="3"/>
      <c r="F4187" s="2"/>
      <c r="G4187" s="13">
        <f>IF($B4187="IN",$D4187,0)</f>
      </c>
      <c r="H4187" s="13">
        <f>IF($B4187="OUT",$D4187,0)</f>
      </c>
    </row>
    <row x14ac:dyDescent="0.25" r="4188" customHeight="1" ht="17.25">
      <c r="A4188" s="52"/>
      <c r="B4188" s="2"/>
      <c r="C4188" s="2"/>
      <c r="D4188" s="3"/>
      <c r="E4188" s="3"/>
      <c r="F4188" s="2"/>
      <c r="G4188" s="13">
        <f>IF($B4188="IN",$D4188,0)</f>
      </c>
      <c r="H4188" s="13">
        <f>IF($B4188="OUT",$D4188,0)</f>
      </c>
    </row>
    <row x14ac:dyDescent="0.25" r="4189" customHeight="1" ht="17.25">
      <c r="A4189" s="52"/>
      <c r="B4189" s="2"/>
      <c r="C4189" s="2"/>
      <c r="D4189" s="3"/>
      <c r="E4189" s="3"/>
      <c r="F4189" s="2"/>
      <c r="G4189" s="13">
        <f>IF($B4189="IN",$D4189,0)</f>
      </c>
      <c r="H4189" s="13">
        <f>IF($B4189="OUT",$D4189,0)</f>
      </c>
    </row>
    <row x14ac:dyDescent="0.25" r="4190" customHeight="1" ht="17.25">
      <c r="A4190" s="52"/>
      <c r="B4190" s="2"/>
      <c r="C4190" s="2"/>
      <c r="D4190" s="3"/>
      <c r="E4190" s="3"/>
      <c r="F4190" s="2"/>
      <c r="G4190" s="13">
        <f>IF($B4190="IN",$D4190,0)</f>
      </c>
      <c r="H4190" s="13">
        <f>IF($B4190="OUT",$D4190,0)</f>
      </c>
    </row>
    <row x14ac:dyDescent="0.25" r="4191" customHeight="1" ht="17.25">
      <c r="A4191" s="52"/>
      <c r="B4191" s="2"/>
      <c r="C4191" s="2"/>
      <c r="D4191" s="3"/>
      <c r="E4191" s="3"/>
      <c r="F4191" s="2"/>
      <c r="G4191" s="13">
        <f>IF($B4191="IN",$D4191,0)</f>
      </c>
      <c r="H4191" s="13">
        <f>IF($B4191="OUT",$D4191,0)</f>
      </c>
    </row>
    <row x14ac:dyDescent="0.25" r="4192" customHeight="1" ht="17.25">
      <c r="A4192" s="52"/>
      <c r="B4192" s="2"/>
      <c r="C4192" s="2"/>
      <c r="D4192" s="3"/>
      <c r="E4192" s="3"/>
      <c r="F4192" s="2"/>
      <c r="G4192" s="13">
        <f>IF($B4192="IN",$D4192,0)</f>
      </c>
      <c r="H4192" s="13">
        <f>IF($B4192="OUT",$D4192,0)</f>
      </c>
    </row>
    <row x14ac:dyDescent="0.25" r="4193" customHeight="1" ht="17.25">
      <c r="A4193" s="52"/>
      <c r="B4193" s="2"/>
      <c r="C4193" s="2"/>
      <c r="D4193" s="3"/>
      <c r="E4193" s="3"/>
      <c r="F4193" s="2"/>
      <c r="G4193" s="13">
        <f>IF($B4193="IN",$D4193,0)</f>
      </c>
      <c r="H4193" s="13">
        <f>IF($B4193="OUT",$D4193,0)</f>
      </c>
    </row>
    <row x14ac:dyDescent="0.25" r="4194" customHeight="1" ht="17.25">
      <c r="A4194" s="52"/>
      <c r="B4194" s="2"/>
      <c r="C4194" s="2"/>
      <c r="D4194" s="3"/>
      <c r="E4194" s="3"/>
      <c r="F4194" s="2"/>
      <c r="G4194" s="13">
        <f>IF($B4194="IN",$D4194,0)</f>
      </c>
      <c r="H4194" s="13">
        <f>IF($B4194="OUT",$D4194,0)</f>
      </c>
    </row>
    <row x14ac:dyDescent="0.25" r="4195" customHeight="1" ht="17.25">
      <c r="A4195" s="52"/>
      <c r="B4195" s="2"/>
      <c r="C4195" s="2"/>
      <c r="D4195" s="3"/>
      <c r="E4195" s="3"/>
      <c r="F4195" s="2"/>
      <c r="G4195" s="13">
        <f>IF($B4195="IN",$D4195,0)</f>
      </c>
      <c r="H4195" s="13">
        <f>IF($B4195="OUT",$D4195,0)</f>
      </c>
    </row>
    <row x14ac:dyDescent="0.25" r="4196" customHeight="1" ht="17.25">
      <c r="A4196" s="52"/>
      <c r="B4196" s="2"/>
      <c r="C4196" s="2"/>
      <c r="D4196" s="3"/>
      <c r="E4196" s="3"/>
      <c r="F4196" s="2"/>
      <c r="G4196" s="13">
        <f>IF($B4196="IN",$D4196,0)</f>
      </c>
      <c r="H4196" s="13">
        <f>IF($B4196="OUT",$D4196,0)</f>
      </c>
    </row>
    <row x14ac:dyDescent="0.25" r="4197" customHeight="1" ht="17.25">
      <c r="A4197" s="52"/>
      <c r="B4197" s="2"/>
      <c r="C4197" s="2"/>
      <c r="D4197" s="3"/>
      <c r="E4197" s="3"/>
      <c r="F4197" s="2"/>
      <c r="G4197" s="13">
        <f>IF($B4197="IN",$D4197,0)</f>
      </c>
      <c r="H4197" s="13">
        <f>IF($B4197="OUT",$D4197,0)</f>
      </c>
    </row>
    <row x14ac:dyDescent="0.25" r="4198" customHeight="1" ht="17.25">
      <c r="A4198" s="52"/>
      <c r="B4198" s="2"/>
      <c r="C4198" s="2"/>
      <c r="D4198" s="3"/>
      <c r="E4198" s="3"/>
      <c r="F4198" s="2"/>
      <c r="G4198" s="13">
        <f>IF($B4198="IN",$D4198,0)</f>
      </c>
      <c r="H4198" s="13">
        <f>IF($B4198="OUT",$D4198,0)</f>
      </c>
    </row>
    <row x14ac:dyDescent="0.25" r="4199" customHeight="1" ht="17.25">
      <c r="A4199" s="52"/>
      <c r="B4199" s="2"/>
      <c r="C4199" s="2"/>
      <c r="D4199" s="3"/>
      <c r="E4199" s="3"/>
      <c r="F4199" s="2"/>
      <c r="G4199" s="13">
        <f>IF($B4199="IN",$D4199,0)</f>
      </c>
      <c r="H4199" s="13">
        <f>IF($B4199="OUT",$D4199,0)</f>
      </c>
    </row>
    <row x14ac:dyDescent="0.25" r="4200" customHeight="1" ht="17.25">
      <c r="A4200" s="52"/>
      <c r="B4200" s="2"/>
      <c r="C4200" s="2"/>
      <c r="D4200" s="3"/>
      <c r="E4200" s="3"/>
      <c r="F4200" s="2"/>
      <c r="G4200" s="13">
        <f>IF($B4200="IN",$D4200,0)</f>
      </c>
      <c r="H4200" s="13">
        <f>IF($B4200="OUT",$D4200,0)</f>
      </c>
    </row>
    <row x14ac:dyDescent="0.25" r="4201" customHeight="1" ht="17.25">
      <c r="A4201" s="52"/>
      <c r="B4201" s="2"/>
      <c r="C4201" s="2"/>
      <c r="D4201" s="3"/>
      <c r="E4201" s="3"/>
      <c r="F4201" s="2"/>
      <c r="G4201" s="13">
        <f>IF($B4201="IN",$D4201,0)</f>
      </c>
      <c r="H4201" s="13">
        <f>IF($B4201="OUT",$D4201,0)</f>
      </c>
    </row>
    <row x14ac:dyDescent="0.25" r="4202" customHeight="1" ht="17.25">
      <c r="A4202" s="52"/>
      <c r="B4202" s="2"/>
      <c r="C4202" s="2"/>
      <c r="D4202" s="3"/>
      <c r="E4202" s="3"/>
      <c r="F4202" s="2"/>
      <c r="G4202" s="13">
        <f>IF($B4202="IN",$D4202,0)</f>
      </c>
      <c r="H4202" s="13">
        <f>IF($B4202="OUT",$D4202,0)</f>
      </c>
    </row>
    <row x14ac:dyDescent="0.25" r="4203" customHeight="1" ht="17.25">
      <c r="A4203" s="52"/>
      <c r="B4203" s="2"/>
      <c r="C4203" s="2"/>
      <c r="D4203" s="3"/>
      <c r="E4203" s="3"/>
      <c r="F4203" s="2"/>
      <c r="G4203" s="13">
        <f>IF($B4203="IN",$D4203,0)</f>
      </c>
      <c r="H4203" s="13">
        <f>IF($B4203="OUT",$D4203,0)</f>
      </c>
    </row>
    <row x14ac:dyDescent="0.25" r="4204" customHeight="1" ht="17.25">
      <c r="A4204" s="52"/>
      <c r="B4204" s="2"/>
      <c r="C4204" s="2"/>
      <c r="D4204" s="3"/>
      <c r="E4204" s="3"/>
      <c r="F4204" s="2"/>
      <c r="G4204" s="13">
        <f>IF($B4204="IN",$D4204,0)</f>
      </c>
      <c r="H4204" s="13">
        <f>IF($B4204="OUT",$D4204,0)</f>
      </c>
    </row>
    <row x14ac:dyDescent="0.25" r="4205" customHeight="1" ht="17.25">
      <c r="A4205" s="52"/>
      <c r="B4205" s="2"/>
      <c r="C4205" s="2"/>
      <c r="D4205" s="3"/>
      <c r="E4205" s="3"/>
      <c r="F4205" s="2"/>
      <c r="G4205" s="13">
        <f>IF($B4205="IN",$D4205,0)</f>
      </c>
      <c r="H4205" s="13">
        <f>IF($B4205="OUT",$D4205,0)</f>
      </c>
    </row>
    <row x14ac:dyDescent="0.25" r="4206" customHeight="1" ht="17.25">
      <c r="A4206" s="52"/>
      <c r="B4206" s="2"/>
      <c r="C4206" s="2"/>
      <c r="D4206" s="3"/>
      <c r="E4206" s="3"/>
      <c r="F4206" s="2"/>
      <c r="G4206" s="13">
        <f>IF($B4206="IN",$D4206,0)</f>
      </c>
      <c r="H4206" s="13">
        <f>IF($B4206="OUT",$D4206,0)</f>
      </c>
    </row>
    <row x14ac:dyDescent="0.25" r="4207" customHeight="1" ht="17.25">
      <c r="A4207" s="52"/>
      <c r="B4207" s="2"/>
      <c r="C4207" s="2"/>
      <c r="D4207" s="3"/>
      <c r="E4207" s="3"/>
      <c r="F4207" s="2"/>
      <c r="G4207" s="13">
        <f>IF($B4207="IN",$D4207,0)</f>
      </c>
      <c r="H4207" s="13">
        <f>IF($B4207="OUT",$D4207,0)</f>
      </c>
    </row>
    <row x14ac:dyDescent="0.25" r="4208" customHeight="1" ht="17.25">
      <c r="A4208" s="52"/>
      <c r="B4208" s="2"/>
      <c r="C4208" s="2"/>
      <c r="D4208" s="3"/>
      <c r="E4208" s="3"/>
      <c r="F4208" s="2"/>
      <c r="G4208" s="13">
        <f>IF($B4208="IN",$D4208,0)</f>
      </c>
      <c r="H4208" s="13">
        <f>IF($B4208="OUT",$D4208,0)</f>
      </c>
    </row>
    <row x14ac:dyDescent="0.25" r="4209" customHeight="1" ht="17.25">
      <c r="A4209" s="52"/>
      <c r="B4209" s="2"/>
      <c r="C4209" s="2"/>
      <c r="D4209" s="3"/>
      <c r="E4209" s="3"/>
      <c r="F4209" s="2"/>
      <c r="G4209" s="13">
        <f>IF($B4209="IN",$D4209,0)</f>
      </c>
      <c r="H4209" s="13">
        <f>IF($B4209="OUT",$D4209,0)</f>
      </c>
    </row>
    <row x14ac:dyDescent="0.25" r="4210" customHeight="1" ht="17.25">
      <c r="A4210" s="52"/>
      <c r="B4210" s="2"/>
      <c r="C4210" s="2"/>
      <c r="D4210" s="3"/>
      <c r="E4210" s="3"/>
      <c r="F4210" s="2"/>
      <c r="G4210" s="13">
        <f>IF($B4210="IN",$D4210,0)</f>
      </c>
      <c r="H4210" s="13">
        <f>IF($B4210="OUT",$D4210,0)</f>
      </c>
    </row>
    <row x14ac:dyDescent="0.25" r="4211" customHeight="1" ht="17.25">
      <c r="A4211" s="52"/>
      <c r="B4211" s="2"/>
      <c r="C4211" s="2"/>
      <c r="D4211" s="3"/>
      <c r="E4211" s="3"/>
      <c r="F4211" s="2"/>
      <c r="G4211" s="13">
        <f>IF($B4211="IN",$D4211,0)</f>
      </c>
      <c r="H4211" s="13">
        <f>IF($B4211="OUT",$D4211,0)</f>
      </c>
    </row>
    <row x14ac:dyDescent="0.25" r="4212" customHeight="1" ht="17.25">
      <c r="A4212" s="52"/>
      <c r="B4212" s="2"/>
      <c r="C4212" s="2"/>
      <c r="D4212" s="3"/>
      <c r="E4212" s="3"/>
      <c r="F4212" s="2"/>
      <c r="G4212" s="13">
        <f>IF($B4212="IN",$D4212,0)</f>
      </c>
      <c r="H4212" s="13">
        <f>IF($B4212="OUT",$D4212,0)</f>
      </c>
    </row>
    <row x14ac:dyDescent="0.25" r="4213" customHeight="1" ht="17.25">
      <c r="A4213" s="52"/>
      <c r="B4213" s="2"/>
      <c r="C4213" s="2"/>
      <c r="D4213" s="3"/>
      <c r="E4213" s="3"/>
      <c r="F4213" s="2"/>
      <c r="G4213" s="13">
        <f>IF($B4213="IN",$D4213,0)</f>
      </c>
      <c r="H4213" s="13">
        <f>IF($B4213="OUT",$D4213,0)</f>
      </c>
    </row>
    <row x14ac:dyDescent="0.25" r="4214" customHeight="1" ht="17.25">
      <c r="A4214" s="52"/>
      <c r="B4214" s="2"/>
      <c r="C4214" s="2"/>
      <c r="D4214" s="3"/>
      <c r="E4214" s="3"/>
      <c r="F4214" s="2"/>
      <c r="G4214" s="13">
        <f>IF($B4214="IN",$D4214,0)</f>
      </c>
      <c r="H4214" s="13">
        <f>IF($B4214="OUT",$D4214,0)</f>
      </c>
    </row>
    <row x14ac:dyDescent="0.25" r="4215" customHeight="1" ht="17.25">
      <c r="A4215" s="52"/>
      <c r="B4215" s="2"/>
      <c r="C4215" s="2"/>
      <c r="D4215" s="3"/>
      <c r="E4215" s="3"/>
      <c r="F4215" s="2"/>
      <c r="G4215" s="13">
        <f>IF($B4215="IN",$D4215,0)</f>
      </c>
      <c r="H4215" s="13">
        <f>IF($B4215="OUT",$D4215,0)</f>
      </c>
    </row>
    <row x14ac:dyDescent="0.25" r="4216" customHeight="1" ht="17.25">
      <c r="A4216" s="52"/>
      <c r="B4216" s="2"/>
      <c r="C4216" s="2"/>
      <c r="D4216" s="3"/>
      <c r="E4216" s="3"/>
      <c r="F4216" s="2"/>
      <c r="G4216" s="13">
        <f>IF($B4216="IN",$D4216,0)</f>
      </c>
      <c r="H4216" s="13">
        <f>IF($B4216="OUT",$D4216,0)</f>
      </c>
    </row>
    <row x14ac:dyDescent="0.25" r="4217" customHeight="1" ht="17.25">
      <c r="A4217" s="52"/>
      <c r="B4217" s="2"/>
      <c r="C4217" s="2"/>
      <c r="D4217" s="3"/>
      <c r="E4217" s="3"/>
      <c r="F4217" s="2"/>
      <c r="G4217" s="13">
        <f>IF($B4217="IN",$D4217,0)</f>
      </c>
      <c r="H4217" s="13">
        <f>IF($B4217="OUT",$D4217,0)</f>
      </c>
    </row>
    <row x14ac:dyDescent="0.25" r="4218" customHeight="1" ht="17.25">
      <c r="A4218" s="52"/>
      <c r="B4218" s="2"/>
      <c r="C4218" s="2"/>
      <c r="D4218" s="3"/>
      <c r="E4218" s="3"/>
      <c r="F4218" s="2"/>
      <c r="G4218" s="13">
        <f>IF($B4218="IN",$D4218,0)</f>
      </c>
      <c r="H4218" s="13">
        <f>IF($B4218="OUT",$D4218,0)</f>
      </c>
    </row>
    <row x14ac:dyDescent="0.25" r="4219" customHeight="1" ht="17.25">
      <c r="A4219" s="52"/>
      <c r="B4219" s="2"/>
      <c r="C4219" s="2"/>
      <c r="D4219" s="3"/>
      <c r="E4219" s="3"/>
      <c r="F4219" s="2"/>
      <c r="G4219" s="13">
        <f>IF($B4219="IN",$D4219,0)</f>
      </c>
      <c r="H4219" s="13">
        <f>IF($B4219="OUT",$D4219,0)</f>
      </c>
    </row>
    <row x14ac:dyDescent="0.25" r="4220" customHeight="1" ht="17.25">
      <c r="A4220" s="52"/>
      <c r="B4220" s="2"/>
      <c r="C4220" s="2"/>
      <c r="D4220" s="3"/>
      <c r="E4220" s="3"/>
      <c r="F4220" s="2"/>
      <c r="G4220" s="13">
        <f>IF($B4220="IN",$D4220,0)</f>
      </c>
      <c r="H4220" s="13">
        <f>IF($B4220="OUT",$D4220,0)</f>
      </c>
    </row>
    <row x14ac:dyDescent="0.25" r="4221" customHeight="1" ht="17.25">
      <c r="A4221" s="52"/>
      <c r="B4221" s="2"/>
      <c r="C4221" s="2"/>
      <c r="D4221" s="3"/>
      <c r="E4221" s="3"/>
      <c r="F4221" s="2"/>
      <c r="G4221" s="13">
        <f>IF($B4221="IN",$D4221,0)</f>
      </c>
      <c r="H4221" s="13">
        <f>IF($B4221="OUT",$D4221,0)</f>
      </c>
    </row>
    <row x14ac:dyDescent="0.25" r="4222" customHeight="1" ht="17.25">
      <c r="A4222" s="52"/>
      <c r="B4222" s="2"/>
      <c r="C4222" s="2"/>
      <c r="D4222" s="3"/>
      <c r="E4222" s="3"/>
      <c r="F4222" s="2"/>
      <c r="G4222" s="13">
        <f>IF($B4222="IN",$D4222,0)</f>
      </c>
      <c r="H4222" s="13">
        <f>IF($B4222="OUT",$D4222,0)</f>
      </c>
    </row>
    <row x14ac:dyDescent="0.25" r="4223" customHeight="1" ht="17.25">
      <c r="A4223" s="52"/>
      <c r="B4223" s="2"/>
      <c r="C4223" s="2"/>
      <c r="D4223" s="3"/>
      <c r="E4223" s="3"/>
      <c r="F4223" s="2"/>
      <c r="G4223" s="13">
        <f>IF($B4223="IN",$D4223,0)</f>
      </c>
      <c r="H4223" s="13">
        <f>IF($B4223="OUT",$D4223,0)</f>
      </c>
    </row>
    <row x14ac:dyDescent="0.25" r="4224" customHeight="1" ht="17.25">
      <c r="A4224" s="52"/>
      <c r="B4224" s="2"/>
      <c r="C4224" s="2"/>
      <c r="D4224" s="3"/>
      <c r="E4224" s="3"/>
      <c r="F4224" s="2"/>
      <c r="G4224" s="13">
        <f>IF($B4224="IN",$D4224,0)</f>
      </c>
      <c r="H4224" s="13">
        <f>IF($B4224="OUT",$D4224,0)</f>
      </c>
    </row>
    <row x14ac:dyDescent="0.25" r="4225" customHeight="1" ht="17.25">
      <c r="A4225" s="52"/>
      <c r="B4225" s="2"/>
      <c r="C4225" s="2"/>
      <c r="D4225" s="3"/>
      <c r="E4225" s="3"/>
      <c r="F4225" s="2"/>
      <c r="G4225" s="13">
        <f>IF($B4225="IN",$D4225,0)</f>
      </c>
      <c r="H4225" s="13">
        <f>IF($B4225="OUT",$D4225,0)</f>
      </c>
    </row>
    <row x14ac:dyDescent="0.25" r="4226" customHeight="1" ht="17.25">
      <c r="A4226" s="52"/>
      <c r="B4226" s="2"/>
      <c r="C4226" s="2"/>
      <c r="D4226" s="3"/>
      <c r="E4226" s="3"/>
      <c r="F4226" s="2"/>
      <c r="G4226" s="13">
        <f>IF($B4226="IN",$D4226,0)</f>
      </c>
      <c r="H4226" s="13">
        <f>IF($B4226="OUT",$D4226,0)</f>
      </c>
    </row>
    <row x14ac:dyDescent="0.25" r="4227" customHeight="1" ht="17.25">
      <c r="A4227" s="52"/>
      <c r="B4227" s="2"/>
      <c r="C4227" s="2"/>
      <c r="D4227" s="3"/>
      <c r="E4227" s="3"/>
      <c r="F4227" s="2"/>
      <c r="G4227" s="13">
        <f>IF($B4227="IN",$D4227,0)</f>
      </c>
      <c r="H4227" s="13">
        <f>IF($B4227="OUT",$D4227,0)</f>
      </c>
    </row>
    <row x14ac:dyDescent="0.25" r="4228" customHeight="1" ht="17.25">
      <c r="A4228" s="52"/>
      <c r="B4228" s="2"/>
      <c r="C4228" s="2"/>
      <c r="D4228" s="3"/>
      <c r="E4228" s="3"/>
      <c r="F4228" s="2"/>
      <c r="G4228" s="13">
        <f>IF($B4228="IN",$D4228,0)</f>
      </c>
      <c r="H4228" s="13">
        <f>IF($B4228="OUT",$D4228,0)</f>
      </c>
    </row>
    <row x14ac:dyDescent="0.25" r="4229" customHeight="1" ht="17.25">
      <c r="A4229" s="52"/>
      <c r="B4229" s="2"/>
      <c r="C4229" s="2"/>
      <c r="D4229" s="3"/>
      <c r="E4229" s="3"/>
      <c r="F4229" s="2"/>
      <c r="G4229" s="13">
        <f>IF($B4229="IN",$D4229,0)</f>
      </c>
      <c r="H4229" s="13">
        <f>IF($B4229="OUT",$D4229,0)</f>
      </c>
    </row>
    <row x14ac:dyDescent="0.25" r="4230" customHeight="1" ht="17.25">
      <c r="A4230" s="52"/>
      <c r="B4230" s="2"/>
      <c r="C4230" s="2"/>
      <c r="D4230" s="3"/>
      <c r="E4230" s="3"/>
      <c r="F4230" s="2"/>
      <c r="G4230" s="13">
        <f>IF($B4230="IN",$D4230,0)</f>
      </c>
      <c r="H4230" s="13">
        <f>IF($B4230="OUT",$D4230,0)</f>
      </c>
    </row>
    <row x14ac:dyDescent="0.25" r="4231" customHeight="1" ht="17.25">
      <c r="A4231" s="52"/>
      <c r="B4231" s="2"/>
      <c r="C4231" s="2"/>
      <c r="D4231" s="3"/>
      <c r="E4231" s="3"/>
      <c r="F4231" s="2"/>
      <c r="G4231" s="13">
        <f>IF($B4231="IN",$D4231,0)</f>
      </c>
      <c r="H4231" s="13">
        <f>IF($B4231="OUT",$D4231,0)</f>
      </c>
    </row>
    <row x14ac:dyDescent="0.25" r="4232" customHeight="1" ht="17.25">
      <c r="A4232" s="52"/>
      <c r="B4232" s="2"/>
      <c r="C4232" s="2"/>
      <c r="D4232" s="3"/>
      <c r="E4232" s="3"/>
      <c r="F4232" s="2"/>
      <c r="G4232" s="13">
        <f>IF($B4232="IN",$D4232,0)</f>
      </c>
      <c r="H4232" s="13">
        <f>IF($B4232="OUT",$D4232,0)</f>
      </c>
    </row>
    <row x14ac:dyDescent="0.25" r="4233" customHeight="1" ht="17.25">
      <c r="A4233" s="52"/>
      <c r="B4233" s="2"/>
      <c r="C4233" s="2"/>
      <c r="D4233" s="3"/>
      <c r="E4233" s="3"/>
      <c r="F4233" s="2"/>
      <c r="G4233" s="13">
        <f>IF($B4233="IN",$D4233,0)</f>
      </c>
      <c r="H4233" s="13">
        <f>IF($B4233="OUT",$D4233,0)</f>
      </c>
    </row>
    <row x14ac:dyDescent="0.25" r="4234" customHeight="1" ht="17.25">
      <c r="A4234" s="52"/>
      <c r="B4234" s="2"/>
      <c r="C4234" s="2"/>
      <c r="D4234" s="3"/>
      <c r="E4234" s="3"/>
      <c r="F4234" s="2"/>
      <c r="G4234" s="13">
        <f>IF($B4234="IN",$D4234,0)</f>
      </c>
      <c r="H4234" s="13">
        <f>IF($B4234="OUT",$D4234,0)</f>
      </c>
    </row>
    <row x14ac:dyDescent="0.25" r="4235" customHeight="1" ht="17.25">
      <c r="A4235" s="52"/>
      <c r="B4235" s="2"/>
      <c r="C4235" s="2"/>
      <c r="D4235" s="3"/>
      <c r="E4235" s="3"/>
      <c r="F4235" s="2"/>
      <c r="G4235" s="13">
        <f>IF($B4235="IN",$D4235,0)</f>
      </c>
      <c r="H4235" s="13">
        <f>IF($B4235="OUT",$D4235,0)</f>
      </c>
    </row>
    <row x14ac:dyDescent="0.25" r="4236" customHeight="1" ht="17.25">
      <c r="A4236" s="52"/>
      <c r="B4236" s="2"/>
      <c r="C4236" s="2"/>
      <c r="D4236" s="3"/>
      <c r="E4236" s="3"/>
      <c r="F4236" s="2"/>
      <c r="G4236" s="13">
        <f>IF($B4236="IN",$D4236,0)</f>
      </c>
      <c r="H4236" s="13">
        <f>IF($B4236="OUT",$D4236,0)</f>
      </c>
    </row>
    <row x14ac:dyDescent="0.25" r="4237" customHeight="1" ht="17.25">
      <c r="A4237" s="52"/>
      <c r="B4237" s="2"/>
      <c r="C4237" s="2"/>
      <c r="D4237" s="3"/>
      <c r="E4237" s="3"/>
      <c r="F4237" s="2"/>
      <c r="G4237" s="13">
        <f>IF($B4237="IN",$D4237,0)</f>
      </c>
      <c r="H4237" s="13">
        <f>IF($B4237="OUT",$D4237,0)</f>
      </c>
    </row>
    <row x14ac:dyDescent="0.25" r="4238" customHeight="1" ht="17.25">
      <c r="A4238" s="52"/>
      <c r="B4238" s="2"/>
      <c r="C4238" s="2"/>
      <c r="D4238" s="3"/>
      <c r="E4238" s="3"/>
      <c r="F4238" s="2"/>
      <c r="G4238" s="13">
        <f>IF($B4238="IN",$D4238,0)</f>
      </c>
      <c r="H4238" s="13">
        <f>IF($B4238="OUT",$D4238,0)</f>
      </c>
    </row>
    <row x14ac:dyDescent="0.25" r="4239" customHeight="1" ht="17.25">
      <c r="A4239" s="52"/>
      <c r="B4239" s="2"/>
      <c r="C4239" s="2"/>
      <c r="D4239" s="3"/>
      <c r="E4239" s="3"/>
      <c r="F4239" s="2"/>
      <c r="G4239" s="13">
        <f>IF($B4239="IN",$D4239,0)</f>
      </c>
      <c r="H4239" s="13">
        <f>IF($B4239="OUT",$D4239,0)</f>
      </c>
    </row>
    <row x14ac:dyDescent="0.25" r="4240" customHeight="1" ht="17.25">
      <c r="A4240" s="52"/>
      <c r="B4240" s="2"/>
      <c r="C4240" s="2"/>
      <c r="D4240" s="3"/>
      <c r="E4240" s="3"/>
      <c r="F4240" s="2"/>
      <c r="G4240" s="13">
        <f>IF($B4240="IN",$D4240,0)</f>
      </c>
      <c r="H4240" s="13">
        <f>IF($B4240="OUT",$D4240,0)</f>
      </c>
    </row>
    <row x14ac:dyDescent="0.25" r="4241" customHeight="1" ht="17.25">
      <c r="A4241" s="52"/>
      <c r="B4241" s="2"/>
      <c r="C4241" s="2"/>
      <c r="D4241" s="3"/>
      <c r="E4241" s="3"/>
      <c r="F4241" s="2"/>
      <c r="G4241" s="13">
        <f>IF($B4241="IN",$D4241,0)</f>
      </c>
      <c r="H4241" s="13">
        <f>IF($B4241="OUT",$D4241,0)</f>
      </c>
    </row>
    <row x14ac:dyDescent="0.25" r="4242" customHeight="1" ht="17.25">
      <c r="A4242" s="52"/>
      <c r="B4242" s="2"/>
      <c r="C4242" s="2"/>
      <c r="D4242" s="3"/>
      <c r="E4242" s="3"/>
      <c r="F4242" s="2"/>
      <c r="G4242" s="13">
        <f>IF($B4242="IN",$D4242,0)</f>
      </c>
      <c r="H4242" s="13">
        <f>IF($B4242="OUT",$D4242,0)</f>
      </c>
    </row>
    <row x14ac:dyDescent="0.25" r="4243" customHeight="1" ht="17.25">
      <c r="A4243" s="52"/>
      <c r="B4243" s="2"/>
      <c r="C4243" s="2"/>
      <c r="D4243" s="3"/>
      <c r="E4243" s="3"/>
      <c r="F4243" s="2"/>
      <c r="G4243" s="13">
        <f>IF($B4243="IN",$D4243,0)</f>
      </c>
      <c r="H4243" s="13">
        <f>IF($B4243="OUT",$D4243,0)</f>
      </c>
    </row>
    <row x14ac:dyDescent="0.25" r="4244" customHeight="1" ht="17.25">
      <c r="A4244" s="52"/>
      <c r="B4244" s="2"/>
      <c r="C4244" s="2"/>
      <c r="D4244" s="3"/>
      <c r="E4244" s="3"/>
      <c r="F4244" s="2"/>
      <c r="G4244" s="13">
        <f>IF($B4244="IN",$D4244,0)</f>
      </c>
      <c r="H4244" s="13">
        <f>IF($B4244="OUT",$D4244,0)</f>
      </c>
    </row>
    <row x14ac:dyDescent="0.25" r="4245" customHeight="1" ht="17.25">
      <c r="A4245" s="52"/>
      <c r="B4245" s="2"/>
      <c r="C4245" s="2"/>
      <c r="D4245" s="3"/>
      <c r="E4245" s="3"/>
      <c r="F4245" s="2"/>
      <c r="G4245" s="13">
        <f>IF($B4245="IN",$D4245,0)</f>
      </c>
      <c r="H4245" s="13">
        <f>IF($B4245="OUT",$D4245,0)</f>
      </c>
    </row>
    <row x14ac:dyDescent="0.25" r="4246" customHeight="1" ht="17.25">
      <c r="A4246" s="52"/>
      <c r="B4246" s="2"/>
      <c r="C4246" s="2"/>
      <c r="D4246" s="3"/>
      <c r="E4246" s="3"/>
      <c r="F4246" s="2"/>
      <c r="G4246" s="13">
        <f>IF($B4246="IN",$D4246,0)</f>
      </c>
      <c r="H4246" s="13">
        <f>IF($B4246="OUT",$D4246,0)</f>
      </c>
    </row>
    <row x14ac:dyDescent="0.25" r="4247" customHeight="1" ht="17.25">
      <c r="A4247" s="52"/>
      <c r="B4247" s="2"/>
      <c r="C4247" s="2"/>
      <c r="D4247" s="3"/>
      <c r="E4247" s="3"/>
      <c r="F4247" s="2"/>
      <c r="G4247" s="13">
        <f>IF($B4247="IN",$D4247,0)</f>
      </c>
      <c r="H4247" s="13">
        <f>IF($B4247="OUT",$D4247,0)</f>
      </c>
    </row>
    <row x14ac:dyDescent="0.25" r="4248" customHeight="1" ht="17.25">
      <c r="A4248" s="52"/>
      <c r="B4248" s="2"/>
      <c r="C4248" s="2"/>
      <c r="D4248" s="3"/>
      <c r="E4248" s="3"/>
      <c r="F4248" s="2"/>
      <c r="G4248" s="13">
        <f>IF($B4248="IN",$D4248,0)</f>
      </c>
      <c r="H4248" s="13">
        <f>IF($B4248="OUT",$D4248,0)</f>
      </c>
    </row>
    <row x14ac:dyDescent="0.25" r="4249" customHeight="1" ht="17.25">
      <c r="A4249" s="52"/>
      <c r="B4249" s="2"/>
      <c r="C4249" s="2"/>
      <c r="D4249" s="3"/>
      <c r="E4249" s="3"/>
      <c r="F4249" s="2"/>
      <c r="G4249" s="13">
        <f>IF($B4249="IN",$D4249,0)</f>
      </c>
      <c r="H4249" s="13">
        <f>IF($B4249="OUT",$D4249,0)</f>
      </c>
    </row>
    <row x14ac:dyDescent="0.25" r="4250" customHeight="1" ht="17.25">
      <c r="A4250" s="52"/>
      <c r="B4250" s="2"/>
      <c r="C4250" s="2"/>
      <c r="D4250" s="3"/>
      <c r="E4250" s="3"/>
      <c r="F4250" s="2"/>
      <c r="G4250" s="13">
        <f>IF($B4250="IN",$D4250,0)</f>
      </c>
      <c r="H4250" s="13">
        <f>IF($B4250="OUT",$D4250,0)</f>
      </c>
    </row>
    <row x14ac:dyDescent="0.25" r="4251" customHeight="1" ht="17.25">
      <c r="A4251" s="52"/>
      <c r="B4251" s="2"/>
      <c r="C4251" s="2"/>
      <c r="D4251" s="3"/>
      <c r="E4251" s="3"/>
      <c r="F4251" s="2"/>
      <c r="G4251" s="13">
        <f>IF($B4251="IN",$D4251,0)</f>
      </c>
      <c r="H4251" s="13">
        <f>IF($B4251="OUT",$D4251,0)</f>
      </c>
    </row>
    <row x14ac:dyDescent="0.25" r="4252" customHeight="1" ht="17.25">
      <c r="A4252" s="52"/>
      <c r="B4252" s="2"/>
      <c r="C4252" s="2"/>
      <c r="D4252" s="3"/>
      <c r="E4252" s="3"/>
      <c r="F4252" s="2"/>
      <c r="G4252" s="13">
        <f>IF($B4252="IN",$D4252,0)</f>
      </c>
      <c r="H4252" s="13">
        <f>IF($B4252="OUT",$D4252,0)</f>
      </c>
    </row>
    <row x14ac:dyDescent="0.25" r="4253" customHeight="1" ht="17.25">
      <c r="A4253" s="52"/>
      <c r="B4253" s="2"/>
      <c r="C4253" s="2"/>
      <c r="D4253" s="3"/>
      <c r="E4253" s="3"/>
      <c r="F4253" s="2"/>
      <c r="G4253" s="13">
        <f>IF($B4253="IN",$D4253,0)</f>
      </c>
      <c r="H4253" s="13">
        <f>IF($B4253="OUT",$D4253,0)</f>
      </c>
    </row>
    <row x14ac:dyDescent="0.25" r="4254" customHeight="1" ht="17.25">
      <c r="A4254" s="52"/>
      <c r="B4254" s="2"/>
      <c r="C4254" s="2"/>
      <c r="D4254" s="3"/>
      <c r="E4254" s="3"/>
      <c r="F4254" s="2"/>
      <c r="G4254" s="13">
        <f>IF($B4254="IN",$D4254,0)</f>
      </c>
      <c r="H4254" s="13">
        <f>IF($B4254="OUT",$D4254,0)</f>
      </c>
    </row>
    <row x14ac:dyDescent="0.25" r="4255" customHeight="1" ht="17.25">
      <c r="A4255" s="52"/>
      <c r="B4255" s="2"/>
      <c r="C4255" s="2"/>
      <c r="D4255" s="3"/>
      <c r="E4255" s="3"/>
      <c r="F4255" s="2"/>
      <c r="G4255" s="13">
        <f>IF($B4255="IN",$D4255,0)</f>
      </c>
      <c r="H4255" s="13">
        <f>IF($B4255="OUT",$D4255,0)</f>
      </c>
    </row>
    <row x14ac:dyDescent="0.25" r="4256" customHeight="1" ht="17.25">
      <c r="A4256" s="52"/>
      <c r="B4256" s="2"/>
      <c r="C4256" s="2"/>
      <c r="D4256" s="3"/>
      <c r="E4256" s="3"/>
      <c r="F4256" s="2"/>
      <c r="G4256" s="13">
        <f>IF($B4256="IN",$D4256,0)</f>
      </c>
      <c r="H4256" s="13">
        <f>IF($B4256="OUT",$D4256,0)</f>
      </c>
    </row>
    <row x14ac:dyDescent="0.25" r="4257" customHeight="1" ht="17.25">
      <c r="A4257" s="52"/>
      <c r="B4257" s="2"/>
      <c r="C4257" s="2"/>
      <c r="D4257" s="3"/>
      <c r="E4257" s="3"/>
      <c r="F4257" s="2"/>
      <c r="G4257" s="13">
        <f>IF($B4257="IN",$D4257,0)</f>
      </c>
      <c r="H4257" s="13">
        <f>IF($B4257="OUT",$D4257,0)</f>
      </c>
    </row>
    <row x14ac:dyDescent="0.25" r="4258" customHeight="1" ht="17.25">
      <c r="A4258" s="52"/>
      <c r="B4258" s="2"/>
      <c r="C4258" s="2"/>
      <c r="D4258" s="3"/>
      <c r="E4258" s="3"/>
      <c r="F4258" s="2"/>
      <c r="G4258" s="13">
        <f>IF($B4258="IN",$D4258,0)</f>
      </c>
      <c r="H4258" s="13">
        <f>IF($B4258="OUT",$D4258,0)</f>
      </c>
    </row>
    <row x14ac:dyDescent="0.25" r="4259" customHeight="1" ht="17.25">
      <c r="A4259" s="52"/>
      <c r="B4259" s="2"/>
      <c r="C4259" s="2"/>
      <c r="D4259" s="3"/>
      <c r="E4259" s="3"/>
      <c r="F4259" s="2"/>
      <c r="G4259" s="13">
        <f>IF($B4259="IN",$D4259,0)</f>
      </c>
      <c r="H4259" s="13">
        <f>IF($B4259="OUT",$D4259,0)</f>
      </c>
    </row>
    <row x14ac:dyDescent="0.25" r="4260" customHeight="1" ht="17.25">
      <c r="A4260" s="52"/>
      <c r="B4260" s="2"/>
      <c r="C4260" s="2"/>
      <c r="D4260" s="3"/>
      <c r="E4260" s="3"/>
      <c r="F4260" s="2"/>
      <c r="G4260" s="13">
        <f>IF($B4260="IN",$D4260,0)</f>
      </c>
      <c r="H4260" s="13">
        <f>IF($B4260="OUT",$D4260,0)</f>
      </c>
    </row>
    <row x14ac:dyDescent="0.25" r="4261" customHeight="1" ht="17.25">
      <c r="A4261" s="52"/>
      <c r="B4261" s="2"/>
      <c r="C4261" s="2"/>
      <c r="D4261" s="3"/>
      <c r="E4261" s="3"/>
      <c r="F4261" s="2"/>
      <c r="G4261" s="13">
        <f>IF($B4261="IN",$D4261,0)</f>
      </c>
      <c r="H4261" s="13">
        <f>IF($B4261="OUT",$D4261,0)</f>
      </c>
    </row>
    <row x14ac:dyDescent="0.25" r="4262" customHeight="1" ht="17.25">
      <c r="A4262" s="52"/>
      <c r="B4262" s="2"/>
      <c r="C4262" s="2"/>
      <c r="D4262" s="3"/>
      <c r="E4262" s="3"/>
      <c r="F4262" s="2"/>
      <c r="G4262" s="13">
        <f>IF($B4262="IN",$D4262,0)</f>
      </c>
      <c r="H4262" s="13">
        <f>IF($B4262="OUT",$D4262,0)</f>
      </c>
    </row>
    <row x14ac:dyDescent="0.25" r="4263" customHeight="1" ht="17.25">
      <c r="A4263" s="52"/>
      <c r="B4263" s="2"/>
      <c r="C4263" s="2"/>
      <c r="D4263" s="3"/>
      <c r="E4263" s="3"/>
      <c r="F4263" s="2"/>
      <c r="G4263" s="13">
        <f>IF($B4263="IN",$D4263,0)</f>
      </c>
      <c r="H4263" s="13">
        <f>IF($B4263="OUT",$D4263,0)</f>
      </c>
    </row>
    <row x14ac:dyDescent="0.25" r="4264" customHeight="1" ht="17.25">
      <c r="A4264" s="52"/>
      <c r="B4264" s="2"/>
      <c r="C4264" s="2"/>
      <c r="D4264" s="3"/>
      <c r="E4264" s="3"/>
      <c r="F4264" s="2"/>
      <c r="G4264" s="13">
        <f>IF($B4264="IN",$D4264,0)</f>
      </c>
      <c r="H4264" s="13">
        <f>IF($B4264="OUT",$D4264,0)</f>
      </c>
    </row>
    <row x14ac:dyDescent="0.25" r="4265" customHeight="1" ht="17.25">
      <c r="A4265" s="52"/>
      <c r="B4265" s="2"/>
      <c r="C4265" s="2"/>
      <c r="D4265" s="3"/>
      <c r="E4265" s="3"/>
      <c r="F4265" s="2"/>
      <c r="G4265" s="13">
        <f>IF($B4265="IN",$D4265,0)</f>
      </c>
      <c r="H4265" s="13">
        <f>IF($B4265="OUT",$D4265,0)</f>
      </c>
    </row>
    <row x14ac:dyDescent="0.25" r="4266" customHeight="1" ht="17.25">
      <c r="A4266" s="52"/>
      <c r="B4266" s="2"/>
      <c r="C4266" s="2"/>
      <c r="D4266" s="3"/>
      <c r="E4266" s="3"/>
      <c r="F4266" s="2"/>
      <c r="G4266" s="13">
        <f>IF($B4266="IN",$D4266,0)</f>
      </c>
      <c r="H4266" s="13">
        <f>IF($B4266="OUT",$D4266,0)</f>
      </c>
    </row>
    <row x14ac:dyDescent="0.25" r="4267" customHeight="1" ht="17.25">
      <c r="A4267" s="52"/>
      <c r="B4267" s="2"/>
      <c r="C4267" s="2"/>
      <c r="D4267" s="3"/>
      <c r="E4267" s="3"/>
      <c r="F4267" s="2"/>
      <c r="G4267" s="13">
        <f>IF($B4267="IN",$D4267,0)</f>
      </c>
      <c r="H4267" s="13">
        <f>IF($B4267="OUT",$D4267,0)</f>
      </c>
    </row>
    <row x14ac:dyDescent="0.25" r="4268" customHeight="1" ht="17.25">
      <c r="A4268" s="52"/>
      <c r="B4268" s="2"/>
      <c r="C4268" s="2"/>
      <c r="D4268" s="3"/>
      <c r="E4268" s="3"/>
      <c r="F4268" s="2"/>
      <c r="G4268" s="13">
        <f>IF($B4268="IN",$D4268,0)</f>
      </c>
      <c r="H4268" s="13">
        <f>IF($B4268="OUT",$D4268,0)</f>
      </c>
    </row>
    <row x14ac:dyDescent="0.25" r="4269" customHeight="1" ht="17.25">
      <c r="A4269" s="52"/>
      <c r="B4269" s="2"/>
      <c r="C4269" s="2"/>
      <c r="D4269" s="3"/>
      <c r="E4269" s="3"/>
      <c r="F4269" s="2"/>
      <c r="G4269" s="13">
        <f>IF($B4269="IN",$D4269,0)</f>
      </c>
      <c r="H4269" s="13">
        <f>IF($B4269="OUT",$D4269,0)</f>
      </c>
    </row>
    <row x14ac:dyDescent="0.25" r="4270" customHeight="1" ht="17.25">
      <c r="A4270" s="52"/>
      <c r="B4270" s="2"/>
      <c r="C4270" s="2"/>
      <c r="D4270" s="3"/>
      <c r="E4270" s="3"/>
      <c r="F4270" s="2"/>
      <c r="G4270" s="13">
        <f>IF($B4270="IN",$D4270,0)</f>
      </c>
      <c r="H4270" s="13">
        <f>IF($B4270="OUT",$D4270,0)</f>
      </c>
    </row>
    <row x14ac:dyDescent="0.25" r="4271" customHeight="1" ht="17.25">
      <c r="A4271" s="52"/>
      <c r="B4271" s="2"/>
      <c r="C4271" s="2"/>
      <c r="D4271" s="3"/>
      <c r="E4271" s="3"/>
      <c r="F4271" s="2"/>
      <c r="G4271" s="13">
        <f>IF($B4271="IN",$D4271,0)</f>
      </c>
      <c r="H4271" s="13">
        <f>IF($B4271="OUT",$D4271,0)</f>
      </c>
    </row>
    <row x14ac:dyDescent="0.25" r="4272" customHeight="1" ht="17.25">
      <c r="A4272" s="52"/>
      <c r="B4272" s="2"/>
      <c r="C4272" s="2"/>
      <c r="D4272" s="3"/>
      <c r="E4272" s="3"/>
      <c r="F4272" s="2"/>
      <c r="G4272" s="13">
        <f>IF($B4272="IN",$D4272,0)</f>
      </c>
      <c r="H4272" s="13">
        <f>IF($B4272="OUT",$D4272,0)</f>
      </c>
    </row>
    <row x14ac:dyDescent="0.25" r="4273" customHeight="1" ht="17.25">
      <c r="A4273" s="52"/>
      <c r="B4273" s="2"/>
      <c r="C4273" s="2"/>
      <c r="D4273" s="3"/>
      <c r="E4273" s="3"/>
      <c r="F4273" s="2"/>
      <c r="G4273" s="13">
        <f>IF($B4273="IN",$D4273,0)</f>
      </c>
      <c r="H4273" s="13">
        <f>IF($B4273="OUT",$D4273,0)</f>
      </c>
    </row>
    <row x14ac:dyDescent="0.25" r="4274" customHeight="1" ht="17.25">
      <c r="A4274" s="52"/>
      <c r="B4274" s="2"/>
      <c r="C4274" s="2"/>
      <c r="D4274" s="3"/>
      <c r="E4274" s="3"/>
      <c r="F4274" s="2"/>
      <c r="G4274" s="13">
        <f>IF($B4274="IN",$D4274,0)</f>
      </c>
      <c r="H4274" s="13">
        <f>IF($B4274="OUT",$D4274,0)</f>
      </c>
    </row>
    <row x14ac:dyDescent="0.25" r="4275" customHeight="1" ht="17.25">
      <c r="A4275" s="52"/>
      <c r="B4275" s="2"/>
      <c r="C4275" s="2"/>
      <c r="D4275" s="3"/>
      <c r="E4275" s="3"/>
      <c r="F4275" s="2"/>
      <c r="G4275" s="13">
        <f>IF($B4275="IN",$D4275,0)</f>
      </c>
      <c r="H4275" s="13">
        <f>IF($B4275="OUT",$D4275,0)</f>
      </c>
    </row>
    <row x14ac:dyDescent="0.25" r="4276" customHeight="1" ht="17.25">
      <c r="A4276" s="52"/>
      <c r="B4276" s="2"/>
      <c r="C4276" s="2"/>
      <c r="D4276" s="3"/>
      <c r="E4276" s="3"/>
      <c r="F4276" s="2"/>
      <c r="G4276" s="13">
        <f>IF($B4276="IN",$D4276,0)</f>
      </c>
      <c r="H4276" s="13">
        <f>IF($B4276="OUT",$D4276,0)</f>
      </c>
    </row>
    <row x14ac:dyDescent="0.25" r="4277" customHeight="1" ht="17.25">
      <c r="A4277" s="52"/>
      <c r="B4277" s="2"/>
      <c r="C4277" s="2"/>
      <c r="D4277" s="3"/>
      <c r="E4277" s="3"/>
      <c r="F4277" s="2"/>
      <c r="G4277" s="13">
        <f>IF($B4277="IN",$D4277,0)</f>
      </c>
      <c r="H4277" s="13">
        <f>IF($B4277="OUT",$D4277,0)</f>
      </c>
    </row>
    <row x14ac:dyDescent="0.25" r="4278" customHeight="1" ht="17.25">
      <c r="A4278" s="52"/>
      <c r="B4278" s="2"/>
      <c r="C4278" s="2"/>
      <c r="D4278" s="3"/>
      <c r="E4278" s="3"/>
      <c r="F4278" s="2"/>
      <c r="G4278" s="13">
        <f>IF($B4278="IN",$D4278,0)</f>
      </c>
      <c r="H4278" s="13">
        <f>IF($B4278="OUT",$D4278,0)</f>
      </c>
    </row>
    <row x14ac:dyDescent="0.25" r="4279" customHeight="1" ht="17.25">
      <c r="A4279" s="52"/>
      <c r="B4279" s="2"/>
      <c r="C4279" s="2"/>
      <c r="D4279" s="3"/>
      <c r="E4279" s="3"/>
      <c r="F4279" s="2"/>
      <c r="G4279" s="13">
        <f>IF($B4279="IN",$D4279,0)</f>
      </c>
      <c r="H4279" s="13">
        <f>IF($B4279="OUT",$D4279,0)</f>
      </c>
    </row>
    <row x14ac:dyDescent="0.25" r="4280" customHeight="1" ht="17.25">
      <c r="A4280" s="52"/>
      <c r="B4280" s="2"/>
      <c r="C4280" s="2"/>
      <c r="D4280" s="3"/>
      <c r="E4280" s="3"/>
      <c r="F4280" s="2"/>
      <c r="G4280" s="13">
        <f>IF($B4280="IN",$D4280,0)</f>
      </c>
      <c r="H4280" s="13">
        <f>IF($B4280="OUT",$D4280,0)</f>
      </c>
    </row>
    <row x14ac:dyDescent="0.25" r="4281" customHeight="1" ht="17.25">
      <c r="A4281" s="52"/>
      <c r="B4281" s="2"/>
      <c r="C4281" s="2"/>
      <c r="D4281" s="3"/>
      <c r="E4281" s="3"/>
      <c r="F4281" s="2"/>
      <c r="G4281" s="13">
        <f>IF($B4281="IN",$D4281,0)</f>
      </c>
      <c r="H4281" s="13">
        <f>IF($B4281="OUT",$D4281,0)</f>
      </c>
    </row>
    <row x14ac:dyDescent="0.25" r="4282" customHeight="1" ht="17.25">
      <c r="A4282" s="52"/>
      <c r="B4282" s="2"/>
      <c r="C4282" s="2"/>
      <c r="D4282" s="3"/>
      <c r="E4282" s="3"/>
      <c r="F4282" s="2"/>
      <c r="G4282" s="13">
        <f>IF($B4282="IN",$D4282,0)</f>
      </c>
      <c r="H4282" s="13">
        <f>IF($B4282="OUT",$D4282,0)</f>
      </c>
    </row>
    <row x14ac:dyDescent="0.25" r="4283" customHeight="1" ht="17.25">
      <c r="A4283" s="52"/>
      <c r="B4283" s="2"/>
      <c r="C4283" s="2"/>
      <c r="D4283" s="3"/>
      <c r="E4283" s="3"/>
      <c r="F4283" s="2"/>
      <c r="G4283" s="13">
        <f>IF($B4283="IN",$D4283,0)</f>
      </c>
      <c r="H4283" s="13">
        <f>IF($B4283="OUT",$D4283,0)</f>
      </c>
    </row>
    <row x14ac:dyDescent="0.25" r="4284" customHeight="1" ht="17.25">
      <c r="A4284" s="52"/>
      <c r="B4284" s="2"/>
      <c r="C4284" s="2"/>
      <c r="D4284" s="3"/>
      <c r="E4284" s="3"/>
      <c r="F4284" s="2"/>
      <c r="G4284" s="13">
        <f>IF($B4284="IN",$D4284,0)</f>
      </c>
      <c r="H4284" s="13">
        <f>IF($B4284="OUT",$D4284,0)</f>
      </c>
    </row>
    <row x14ac:dyDescent="0.25" r="4285" customHeight="1" ht="17.25">
      <c r="A4285" s="52"/>
      <c r="B4285" s="2"/>
      <c r="C4285" s="2"/>
      <c r="D4285" s="3"/>
      <c r="E4285" s="3"/>
      <c r="F4285" s="2"/>
      <c r="G4285" s="13">
        <f>IF($B4285="IN",$D4285,0)</f>
      </c>
      <c r="H4285" s="13">
        <f>IF($B4285="OUT",$D4285,0)</f>
      </c>
    </row>
    <row x14ac:dyDescent="0.25" r="4286" customHeight="1" ht="17.25">
      <c r="A4286" s="52"/>
      <c r="B4286" s="2"/>
      <c r="C4286" s="2"/>
      <c r="D4286" s="3"/>
      <c r="E4286" s="3"/>
      <c r="F4286" s="2"/>
      <c r="G4286" s="13">
        <f>IF($B4286="IN",$D4286,0)</f>
      </c>
      <c r="H4286" s="13">
        <f>IF($B4286="OUT",$D4286,0)</f>
      </c>
    </row>
    <row x14ac:dyDescent="0.25" r="4287" customHeight="1" ht="17.25">
      <c r="A4287" s="52"/>
      <c r="B4287" s="2"/>
      <c r="C4287" s="2"/>
      <c r="D4287" s="3"/>
      <c r="E4287" s="3"/>
      <c r="F4287" s="2"/>
      <c r="G4287" s="13">
        <f>IF($B4287="IN",$D4287,0)</f>
      </c>
      <c r="H4287" s="13">
        <f>IF($B4287="OUT",$D4287,0)</f>
      </c>
    </row>
    <row x14ac:dyDescent="0.25" r="4288" customHeight="1" ht="17.25">
      <c r="A4288" s="52"/>
      <c r="B4288" s="2"/>
      <c r="C4288" s="2"/>
      <c r="D4288" s="3"/>
      <c r="E4288" s="3"/>
      <c r="F4288" s="2"/>
      <c r="G4288" s="13">
        <f>IF($B4288="IN",$D4288,0)</f>
      </c>
      <c r="H4288" s="13">
        <f>IF($B4288="OUT",$D4288,0)</f>
      </c>
    </row>
    <row x14ac:dyDescent="0.25" r="4289" customHeight="1" ht="17.25">
      <c r="A4289" s="52"/>
      <c r="B4289" s="2"/>
      <c r="C4289" s="2"/>
      <c r="D4289" s="3"/>
      <c r="E4289" s="3"/>
      <c r="F4289" s="2"/>
      <c r="G4289" s="13">
        <f>IF($B4289="IN",$D4289,0)</f>
      </c>
      <c r="H4289" s="13">
        <f>IF($B4289="OUT",$D4289,0)</f>
      </c>
    </row>
    <row x14ac:dyDescent="0.25" r="4290" customHeight="1" ht="17.25">
      <c r="A4290" s="52"/>
      <c r="B4290" s="2"/>
      <c r="C4290" s="2"/>
      <c r="D4290" s="3"/>
      <c r="E4290" s="3"/>
      <c r="F4290" s="2"/>
      <c r="G4290" s="13">
        <f>IF($B4290="IN",$D4290,0)</f>
      </c>
      <c r="H4290" s="13">
        <f>IF($B4290="OUT",$D4290,0)</f>
      </c>
    </row>
    <row x14ac:dyDescent="0.25" r="4291" customHeight="1" ht="17.25">
      <c r="A4291" s="52"/>
      <c r="B4291" s="2"/>
      <c r="C4291" s="2"/>
      <c r="D4291" s="3"/>
      <c r="E4291" s="3"/>
      <c r="F4291" s="2"/>
      <c r="G4291" s="13">
        <f>IF($B4291="IN",$D4291,0)</f>
      </c>
      <c r="H4291" s="13">
        <f>IF($B4291="OUT",$D4291,0)</f>
      </c>
    </row>
    <row x14ac:dyDescent="0.25" r="4292" customHeight="1" ht="17.25">
      <c r="A4292" s="52"/>
      <c r="B4292" s="2"/>
      <c r="C4292" s="2"/>
      <c r="D4292" s="3"/>
      <c r="E4292" s="3"/>
      <c r="F4292" s="2"/>
      <c r="G4292" s="13">
        <f>IF($B4292="IN",$D4292,0)</f>
      </c>
      <c r="H4292" s="13">
        <f>IF($B4292="OUT",$D4292,0)</f>
      </c>
    </row>
    <row x14ac:dyDescent="0.25" r="4293" customHeight="1" ht="17.25">
      <c r="A4293" s="52"/>
      <c r="B4293" s="2"/>
      <c r="C4293" s="2"/>
      <c r="D4293" s="3"/>
      <c r="E4293" s="3"/>
      <c r="F4293" s="2"/>
      <c r="G4293" s="13">
        <f>IF($B4293="IN",$D4293,0)</f>
      </c>
      <c r="H4293" s="13">
        <f>IF($B4293="OUT",$D4293,0)</f>
      </c>
    </row>
    <row x14ac:dyDescent="0.25" r="4294" customHeight="1" ht="17.25">
      <c r="A4294" s="52"/>
      <c r="B4294" s="2"/>
      <c r="C4294" s="2"/>
      <c r="D4294" s="3"/>
      <c r="E4294" s="3"/>
      <c r="F4294" s="2"/>
      <c r="G4294" s="13">
        <f>IF($B4294="IN",$D4294,0)</f>
      </c>
      <c r="H4294" s="13">
        <f>IF($B4294="OUT",$D4294,0)</f>
      </c>
    </row>
    <row x14ac:dyDescent="0.25" r="4295" customHeight="1" ht="17.25">
      <c r="A4295" s="52"/>
      <c r="B4295" s="2"/>
      <c r="C4295" s="2"/>
      <c r="D4295" s="3"/>
      <c r="E4295" s="3"/>
      <c r="F4295" s="2"/>
      <c r="G4295" s="13">
        <f>IF($B4295="IN",$D4295,0)</f>
      </c>
      <c r="H4295" s="13">
        <f>IF($B4295="OUT",$D4295,0)</f>
      </c>
    </row>
    <row x14ac:dyDescent="0.25" r="4296" customHeight="1" ht="17.25">
      <c r="A4296" s="52"/>
      <c r="B4296" s="2"/>
      <c r="C4296" s="2"/>
      <c r="D4296" s="3"/>
      <c r="E4296" s="3"/>
      <c r="F4296" s="2"/>
      <c r="G4296" s="13">
        <f>IF($B4296="IN",$D4296,0)</f>
      </c>
      <c r="H4296" s="13">
        <f>IF($B4296="OUT",$D4296,0)</f>
      </c>
    </row>
    <row x14ac:dyDescent="0.25" r="4297" customHeight="1" ht="17.25">
      <c r="A4297" s="52"/>
      <c r="B4297" s="2"/>
      <c r="C4297" s="2"/>
      <c r="D4297" s="3"/>
      <c r="E4297" s="3"/>
      <c r="F4297" s="2"/>
      <c r="G4297" s="13">
        <f>IF($B4297="IN",$D4297,0)</f>
      </c>
      <c r="H4297" s="13">
        <f>IF($B4297="OUT",$D4297,0)</f>
      </c>
    </row>
    <row x14ac:dyDescent="0.25" r="4298" customHeight="1" ht="17.25">
      <c r="A4298" s="52"/>
      <c r="B4298" s="2"/>
      <c r="C4298" s="2"/>
      <c r="D4298" s="3"/>
      <c r="E4298" s="3"/>
      <c r="F4298" s="2"/>
      <c r="G4298" s="13">
        <f>IF($B4298="IN",$D4298,0)</f>
      </c>
      <c r="H4298" s="13">
        <f>IF($B4298="OUT",$D4298,0)</f>
      </c>
    </row>
    <row x14ac:dyDescent="0.25" r="4299" customHeight="1" ht="17.25">
      <c r="A4299" s="52"/>
      <c r="B4299" s="2"/>
      <c r="C4299" s="2"/>
      <c r="D4299" s="3"/>
      <c r="E4299" s="3"/>
      <c r="F4299" s="2"/>
      <c r="G4299" s="13">
        <f>IF($B4299="IN",$D4299,0)</f>
      </c>
      <c r="H4299" s="13">
        <f>IF($B4299="OUT",$D4299,0)</f>
      </c>
    </row>
    <row x14ac:dyDescent="0.25" r="4300" customHeight="1" ht="17.25">
      <c r="A4300" s="52"/>
      <c r="B4300" s="2"/>
      <c r="C4300" s="2"/>
      <c r="D4300" s="3"/>
      <c r="E4300" s="3"/>
      <c r="F4300" s="2"/>
      <c r="G4300" s="13">
        <f>IF($B4300="IN",$D4300,0)</f>
      </c>
      <c r="H4300" s="13">
        <f>IF($B4300="OUT",$D4300,0)</f>
      </c>
    </row>
    <row x14ac:dyDescent="0.25" r="4301" customHeight="1" ht="17.25">
      <c r="A4301" s="52"/>
      <c r="B4301" s="2"/>
      <c r="C4301" s="2"/>
      <c r="D4301" s="3"/>
      <c r="E4301" s="3"/>
      <c r="F4301" s="2"/>
      <c r="G4301" s="13">
        <f>IF($B4301="IN",$D4301,0)</f>
      </c>
      <c r="H4301" s="13">
        <f>IF($B4301="OUT",$D4301,0)</f>
      </c>
    </row>
    <row x14ac:dyDescent="0.25" r="4302" customHeight="1" ht="17.25">
      <c r="A4302" s="52"/>
      <c r="B4302" s="2"/>
      <c r="C4302" s="2"/>
      <c r="D4302" s="3"/>
      <c r="E4302" s="3"/>
      <c r="F4302" s="2"/>
      <c r="G4302" s="13">
        <f>IF($B4302="IN",$D4302,0)</f>
      </c>
      <c r="H4302" s="13">
        <f>IF($B4302="OUT",$D4302,0)</f>
      </c>
    </row>
    <row x14ac:dyDescent="0.25" r="4303" customHeight="1" ht="17.25">
      <c r="A4303" s="52"/>
      <c r="B4303" s="2"/>
      <c r="C4303" s="2"/>
      <c r="D4303" s="3"/>
      <c r="E4303" s="3"/>
      <c r="F4303" s="2"/>
      <c r="G4303" s="13">
        <f>IF($B4303="IN",$D4303,0)</f>
      </c>
      <c r="H4303" s="13">
        <f>IF($B4303="OUT",$D4303,0)</f>
      </c>
    </row>
    <row x14ac:dyDescent="0.25" r="4304" customHeight="1" ht="17.25">
      <c r="A4304" s="52"/>
      <c r="B4304" s="2"/>
      <c r="C4304" s="2"/>
      <c r="D4304" s="3"/>
      <c r="E4304" s="3"/>
      <c r="F4304" s="2"/>
      <c r="G4304" s="13">
        <f>IF($B4304="IN",$D4304,0)</f>
      </c>
      <c r="H4304" s="13">
        <f>IF($B4304="OUT",$D4304,0)</f>
      </c>
    </row>
    <row x14ac:dyDescent="0.25" r="4305" customHeight="1" ht="17.25">
      <c r="A4305" s="52"/>
      <c r="B4305" s="2"/>
      <c r="C4305" s="2"/>
      <c r="D4305" s="3"/>
      <c r="E4305" s="3"/>
      <c r="F4305" s="2"/>
      <c r="G4305" s="13">
        <f>IF($B4305="IN",$D4305,0)</f>
      </c>
      <c r="H4305" s="13">
        <f>IF($B4305="OUT",$D4305,0)</f>
      </c>
    </row>
    <row x14ac:dyDescent="0.25" r="4306" customHeight="1" ht="17.25">
      <c r="A4306" s="52"/>
      <c r="B4306" s="2"/>
      <c r="C4306" s="2"/>
      <c r="D4306" s="3"/>
      <c r="E4306" s="3"/>
      <c r="F4306" s="2"/>
      <c r="G4306" s="13">
        <f>IF($B4306="IN",$D4306,0)</f>
      </c>
      <c r="H4306" s="13">
        <f>IF($B4306="OUT",$D4306,0)</f>
      </c>
    </row>
    <row x14ac:dyDescent="0.25" r="4307" customHeight="1" ht="17.25">
      <c r="A4307" s="52"/>
      <c r="B4307" s="2"/>
      <c r="C4307" s="2"/>
      <c r="D4307" s="3"/>
      <c r="E4307" s="3"/>
      <c r="F4307" s="2"/>
      <c r="G4307" s="13">
        <f>IF($B4307="IN",$D4307,0)</f>
      </c>
      <c r="H4307" s="13">
        <f>IF($B4307="OUT",$D4307,0)</f>
      </c>
    </row>
    <row x14ac:dyDescent="0.25" r="4308" customHeight="1" ht="17.25">
      <c r="A4308" s="52"/>
      <c r="B4308" s="2"/>
      <c r="C4308" s="2"/>
      <c r="D4308" s="3"/>
      <c r="E4308" s="3"/>
      <c r="F4308" s="2"/>
      <c r="G4308" s="13">
        <f>IF($B4308="IN",$D4308,0)</f>
      </c>
      <c r="H4308" s="13">
        <f>IF($B4308="OUT",$D4308,0)</f>
      </c>
    </row>
    <row x14ac:dyDescent="0.25" r="4309" customHeight="1" ht="17.25">
      <c r="A4309" s="52"/>
      <c r="B4309" s="2"/>
      <c r="C4309" s="2"/>
      <c r="D4309" s="3"/>
      <c r="E4309" s="3"/>
      <c r="F4309" s="2"/>
      <c r="G4309" s="13">
        <f>IF($B4309="IN",$D4309,0)</f>
      </c>
      <c r="H4309" s="13">
        <f>IF($B4309="OUT",$D4309,0)</f>
      </c>
    </row>
    <row x14ac:dyDescent="0.25" r="4310" customHeight="1" ht="17.25">
      <c r="A4310" s="52"/>
      <c r="B4310" s="2"/>
      <c r="C4310" s="2"/>
      <c r="D4310" s="3"/>
      <c r="E4310" s="3"/>
      <c r="F4310" s="2"/>
      <c r="G4310" s="13">
        <f>IF($B4310="IN",$D4310,0)</f>
      </c>
      <c r="H4310" s="13">
        <f>IF($B4310="OUT",$D4310,0)</f>
      </c>
    </row>
    <row x14ac:dyDescent="0.25" r="4311" customHeight="1" ht="17.25">
      <c r="A4311" s="52"/>
      <c r="B4311" s="2"/>
      <c r="C4311" s="2"/>
      <c r="D4311" s="3"/>
      <c r="E4311" s="3"/>
      <c r="F4311" s="2"/>
      <c r="G4311" s="13">
        <f>IF($B4311="IN",$D4311,0)</f>
      </c>
      <c r="H4311" s="13">
        <f>IF($B4311="OUT",$D4311,0)</f>
      </c>
    </row>
    <row x14ac:dyDescent="0.25" r="4312" customHeight="1" ht="17.25">
      <c r="A4312" s="52"/>
      <c r="B4312" s="2"/>
      <c r="C4312" s="2"/>
      <c r="D4312" s="3"/>
      <c r="E4312" s="3"/>
      <c r="F4312" s="2"/>
      <c r="G4312" s="13">
        <f>IF($B4312="IN",$D4312,0)</f>
      </c>
      <c r="H4312" s="13">
        <f>IF($B4312="OUT",$D4312,0)</f>
      </c>
    </row>
    <row x14ac:dyDescent="0.25" r="4313" customHeight="1" ht="17.25">
      <c r="A4313" s="52"/>
      <c r="B4313" s="2"/>
      <c r="C4313" s="2"/>
      <c r="D4313" s="3"/>
      <c r="E4313" s="3"/>
      <c r="F4313" s="2"/>
      <c r="G4313" s="13">
        <f>IF($B4313="IN",$D4313,0)</f>
      </c>
      <c r="H4313" s="13">
        <f>IF($B4313="OUT",$D4313,0)</f>
      </c>
    </row>
    <row x14ac:dyDescent="0.25" r="4314" customHeight="1" ht="17.25">
      <c r="A4314" s="52"/>
      <c r="B4314" s="2"/>
      <c r="C4314" s="2"/>
      <c r="D4314" s="3"/>
      <c r="E4314" s="3"/>
      <c r="F4314" s="2"/>
      <c r="G4314" s="13">
        <f>IF($B4314="IN",$D4314,0)</f>
      </c>
      <c r="H4314" s="13">
        <f>IF($B4314="OUT",$D4314,0)</f>
      </c>
    </row>
    <row x14ac:dyDescent="0.25" r="4315" customHeight="1" ht="17.25">
      <c r="A4315" s="52"/>
      <c r="B4315" s="2"/>
      <c r="C4315" s="2"/>
      <c r="D4315" s="3"/>
      <c r="E4315" s="3"/>
      <c r="F4315" s="2"/>
      <c r="G4315" s="13">
        <f>IF($B4315="IN",$D4315,0)</f>
      </c>
      <c r="H4315" s="13">
        <f>IF($B4315="OUT",$D4315,0)</f>
      </c>
    </row>
    <row x14ac:dyDescent="0.25" r="4316" customHeight="1" ht="17.25">
      <c r="A4316" s="52"/>
      <c r="B4316" s="2"/>
      <c r="C4316" s="2"/>
      <c r="D4316" s="3"/>
      <c r="E4316" s="3"/>
      <c r="F4316" s="2"/>
      <c r="G4316" s="13">
        <f>IF($B4316="IN",$D4316,0)</f>
      </c>
      <c r="H4316" s="13">
        <f>IF($B4316="OUT",$D4316,0)</f>
      </c>
    </row>
    <row x14ac:dyDescent="0.25" r="4317" customHeight="1" ht="17.25">
      <c r="A4317" s="52"/>
      <c r="B4317" s="2"/>
      <c r="C4317" s="2"/>
      <c r="D4317" s="3"/>
      <c r="E4317" s="3"/>
      <c r="F4317" s="2"/>
      <c r="G4317" s="13">
        <f>IF($B4317="IN",$D4317,0)</f>
      </c>
      <c r="H4317" s="13">
        <f>IF($B4317="OUT",$D4317,0)</f>
      </c>
    </row>
    <row x14ac:dyDescent="0.25" r="4318" customHeight="1" ht="17.25">
      <c r="A4318" s="52"/>
      <c r="B4318" s="2"/>
      <c r="C4318" s="2"/>
      <c r="D4318" s="3"/>
      <c r="E4318" s="3"/>
      <c r="F4318" s="2"/>
      <c r="G4318" s="13">
        <f>IF($B4318="IN",$D4318,0)</f>
      </c>
      <c r="H4318" s="13">
        <f>IF($B4318="OUT",$D4318,0)</f>
      </c>
    </row>
    <row x14ac:dyDescent="0.25" r="4319" customHeight="1" ht="17.25">
      <c r="A4319" s="52"/>
      <c r="B4319" s="2"/>
      <c r="C4319" s="2"/>
      <c r="D4319" s="3"/>
      <c r="E4319" s="3"/>
      <c r="F4319" s="2"/>
      <c r="G4319" s="13">
        <f>IF($B4319="IN",$D4319,0)</f>
      </c>
      <c r="H4319" s="13">
        <f>IF($B4319="OUT",$D4319,0)</f>
      </c>
    </row>
    <row x14ac:dyDescent="0.25" r="4320" customHeight="1" ht="17.25">
      <c r="A4320" s="52"/>
      <c r="B4320" s="2"/>
      <c r="C4320" s="2"/>
      <c r="D4320" s="3"/>
      <c r="E4320" s="3"/>
      <c r="F4320" s="2"/>
      <c r="G4320" s="13">
        <f>IF($B4320="IN",$D4320,0)</f>
      </c>
      <c r="H4320" s="13">
        <f>IF($B4320="OUT",$D4320,0)</f>
      </c>
    </row>
    <row x14ac:dyDescent="0.25" r="4321" customHeight="1" ht="17.25">
      <c r="A4321" s="52"/>
      <c r="B4321" s="2"/>
      <c r="C4321" s="2"/>
      <c r="D4321" s="3"/>
      <c r="E4321" s="3"/>
      <c r="F4321" s="2"/>
      <c r="G4321" s="13">
        <f>IF($B4321="IN",$D4321,0)</f>
      </c>
      <c r="H4321" s="13">
        <f>IF($B4321="OUT",$D4321,0)</f>
      </c>
    </row>
    <row x14ac:dyDescent="0.25" r="4322" customHeight="1" ht="17.25">
      <c r="A4322" s="52"/>
      <c r="B4322" s="2"/>
      <c r="C4322" s="2"/>
      <c r="D4322" s="3"/>
      <c r="E4322" s="3"/>
      <c r="F4322" s="2"/>
      <c r="G4322" s="13">
        <f>IF($B4322="IN",$D4322,0)</f>
      </c>
      <c r="H4322" s="13">
        <f>IF($B4322="OUT",$D4322,0)</f>
      </c>
    </row>
    <row x14ac:dyDescent="0.25" r="4323" customHeight="1" ht="17.25">
      <c r="A4323" s="52"/>
      <c r="B4323" s="2"/>
      <c r="C4323" s="2"/>
      <c r="D4323" s="3"/>
      <c r="E4323" s="3"/>
      <c r="F4323" s="2"/>
      <c r="G4323" s="13">
        <f>IF($B4323="IN",$D4323,0)</f>
      </c>
      <c r="H4323" s="13">
        <f>IF($B4323="OUT",$D4323,0)</f>
      </c>
    </row>
    <row x14ac:dyDescent="0.25" r="4324" customHeight="1" ht="17.25">
      <c r="A4324" s="52"/>
      <c r="B4324" s="2"/>
      <c r="C4324" s="2"/>
      <c r="D4324" s="3"/>
      <c r="E4324" s="3"/>
      <c r="F4324" s="2"/>
      <c r="G4324" s="13">
        <f>IF($B4324="IN",$D4324,0)</f>
      </c>
      <c r="H4324" s="13">
        <f>IF($B4324="OUT",$D4324,0)</f>
      </c>
    </row>
    <row x14ac:dyDescent="0.25" r="4325" customHeight="1" ht="17.25">
      <c r="A4325" s="52"/>
      <c r="B4325" s="2"/>
      <c r="C4325" s="2"/>
      <c r="D4325" s="3"/>
      <c r="E4325" s="3"/>
      <c r="F4325" s="2"/>
      <c r="G4325" s="13">
        <f>IF($B4325="IN",$D4325,0)</f>
      </c>
      <c r="H4325" s="13">
        <f>IF($B4325="OUT",$D4325,0)</f>
      </c>
    </row>
    <row x14ac:dyDescent="0.25" r="4326" customHeight="1" ht="17.25">
      <c r="A4326" s="52"/>
      <c r="B4326" s="2"/>
      <c r="C4326" s="2"/>
      <c r="D4326" s="3"/>
      <c r="E4326" s="3"/>
      <c r="F4326" s="2"/>
      <c r="G4326" s="13">
        <f>IF($B4326="IN",$D4326,0)</f>
      </c>
      <c r="H4326" s="13">
        <f>IF($B4326="OUT",$D4326,0)</f>
      </c>
    </row>
    <row x14ac:dyDescent="0.25" r="4327" customHeight="1" ht="17.25">
      <c r="A4327" s="52"/>
      <c r="B4327" s="2"/>
      <c r="C4327" s="2"/>
      <c r="D4327" s="3"/>
      <c r="E4327" s="3"/>
      <c r="F4327" s="2"/>
      <c r="G4327" s="13">
        <f>IF($B4327="IN",$D4327,0)</f>
      </c>
      <c r="H4327" s="13">
        <f>IF($B4327="OUT",$D4327,0)</f>
      </c>
    </row>
    <row x14ac:dyDescent="0.25" r="4328" customHeight="1" ht="17.25">
      <c r="A4328" s="52"/>
      <c r="B4328" s="2"/>
      <c r="C4328" s="2"/>
      <c r="D4328" s="3"/>
      <c r="E4328" s="3"/>
      <c r="F4328" s="2"/>
      <c r="G4328" s="13">
        <f>IF($B4328="IN",$D4328,0)</f>
      </c>
      <c r="H4328" s="13">
        <f>IF($B4328="OUT",$D4328,0)</f>
      </c>
    </row>
    <row x14ac:dyDescent="0.25" r="4329" customHeight="1" ht="17.25">
      <c r="A4329" s="52"/>
      <c r="B4329" s="2"/>
      <c r="C4329" s="2"/>
      <c r="D4329" s="3"/>
      <c r="E4329" s="3"/>
      <c r="F4329" s="2"/>
      <c r="G4329" s="13">
        <f>IF($B4329="IN",$D4329,0)</f>
      </c>
      <c r="H4329" s="13">
        <f>IF($B4329="OUT",$D4329,0)</f>
      </c>
    </row>
    <row x14ac:dyDescent="0.25" r="4330" customHeight="1" ht="17.25">
      <c r="A4330" s="52"/>
      <c r="B4330" s="2"/>
      <c r="C4330" s="2"/>
      <c r="D4330" s="3"/>
      <c r="E4330" s="3"/>
      <c r="F4330" s="2"/>
      <c r="G4330" s="13">
        <f>IF($B4330="IN",$D4330,0)</f>
      </c>
      <c r="H4330" s="13">
        <f>IF($B4330="OUT",$D4330,0)</f>
      </c>
    </row>
    <row x14ac:dyDescent="0.25" r="4331" customHeight="1" ht="17.25">
      <c r="A4331" s="52"/>
      <c r="B4331" s="2"/>
      <c r="C4331" s="2"/>
      <c r="D4331" s="3"/>
      <c r="E4331" s="3"/>
      <c r="F4331" s="2"/>
      <c r="G4331" s="13">
        <f>IF($B4331="IN",$D4331,0)</f>
      </c>
      <c r="H4331" s="13">
        <f>IF($B4331="OUT",$D4331,0)</f>
      </c>
    </row>
    <row x14ac:dyDescent="0.25" r="4332" customHeight="1" ht="17.25">
      <c r="A4332" s="52"/>
      <c r="B4332" s="2"/>
      <c r="C4332" s="2"/>
      <c r="D4332" s="3"/>
      <c r="E4332" s="3"/>
      <c r="F4332" s="2"/>
      <c r="G4332" s="13">
        <f>IF($B4332="IN",$D4332,0)</f>
      </c>
      <c r="H4332" s="13">
        <f>IF($B4332="OUT",$D4332,0)</f>
      </c>
    </row>
    <row x14ac:dyDescent="0.25" r="4333" customHeight="1" ht="17.25">
      <c r="A4333" s="52"/>
      <c r="B4333" s="2"/>
      <c r="C4333" s="2"/>
      <c r="D4333" s="3"/>
      <c r="E4333" s="3"/>
      <c r="F4333" s="2"/>
      <c r="G4333" s="13">
        <f>IF($B4333="IN",$D4333,0)</f>
      </c>
      <c r="H4333" s="13">
        <f>IF($B4333="OUT",$D4333,0)</f>
      </c>
    </row>
    <row x14ac:dyDescent="0.25" r="4334" customHeight="1" ht="17.25">
      <c r="A4334" s="52"/>
      <c r="B4334" s="2"/>
      <c r="C4334" s="2"/>
      <c r="D4334" s="3"/>
      <c r="E4334" s="3"/>
      <c r="F4334" s="2"/>
      <c r="G4334" s="13">
        <f>IF($B4334="IN",$D4334,0)</f>
      </c>
      <c r="H4334" s="13">
        <f>IF($B4334="OUT",$D4334,0)</f>
      </c>
    </row>
    <row x14ac:dyDescent="0.25" r="4335" customHeight="1" ht="17.25">
      <c r="A4335" s="52"/>
      <c r="B4335" s="2"/>
      <c r="C4335" s="2"/>
      <c r="D4335" s="3"/>
      <c r="E4335" s="3"/>
      <c r="F4335" s="2"/>
      <c r="G4335" s="13">
        <f>IF($B4335="IN",$D4335,0)</f>
      </c>
      <c r="H4335" s="13">
        <f>IF($B4335="OUT",$D4335,0)</f>
      </c>
    </row>
    <row x14ac:dyDescent="0.25" r="4336" customHeight="1" ht="17.25">
      <c r="A4336" s="52"/>
      <c r="B4336" s="2"/>
      <c r="C4336" s="2"/>
      <c r="D4336" s="3"/>
      <c r="E4336" s="3"/>
      <c r="F4336" s="2"/>
      <c r="G4336" s="13">
        <f>IF($B4336="IN",$D4336,0)</f>
      </c>
      <c r="H4336" s="13">
        <f>IF($B4336="OUT",$D4336,0)</f>
      </c>
    </row>
    <row x14ac:dyDescent="0.25" r="4337" customHeight="1" ht="17.25">
      <c r="A4337" s="52"/>
      <c r="B4337" s="2"/>
      <c r="C4337" s="2"/>
      <c r="D4337" s="3"/>
      <c r="E4337" s="3"/>
      <c r="F4337" s="2"/>
      <c r="G4337" s="13">
        <f>IF($B4337="IN",$D4337,0)</f>
      </c>
      <c r="H4337" s="13">
        <f>IF($B4337="OUT",$D4337,0)</f>
      </c>
    </row>
    <row x14ac:dyDescent="0.25" r="4338" customHeight="1" ht="17.25">
      <c r="A4338" s="52"/>
      <c r="B4338" s="2"/>
      <c r="C4338" s="2"/>
      <c r="D4338" s="3"/>
      <c r="E4338" s="3"/>
      <c r="F4338" s="2"/>
      <c r="G4338" s="13">
        <f>IF($B4338="IN",$D4338,0)</f>
      </c>
      <c r="H4338" s="13">
        <f>IF($B4338="OUT",$D4338,0)</f>
      </c>
    </row>
    <row x14ac:dyDescent="0.25" r="4339" customHeight="1" ht="17.25">
      <c r="A4339" s="52"/>
      <c r="B4339" s="2"/>
      <c r="C4339" s="2"/>
      <c r="D4339" s="3"/>
      <c r="E4339" s="3"/>
      <c r="F4339" s="2"/>
      <c r="G4339" s="13">
        <f>IF($B4339="IN",$D4339,0)</f>
      </c>
      <c r="H4339" s="13">
        <f>IF($B4339="OUT",$D4339,0)</f>
      </c>
    </row>
    <row x14ac:dyDescent="0.25" r="4340" customHeight="1" ht="17.25">
      <c r="A4340" s="52"/>
      <c r="B4340" s="2"/>
      <c r="C4340" s="2"/>
      <c r="D4340" s="3"/>
      <c r="E4340" s="3"/>
      <c r="F4340" s="2"/>
      <c r="G4340" s="13">
        <f>IF($B4340="IN",$D4340,0)</f>
      </c>
      <c r="H4340" s="13">
        <f>IF($B4340="OUT",$D4340,0)</f>
      </c>
    </row>
    <row x14ac:dyDescent="0.25" r="4341" customHeight="1" ht="17.25">
      <c r="A4341" s="52"/>
      <c r="B4341" s="2"/>
      <c r="C4341" s="2"/>
      <c r="D4341" s="3"/>
      <c r="E4341" s="3"/>
      <c r="F4341" s="2"/>
      <c r="G4341" s="13">
        <f>IF($B4341="IN",$D4341,0)</f>
      </c>
      <c r="H4341" s="13">
        <f>IF($B4341="OUT",$D4341,0)</f>
      </c>
    </row>
    <row x14ac:dyDescent="0.25" r="4342" customHeight="1" ht="17.25">
      <c r="A4342" s="52"/>
      <c r="B4342" s="2"/>
      <c r="C4342" s="2"/>
      <c r="D4342" s="3"/>
      <c r="E4342" s="3"/>
      <c r="F4342" s="2"/>
      <c r="G4342" s="13">
        <f>IF($B4342="IN",$D4342,0)</f>
      </c>
      <c r="H4342" s="13">
        <f>IF($B4342="OUT",$D4342,0)</f>
      </c>
    </row>
    <row x14ac:dyDescent="0.25" r="4343" customHeight="1" ht="17.25">
      <c r="A4343" s="52"/>
      <c r="B4343" s="2"/>
      <c r="C4343" s="2"/>
      <c r="D4343" s="3"/>
      <c r="E4343" s="3"/>
      <c r="F4343" s="2"/>
      <c r="G4343" s="13">
        <f>IF($B4343="IN",$D4343,0)</f>
      </c>
      <c r="H4343" s="13">
        <f>IF($B4343="OUT",$D4343,0)</f>
      </c>
    </row>
    <row x14ac:dyDescent="0.25" r="4344" customHeight="1" ht="17.25">
      <c r="A4344" s="52"/>
      <c r="B4344" s="2"/>
      <c r="C4344" s="2"/>
      <c r="D4344" s="3"/>
      <c r="E4344" s="3"/>
      <c r="F4344" s="2"/>
      <c r="G4344" s="13">
        <f>IF($B4344="IN",$D4344,0)</f>
      </c>
      <c r="H4344" s="13">
        <f>IF($B4344="OUT",$D4344,0)</f>
      </c>
    </row>
    <row x14ac:dyDescent="0.25" r="4345" customHeight="1" ht="17.25">
      <c r="A4345" s="52"/>
      <c r="B4345" s="2"/>
      <c r="C4345" s="2"/>
      <c r="D4345" s="3"/>
      <c r="E4345" s="3"/>
      <c r="F4345" s="2"/>
      <c r="G4345" s="13">
        <f>IF($B4345="IN",$D4345,0)</f>
      </c>
      <c r="H4345" s="13">
        <f>IF($B4345="OUT",$D4345,0)</f>
      </c>
    </row>
    <row x14ac:dyDescent="0.25" r="4346" customHeight="1" ht="17.25">
      <c r="A4346" s="52"/>
      <c r="B4346" s="2"/>
      <c r="C4346" s="2"/>
      <c r="D4346" s="3"/>
      <c r="E4346" s="3"/>
      <c r="F4346" s="2"/>
      <c r="G4346" s="13">
        <f>IF($B4346="IN",$D4346,0)</f>
      </c>
      <c r="H4346" s="13">
        <f>IF($B4346="OUT",$D4346,0)</f>
      </c>
    </row>
    <row x14ac:dyDescent="0.25" r="4347" customHeight="1" ht="17.25">
      <c r="A4347" s="52"/>
      <c r="B4347" s="2"/>
      <c r="C4347" s="2"/>
      <c r="D4347" s="3"/>
      <c r="E4347" s="3"/>
      <c r="F4347" s="2"/>
      <c r="G4347" s="13">
        <f>IF($B4347="IN",$D4347,0)</f>
      </c>
      <c r="H4347" s="13">
        <f>IF($B4347="OUT",$D4347,0)</f>
      </c>
    </row>
    <row x14ac:dyDescent="0.25" r="4348" customHeight="1" ht="17.25">
      <c r="A4348" s="52"/>
      <c r="B4348" s="2"/>
      <c r="C4348" s="2"/>
      <c r="D4348" s="3"/>
      <c r="E4348" s="3"/>
      <c r="F4348" s="2"/>
      <c r="G4348" s="13">
        <f>IF($B4348="IN",$D4348,0)</f>
      </c>
      <c r="H4348" s="13">
        <f>IF($B4348="OUT",$D4348,0)</f>
      </c>
    </row>
    <row x14ac:dyDescent="0.25" r="4349" customHeight="1" ht="17.25">
      <c r="A4349" s="52"/>
      <c r="B4349" s="2"/>
      <c r="C4349" s="2"/>
      <c r="D4349" s="3"/>
      <c r="E4349" s="3"/>
      <c r="F4349" s="2"/>
      <c r="G4349" s="13">
        <f>IF($B4349="IN",$D4349,0)</f>
      </c>
      <c r="H4349" s="13">
        <f>IF($B4349="OUT",$D4349,0)</f>
      </c>
    </row>
    <row x14ac:dyDescent="0.25" r="4350" customHeight="1" ht="17.25">
      <c r="A4350" s="52"/>
      <c r="B4350" s="2"/>
      <c r="C4350" s="2"/>
      <c r="D4350" s="3"/>
      <c r="E4350" s="3"/>
      <c r="F4350" s="2"/>
      <c r="G4350" s="13">
        <f>IF($B4350="IN",$D4350,0)</f>
      </c>
      <c r="H4350" s="13">
        <f>IF($B4350="OUT",$D4350,0)</f>
      </c>
    </row>
    <row x14ac:dyDescent="0.25" r="4351" customHeight="1" ht="17.25">
      <c r="A4351" s="52"/>
      <c r="B4351" s="2"/>
      <c r="C4351" s="2"/>
      <c r="D4351" s="3"/>
      <c r="E4351" s="3"/>
      <c r="F4351" s="2"/>
      <c r="G4351" s="13">
        <f>IF($B4351="IN",$D4351,0)</f>
      </c>
      <c r="H4351" s="13">
        <f>IF($B4351="OUT",$D4351,0)</f>
      </c>
    </row>
    <row x14ac:dyDescent="0.25" r="4352" customHeight="1" ht="17.25">
      <c r="A4352" s="52"/>
      <c r="B4352" s="2"/>
      <c r="C4352" s="2"/>
      <c r="D4352" s="3"/>
      <c r="E4352" s="3"/>
      <c r="F4352" s="2"/>
      <c r="G4352" s="13">
        <f>IF($B4352="IN",$D4352,0)</f>
      </c>
      <c r="H4352" s="13">
        <f>IF($B4352="OUT",$D4352,0)</f>
      </c>
    </row>
    <row x14ac:dyDescent="0.25" r="4353" customHeight="1" ht="17.25">
      <c r="A4353" s="52"/>
      <c r="B4353" s="2"/>
      <c r="C4353" s="2"/>
      <c r="D4353" s="3"/>
      <c r="E4353" s="3"/>
      <c r="F4353" s="2"/>
      <c r="G4353" s="13">
        <f>IF($B4353="IN",$D4353,0)</f>
      </c>
      <c r="H4353" s="13">
        <f>IF($B4353="OUT",$D4353,0)</f>
      </c>
    </row>
    <row x14ac:dyDescent="0.25" r="4354" customHeight="1" ht="17.25">
      <c r="A4354" s="52"/>
      <c r="B4354" s="2"/>
      <c r="C4354" s="2"/>
      <c r="D4354" s="3"/>
      <c r="E4354" s="3"/>
      <c r="F4354" s="2"/>
      <c r="G4354" s="13">
        <f>IF($B4354="IN",$D4354,0)</f>
      </c>
      <c r="H4354" s="13">
        <f>IF($B4354="OUT",$D4354,0)</f>
      </c>
    </row>
    <row x14ac:dyDescent="0.25" r="4355" customHeight="1" ht="17.25">
      <c r="A4355" s="52"/>
      <c r="B4355" s="2"/>
      <c r="C4355" s="2"/>
      <c r="D4355" s="3"/>
      <c r="E4355" s="3"/>
      <c r="F4355" s="2"/>
      <c r="G4355" s="13">
        <f>IF($B4355="IN",$D4355,0)</f>
      </c>
      <c r="H4355" s="13">
        <f>IF($B4355="OUT",$D4355,0)</f>
      </c>
    </row>
    <row x14ac:dyDescent="0.25" r="4356" customHeight="1" ht="17.25">
      <c r="A4356" s="52"/>
      <c r="B4356" s="2"/>
      <c r="C4356" s="2"/>
      <c r="D4356" s="3"/>
      <c r="E4356" s="3"/>
      <c r="F4356" s="2"/>
      <c r="G4356" s="13">
        <f>IF($B4356="IN",$D4356,0)</f>
      </c>
      <c r="H4356" s="13">
        <f>IF($B4356="OUT",$D4356,0)</f>
      </c>
    </row>
    <row x14ac:dyDescent="0.25" r="4357" customHeight="1" ht="17.25">
      <c r="A4357" s="52"/>
      <c r="B4357" s="2"/>
      <c r="C4357" s="2"/>
      <c r="D4357" s="3"/>
      <c r="E4357" s="3"/>
      <c r="F4357" s="2"/>
      <c r="G4357" s="13">
        <f>IF($B4357="IN",$D4357,0)</f>
      </c>
      <c r="H4357" s="13">
        <f>IF($B4357="OUT",$D4357,0)</f>
      </c>
    </row>
    <row x14ac:dyDescent="0.25" r="4358" customHeight="1" ht="17.25">
      <c r="A4358" s="52"/>
      <c r="B4358" s="2"/>
      <c r="C4358" s="2"/>
      <c r="D4358" s="3"/>
      <c r="E4358" s="3"/>
      <c r="F4358" s="2"/>
      <c r="G4358" s="13">
        <f>IF($B4358="IN",$D4358,0)</f>
      </c>
      <c r="H4358" s="13">
        <f>IF($B4358="OUT",$D4358,0)</f>
      </c>
    </row>
    <row x14ac:dyDescent="0.25" r="4359" customHeight="1" ht="17.25">
      <c r="A4359" s="52"/>
      <c r="B4359" s="2"/>
      <c r="C4359" s="2"/>
      <c r="D4359" s="3"/>
      <c r="E4359" s="3"/>
      <c r="F4359" s="2"/>
      <c r="G4359" s="13">
        <f>IF($B4359="IN",$D4359,0)</f>
      </c>
      <c r="H4359" s="13">
        <f>IF($B4359="OUT",$D4359,0)</f>
      </c>
    </row>
    <row x14ac:dyDescent="0.25" r="4360" customHeight="1" ht="17.25">
      <c r="A4360" s="52"/>
      <c r="B4360" s="2"/>
      <c r="C4360" s="2"/>
      <c r="D4360" s="3"/>
      <c r="E4360" s="3"/>
      <c r="F4360" s="2"/>
      <c r="G4360" s="13">
        <f>IF($B4360="IN",$D4360,0)</f>
      </c>
      <c r="H4360" s="13">
        <f>IF($B4360="OUT",$D4360,0)</f>
      </c>
    </row>
    <row x14ac:dyDescent="0.25" r="4361" customHeight="1" ht="17.25">
      <c r="A4361" s="52"/>
      <c r="B4361" s="2"/>
      <c r="C4361" s="2"/>
      <c r="D4361" s="3"/>
      <c r="E4361" s="3"/>
      <c r="F4361" s="2"/>
      <c r="G4361" s="13">
        <f>IF($B4361="IN",$D4361,0)</f>
      </c>
      <c r="H4361" s="13">
        <f>IF($B4361="OUT",$D4361,0)</f>
      </c>
    </row>
    <row x14ac:dyDescent="0.25" r="4362" customHeight="1" ht="17.25">
      <c r="A4362" s="52"/>
      <c r="B4362" s="2"/>
      <c r="C4362" s="2"/>
      <c r="D4362" s="3"/>
      <c r="E4362" s="3"/>
      <c r="F4362" s="2"/>
      <c r="G4362" s="13">
        <f>IF($B4362="IN",$D4362,0)</f>
      </c>
      <c r="H4362" s="13">
        <f>IF($B4362="OUT",$D4362,0)</f>
      </c>
    </row>
    <row x14ac:dyDescent="0.25" r="4363" customHeight="1" ht="17.25">
      <c r="A4363" s="52"/>
      <c r="B4363" s="2"/>
      <c r="C4363" s="2"/>
      <c r="D4363" s="3"/>
      <c r="E4363" s="3"/>
      <c r="F4363" s="2"/>
      <c r="G4363" s="13">
        <f>IF($B4363="IN",$D4363,0)</f>
      </c>
      <c r="H4363" s="13">
        <f>IF($B4363="OUT",$D4363,0)</f>
      </c>
    </row>
    <row x14ac:dyDescent="0.25" r="4364" customHeight="1" ht="17.25">
      <c r="A4364" s="52"/>
      <c r="B4364" s="2"/>
      <c r="C4364" s="2"/>
      <c r="D4364" s="3"/>
      <c r="E4364" s="3"/>
      <c r="F4364" s="2"/>
      <c r="G4364" s="13">
        <f>IF($B4364="IN",$D4364,0)</f>
      </c>
      <c r="H4364" s="13">
        <f>IF($B4364="OUT",$D4364,0)</f>
      </c>
    </row>
    <row x14ac:dyDescent="0.25" r="4365" customHeight="1" ht="17.25">
      <c r="A4365" s="52"/>
      <c r="B4365" s="2"/>
      <c r="C4365" s="2"/>
      <c r="D4365" s="3"/>
      <c r="E4365" s="3"/>
      <c r="F4365" s="2"/>
      <c r="G4365" s="13">
        <f>IF($B4365="IN",$D4365,0)</f>
      </c>
      <c r="H4365" s="13">
        <f>IF($B4365="OUT",$D4365,0)</f>
      </c>
    </row>
    <row x14ac:dyDescent="0.25" r="4366" customHeight="1" ht="17.25">
      <c r="A4366" s="52"/>
      <c r="B4366" s="2"/>
      <c r="C4366" s="2"/>
      <c r="D4366" s="3"/>
      <c r="E4366" s="3"/>
      <c r="F4366" s="2"/>
      <c r="G4366" s="13">
        <f>IF($B4366="IN",$D4366,0)</f>
      </c>
      <c r="H4366" s="13">
        <f>IF($B4366="OUT",$D4366,0)</f>
      </c>
    </row>
    <row x14ac:dyDescent="0.25" r="4367" customHeight="1" ht="17.25">
      <c r="A4367" s="52"/>
      <c r="B4367" s="2"/>
      <c r="C4367" s="2"/>
      <c r="D4367" s="3"/>
      <c r="E4367" s="3"/>
      <c r="F4367" s="2"/>
      <c r="G4367" s="13">
        <f>IF($B4367="IN",$D4367,0)</f>
      </c>
      <c r="H4367" s="13">
        <f>IF($B4367="OUT",$D4367,0)</f>
      </c>
    </row>
    <row x14ac:dyDescent="0.25" r="4368" customHeight="1" ht="17.25">
      <c r="A4368" s="52"/>
      <c r="B4368" s="2"/>
      <c r="C4368" s="2"/>
      <c r="D4368" s="3"/>
      <c r="E4368" s="3"/>
      <c r="F4368" s="2"/>
      <c r="G4368" s="13">
        <f>IF($B4368="IN",$D4368,0)</f>
      </c>
      <c r="H4368" s="13">
        <f>IF($B4368="OUT",$D4368,0)</f>
      </c>
    </row>
    <row x14ac:dyDescent="0.25" r="4369" customHeight="1" ht="17.25">
      <c r="A4369" s="52"/>
      <c r="B4369" s="2"/>
      <c r="C4369" s="2"/>
      <c r="D4369" s="3"/>
      <c r="E4369" s="3"/>
      <c r="F4369" s="2"/>
      <c r="G4369" s="13">
        <f>IF($B4369="IN",$D4369,0)</f>
      </c>
      <c r="H4369" s="13">
        <f>IF($B4369="OUT",$D4369,0)</f>
      </c>
    </row>
    <row x14ac:dyDescent="0.25" r="4370" customHeight="1" ht="17.25">
      <c r="A4370" s="52"/>
      <c r="B4370" s="2"/>
      <c r="C4370" s="2"/>
      <c r="D4370" s="3"/>
      <c r="E4370" s="3"/>
      <c r="F4370" s="2"/>
      <c r="G4370" s="13">
        <f>IF($B4370="IN",$D4370,0)</f>
      </c>
      <c r="H4370" s="13">
        <f>IF($B4370="OUT",$D4370,0)</f>
      </c>
    </row>
    <row x14ac:dyDescent="0.25" r="4371" customHeight="1" ht="17.25">
      <c r="A4371" s="52"/>
      <c r="B4371" s="2"/>
      <c r="C4371" s="2"/>
      <c r="D4371" s="3"/>
      <c r="E4371" s="3"/>
      <c r="F4371" s="2"/>
      <c r="G4371" s="13">
        <f>IF($B4371="IN",$D4371,0)</f>
      </c>
      <c r="H4371" s="13">
        <f>IF($B4371="OUT",$D4371,0)</f>
      </c>
    </row>
    <row x14ac:dyDescent="0.25" r="4372" customHeight="1" ht="17.25">
      <c r="A4372" s="52"/>
      <c r="B4372" s="2"/>
      <c r="C4372" s="2"/>
      <c r="D4372" s="3"/>
      <c r="E4372" s="3"/>
      <c r="F4372" s="2"/>
      <c r="G4372" s="13">
        <f>IF($B4372="IN",$D4372,0)</f>
      </c>
      <c r="H4372" s="13">
        <f>IF($B4372="OUT",$D4372,0)</f>
      </c>
    </row>
    <row x14ac:dyDescent="0.25" r="4373" customHeight="1" ht="17.25">
      <c r="A4373" s="52"/>
      <c r="B4373" s="2"/>
      <c r="C4373" s="2"/>
      <c r="D4373" s="3"/>
      <c r="E4373" s="3"/>
      <c r="F4373" s="2"/>
      <c r="G4373" s="13">
        <f>IF($B4373="IN",$D4373,0)</f>
      </c>
      <c r="H4373" s="13">
        <f>IF($B4373="OUT",$D4373,0)</f>
      </c>
    </row>
    <row x14ac:dyDescent="0.25" r="4374" customHeight="1" ht="17.25">
      <c r="A4374" s="52"/>
      <c r="B4374" s="2"/>
      <c r="C4374" s="2"/>
      <c r="D4374" s="3"/>
      <c r="E4374" s="3"/>
      <c r="F4374" s="2"/>
      <c r="G4374" s="13">
        <f>IF($B4374="IN",$D4374,0)</f>
      </c>
      <c r="H4374" s="13">
        <f>IF($B4374="OUT",$D4374,0)</f>
      </c>
    </row>
    <row x14ac:dyDescent="0.25" r="4375" customHeight="1" ht="17.25">
      <c r="A4375" s="52"/>
      <c r="B4375" s="2"/>
      <c r="C4375" s="2"/>
      <c r="D4375" s="3"/>
      <c r="E4375" s="3"/>
      <c r="F4375" s="2"/>
      <c r="G4375" s="13">
        <f>IF($B4375="IN",$D4375,0)</f>
      </c>
      <c r="H4375" s="13">
        <f>IF($B4375="OUT",$D4375,0)</f>
      </c>
    </row>
    <row x14ac:dyDescent="0.25" r="4376" customHeight="1" ht="17.25">
      <c r="A4376" s="52"/>
      <c r="B4376" s="2"/>
      <c r="C4376" s="2"/>
      <c r="D4376" s="3"/>
      <c r="E4376" s="3"/>
      <c r="F4376" s="2"/>
      <c r="G4376" s="13">
        <f>IF($B4376="IN",$D4376,0)</f>
      </c>
      <c r="H4376" s="13">
        <f>IF($B4376="OUT",$D4376,0)</f>
      </c>
    </row>
    <row x14ac:dyDescent="0.25" r="4377" customHeight="1" ht="17.25">
      <c r="A4377" s="52"/>
      <c r="B4377" s="2"/>
      <c r="C4377" s="2"/>
      <c r="D4377" s="3"/>
      <c r="E4377" s="3"/>
      <c r="F4377" s="2"/>
      <c r="G4377" s="13">
        <f>IF($B4377="IN",$D4377,0)</f>
      </c>
      <c r="H4377" s="13">
        <f>IF($B4377="OUT",$D4377,0)</f>
      </c>
    </row>
    <row x14ac:dyDescent="0.25" r="4378" customHeight="1" ht="17.25">
      <c r="A4378" s="52"/>
      <c r="B4378" s="2"/>
      <c r="C4378" s="2"/>
      <c r="D4378" s="3"/>
      <c r="E4378" s="3"/>
      <c r="F4378" s="2"/>
      <c r="G4378" s="13">
        <f>IF($B4378="IN",$D4378,0)</f>
      </c>
      <c r="H4378" s="13">
        <f>IF($B4378="OUT",$D4378,0)</f>
      </c>
    </row>
    <row x14ac:dyDescent="0.25" r="4379" customHeight="1" ht="17.25">
      <c r="A4379" s="52"/>
      <c r="B4379" s="2"/>
      <c r="C4379" s="2"/>
      <c r="D4379" s="3"/>
      <c r="E4379" s="3"/>
      <c r="F4379" s="2"/>
      <c r="G4379" s="13">
        <f>IF($B4379="IN",$D4379,0)</f>
      </c>
      <c r="H4379" s="13">
        <f>IF($B4379="OUT",$D4379,0)</f>
      </c>
    </row>
    <row x14ac:dyDescent="0.25" r="4380" customHeight="1" ht="17.25">
      <c r="A4380" s="52"/>
      <c r="B4380" s="2"/>
      <c r="C4380" s="2"/>
      <c r="D4380" s="3"/>
      <c r="E4380" s="3"/>
      <c r="F4380" s="2"/>
      <c r="G4380" s="13">
        <f>IF($B4380="IN",$D4380,0)</f>
      </c>
      <c r="H4380" s="13">
        <f>IF($B4380="OUT",$D4380,0)</f>
      </c>
    </row>
    <row x14ac:dyDescent="0.25" r="4381" customHeight="1" ht="17.25">
      <c r="A4381" s="52"/>
      <c r="B4381" s="2"/>
      <c r="C4381" s="2"/>
      <c r="D4381" s="3"/>
      <c r="E4381" s="3"/>
      <c r="F4381" s="2"/>
      <c r="G4381" s="13">
        <f>IF($B4381="IN",$D4381,0)</f>
      </c>
      <c r="H4381" s="13">
        <f>IF($B4381="OUT",$D4381,0)</f>
      </c>
    </row>
    <row x14ac:dyDescent="0.25" r="4382" customHeight="1" ht="17.25">
      <c r="A4382" s="52"/>
      <c r="B4382" s="2"/>
      <c r="C4382" s="2"/>
      <c r="D4382" s="3"/>
      <c r="E4382" s="3"/>
      <c r="F4382" s="2"/>
      <c r="G4382" s="13">
        <f>IF($B4382="IN",$D4382,0)</f>
      </c>
      <c r="H4382" s="13">
        <f>IF($B4382="OUT",$D4382,0)</f>
      </c>
    </row>
    <row x14ac:dyDescent="0.25" r="4383" customHeight="1" ht="17.25">
      <c r="A4383" s="52"/>
      <c r="B4383" s="2"/>
      <c r="C4383" s="2"/>
      <c r="D4383" s="3"/>
      <c r="E4383" s="3"/>
      <c r="F4383" s="2"/>
      <c r="G4383" s="13">
        <f>IF($B4383="IN",$D4383,0)</f>
      </c>
      <c r="H4383" s="13">
        <f>IF($B4383="OUT",$D4383,0)</f>
      </c>
    </row>
    <row x14ac:dyDescent="0.25" r="4384" customHeight="1" ht="17.25">
      <c r="A4384" s="52"/>
      <c r="B4384" s="2"/>
      <c r="C4384" s="2"/>
      <c r="D4384" s="3"/>
      <c r="E4384" s="3"/>
      <c r="F4384" s="2"/>
      <c r="G4384" s="13">
        <f>IF($B4384="IN",$D4384,0)</f>
      </c>
      <c r="H4384" s="13">
        <f>IF($B4384="OUT",$D4384,0)</f>
      </c>
    </row>
    <row x14ac:dyDescent="0.25" r="4385" customHeight="1" ht="17.25">
      <c r="A4385" s="52"/>
      <c r="B4385" s="2"/>
      <c r="C4385" s="2"/>
      <c r="D4385" s="3"/>
      <c r="E4385" s="3"/>
      <c r="F4385" s="2"/>
      <c r="G4385" s="13">
        <f>IF($B4385="IN",$D4385,0)</f>
      </c>
      <c r="H4385" s="13">
        <f>IF($B4385="OUT",$D4385,0)</f>
      </c>
    </row>
    <row x14ac:dyDescent="0.25" r="4386" customHeight="1" ht="17.25">
      <c r="A4386" s="52"/>
      <c r="B4386" s="2"/>
      <c r="C4386" s="2"/>
      <c r="D4386" s="3"/>
      <c r="E4386" s="3"/>
      <c r="F4386" s="2"/>
      <c r="G4386" s="13">
        <f>IF($B4386="IN",$D4386,0)</f>
      </c>
      <c r="H4386" s="13">
        <f>IF($B4386="OUT",$D4386,0)</f>
      </c>
    </row>
    <row x14ac:dyDescent="0.25" r="4387" customHeight="1" ht="17.25">
      <c r="A4387" s="52"/>
      <c r="B4387" s="2"/>
      <c r="C4387" s="2"/>
      <c r="D4387" s="3"/>
      <c r="E4387" s="3"/>
      <c r="F4387" s="2"/>
      <c r="G4387" s="13">
        <f>IF($B4387="IN",$D4387,0)</f>
      </c>
      <c r="H4387" s="13">
        <f>IF($B4387="OUT",$D4387,0)</f>
      </c>
    </row>
    <row x14ac:dyDescent="0.25" r="4388" customHeight="1" ht="17.25">
      <c r="A4388" s="52"/>
      <c r="B4388" s="2"/>
      <c r="C4388" s="2"/>
      <c r="D4388" s="3"/>
      <c r="E4388" s="3"/>
      <c r="F4388" s="2"/>
      <c r="G4388" s="13">
        <f>IF($B4388="IN",$D4388,0)</f>
      </c>
      <c r="H4388" s="13">
        <f>IF($B4388="OUT",$D4388,0)</f>
      </c>
    </row>
    <row x14ac:dyDescent="0.25" r="4389" customHeight="1" ht="17.25">
      <c r="A4389" s="52"/>
      <c r="B4389" s="2"/>
      <c r="C4389" s="2"/>
      <c r="D4389" s="3"/>
      <c r="E4389" s="3"/>
      <c r="F4389" s="2"/>
      <c r="G4389" s="13">
        <f>IF($B4389="IN",$D4389,0)</f>
      </c>
      <c r="H4389" s="13">
        <f>IF($B4389="OUT",$D4389,0)</f>
      </c>
    </row>
    <row x14ac:dyDescent="0.25" r="4390" customHeight="1" ht="17.25">
      <c r="A4390" s="52"/>
      <c r="B4390" s="2"/>
      <c r="C4390" s="2"/>
      <c r="D4390" s="3"/>
      <c r="E4390" s="3"/>
      <c r="F4390" s="2"/>
      <c r="G4390" s="13">
        <f>IF($B4390="IN",$D4390,0)</f>
      </c>
      <c r="H4390" s="13">
        <f>IF($B4390="OUT",$D4390,0)</f>
      </c>
    </row>
    <row x14ac:dyDescent="0.25" r="4391" customHeight="1" ht="17.25">
      <c r="A4391" s="52"/>
      <c r="B4391" s="2"/>
      <c r="C4391" s="2"/>
      <c r="D4391" s="3"/>
      <c r="E4391" s="3"/>
      <c r="F4391" s="2"/>
      <c r="G4391" s="13">
        <f>IF($B4391="IN",$D4391,0)</f>
      </c>
      <c r="H4391" s="13">
        <f>IF($B4391="OUT",$D4391,0)</f>
      </c>
    </row>
    <row x14ac:dyDescent="0.25" r="4392" customHeight="1" ht="17.25">
      <c r="A4392" s="52"/>
      <c r="B4392" s="2"/>
      <c r="C4392" s="2"/>
      <c r="D4392" s="3"/>
      <c r="E4392" s="3"/>
      <c r="F4392" s="2"/>
      <c r="G4392" s="13">
        <f>IF($B4392="IN",$D4392,0)</f>
      </c>
      <c r="H4392" s="13">
        <f>IF($B4392="OUT",$D4392,0)</f>
      </c>
    </row>
    <row x14ac:dyDescent="0.25" r="4393" customHeight="1" ht="17.25">
      <c r="A4393" s="52"/>
      <c r="B4393" s="2"/>
      <c r="C4393" s="2"/>
      <c r="D4393" s="3"/>
      <c r="E4393" s="3"/>
      <c r="F4393" s="2"/>
      <c r="G4393" s="13">
        <f>IF($B4393="IN",$D4393,0)</f>
      </c>
      <c r="H4393" s="13">
        <f>IF($B4393="OUT",$D4393,0)</f>
      </c>
    </row>
    <row x14ac:dyDescent="0.25" r="4394" customHeight="1" ht="17.25">
      <c r="A4394" s="52"/>
      <c r="B4394" s="2"/>
      <c r="C4394" s="2"/>
      <c r="D4394" s="3"/>
      <c r="E4394" s="3"/>
      <c r="F4394" s="2"/>
      <c r="G4394" s="13">
        <f>IF($B4394="IN",$D4394,0)</f>
      </c>
      <c r="H4394" s="13">
        <f>IF($B4394="OUT",$D4394,0)</f>
      </c>
    </row>
    <row x14ac:dyDescent="0.25" r="4395" customHeight="1" ht="17.25">
      <c r="A4395" s="52"/>
      <c r="B4395" s="2"/>
      <c r="C4395" s="2"/>
      <c r="D4395" s="3"/>
      <c r="E4395" s="3"/>
      <c r="F4395" s="2"/>
      <c r="G4395" s="13">
        <f>IF($B4395="IN",$D4395,0)</f>
      </c>
      <c r="H4395" s="13">
        <f>IF($B4395="OUT",$D4395,0)</f>
      </c>
    </row>
    <row x14ac:dyDescent="0.25" r="4396" customHeight="1" ht="17.25">
      <c r="A4396" s="52"/>
      <c r="B4396" s="2"/>
      <c r="C4396" s="2"/>
      <c r="D4396" s="3"/>
      <c r="E4396" s="3"/>
      <c r="F4396" s="2"/>
      <c r="G4396" s="13">
        <f>IF($B4396="IN",$D4396,0)</f>
      </c>
      <c r="H4396" s="13">
        <f>IF($B4396="OUT",$D4396,0)</f>
      </c>
    </row>
    <row x14ac:dyDescent="0.25" r="4397" customHeight="1" ht="17.25">
      <c r="A4397" s="52"/>
      <c r="B4397" s="2"/>
      <c r="C4397" s="2"/>
      <c r="D4397" s="3"/>
      <c r="E4397" s="3"/>
      <c r="F4397" s="2"/>
      <c r="G4397" s="13">
        <f>IF($B4397="IN",$D4397,0)</f>
      </c>
      <c r="H4397" s="13">
        <f>IF($B4397="OUT",$D4397,0)</f>
      </c>
    </row>
    <row x14ac:dyDescent="0.25" r="4398" customHeight="1" ht="17.25">
      <c r="A4398" s="52"/>
      <c r="B4398" s="2"/>
      <c r="C4398" s="2"/>
      <c r="D4398" s="3"/>
      <c r="E4398" s="3"/>
      <c r="F4398" s="2"/>
      <c r="G4398" s="13">
        <f>IF($B4398="IN",$D4398,0)</f>
      </c>
      <c r="H4398" s="13">
        <f>IF($B4398="OUT",$D4398,0)</f>
      </c>
    </row>
    <row x14ac:dyDescent="0.25" r="4399" customHeight="1" ht="17.25">
      <c r="A4399" s="52"/>
      <c r="B4399" s="2"/>
      <c r="C4399" s="2"/>
      <c r="D4399" s="3"/>
      <c r="E4399" s="3"/>
      <c r="F4399" s="2"/>
      <c r="G4399" s="13">
        <f>IF($B4399="IN",$D4399,0)</f>
      </c>
      <c r="H4399" s="13">
        <f>IF($B4399="OUT",$D4399,0)</f>
      </c>
    </row>
    <row x14ac:dyDescent="0.25" r="4400" customHeight="1" ht="17.25">
      <c r="A4400" s="52"/>
      <c r="B4400" s="2"/>
      <c r="C4400" s="2"/>
      <c r="D4400" s="3"/>
      <c r="E4400" s="3"/>
      <c r="F4400" s="2"/>
      <c r="G4400" s="13">
        <f>IF($B4400="IN",$D4400,0)</f>
      </c>
      <c r="H4400" s="13">
        <f>IF($B4400="OUT",$D4400,0)</f>
      </c>
    </row>
    <row x14ac:dyDescent="0.25" r="4401" customHeight="1" ht="17.25">
      <c r="A4401" s="52"/>
      <c r="B4401" s="2"/>
      <c r="C4401" s="2"/>
      <c r="D4401" s="3"/>
      <c r="E4401" s="3"/>
      <c r="F4401" s="2"/>
      <c r="G4401" s="13">
        <f>IF($B4401="IN",$D4401,0)</f>
      </c>
      <c r="H4401" s="13">
        <f>IF($B4401="OUT",$D4401,0)</f>
      </c>
    </row>
    <row x14ac:dyDescent="0.25" r="4402" customHeight="1" ht="17.25">
      <c r="A4402" s="52"/>
      <c r="B4402" s="2"/>
      <c r="C4402" s="2"/>
      <c r="D4402" s="3"/>
      <c r="E4402" s="3"/>
      <c r="F4402" s="2"/>
      <c r="G4402" s="13">
        <f>IF($B4402="IN",$D4402,0)</f>
      </c>
      <c r="H4402" s="13">
        <f>IF($B4402="OUT",$D4402,0)</f>
      </c>
    </row>
    <row x14ac:dyDescent="0.25" r="4403" customHeight="1" ht="17.25">
      <c r="A4403" s="52"/>
      <c r="B4403" s="2"/>
      <c r="C4403" s="2"/>
      <c r="D4403" s="3"/>
      <c r="E4403" s="3"/>
      <c r="F4403" s="2"/>
      <c r="G4403" s="13">
        <f>IF($B4403="IN",$D4403,0)</f>
      </c>
      <c r="H4403" s="13">
        <f>IF($B4403="OUT",$D4403,0)</f>
      </c>
    </row>
    <row x14ac:dyDescent="0.25" r="4404" customHeight="1" ht="17.25">
      <c r="A4404" s="52"/>
      <c r="B4404" s="2"/>
      <c r="C4404" s="2"/>
      <c r="D4404" s="3"/>
      <c r="E4404" s="3"/>
      <c r="F4404" s="2"/>
      <c r="G4404" s="13">
        <f>IF($B4404="IN",$D4404,0)</f>
      </c>
      <c r="H4404" s="13">
        <f>IF($B4404="OUT",$D4404,0)</f>
      </c>
    </row>
    <row x14ac:dyDescent="0.25" r="4405" customHeight="1" ht="17.25">
      <c r="A4405" s="52"/>
      <c r="B4405" s="2"/>
      <c r="C4405" s="2"/>
      <c r="D4405" s="3"/>
      <c r="E4405" s="3"/>
      <c r="F4405" s="2"/>
      <c r="G4405" s="13">
        <f>IF($B4405="IN",$D4405,0)</f>
      </c>
      <c r="H4405" s="13">
        <f>IF($B4405="OUT",$D4405,0)</f>
      </c>
    </row>
    <row x14ac:dyDescent="0.25" r="4406" customHeight="1" ht="17.25">
      <c r="A4406" s="52"/>
      <c r="B4406" s="2"/>
      <c r="C4406" s="2"/>
      <c r="D4406" s="3"/>
      <c r="E4406" s="3"/>
      <c r="F4406" s="2"/>
      <c r="G4406" s="13">
        <f>IF($B4406="IN",$D4406,0)</f>
      </c>
      <c r="H4406" s="13">
        <f>IF($B4406="OUT",$D4406,0)</f>
      </c>
    </row>
    <row x14ac:dyDescent="0.25" r="4407" customHeight="1" ht="17.25">
      <c r="A4407" s="52"/>
      <c r="B4407" s="2"/>
      <c r="C4407" s="2"/>
      <c r="D4407" s="3"/>
      <c r="E4407" s="3"/>
      <c r="F4407" s="2"/>
      <c r="G4407" s="13">
        <f>IF($B4407="IN",$D4407,0)</f>
      </c>
      <c r="H4407" s="13">
        <f>IF($B4407="OUT",$D4407,0)</f>
      </c>
    </row>
    <row x14ac:dyDescent="0.25" r="4408" customHeight="1" ht="17.25">
      <c r="A4408" s="52"/>
      <c r="B4408" s="2"/>
      <c r="C4408" s="2"/>
      <c r="D4408" s="3"/>
      <c r="E4408" s="3"/>
      <c r="F4408" s="2"/>
      <c r="G4408" s="13">
        <f>IF($B4408="IN",$D4408,0)</f>
      </c>
      <c r="H4408" s="13">
        <f>IF($B4408="OUT",$D4408,0)</f>
      </c>
    </row>
    <row x14ac:dyDescent="0.25" r="4409" customHeight="1" ht="17.25">
      <c r="A4409" s="52"/>
      <c r="B4409" s="2"/>
      <c r="C4409" s="2"/>
      <c r="D4409" s="3"/>
      <c r="E4409" s="3"/>
      <c r="F4409" s="2"/>
      <c r="G4409" s="13">
        <f>IF($B4409="IN",$D4409,0)</f>
      </c>
      <c r="H4409" s="13">
        <f>IF($B4409="OUT",$D4409,0)</f>
      </c>
    </row>
    <row x14ac:dyDescent="0.25" r="4410" customHeight="1" ht="17.25">
      <c r="A4410" s="52"/>
      <c r="B4410" s="2"/>
      <c r="C4410" s="2"/>
      <c r="D4410" s="3"/>
      <c r="E4410" s="3"/>
      <c r="F4410" s="2"/>
      <c r="G4410" s="13">
        <f>IF($B4410="IN",$D4410,0)</f>
      </c>
      <c r="H4410" s="13">
        <f>IF($B4410="OUT",$D4410,0)</f>
      </c>
    </row>
    <row x14ac:dyDescent="0.25" r="4411" customHeight="1" ht="17.25">
      <c r="A4411" s="52"/>
      <c r="B4411" s="2"/>
      <c r="C4411" s="2"/>
      <c r="D4411" s="3"/>
      <c r="E4411" s="3"/>
      <c r="F4411" s="2"/>
      <c r="G4411" s="13">
        <f>IF($B4411="IN",$D4411,0)</f>
      </c>
      <c r="H4411" s="13">
        <f>IF($B4411="OUT",$D4411,0)</f>
      </c>
    </row>
    <row x14ac:dyDescent="0.25" r="4412" customHeight="1" ht="17.25">
      <c r="A4412" s="52"/>
      <c r="B4412" s="2"/>
      <c r="C4412" s="2"/>
      <c r="D4412" s="3"/>
      <c r="E4412" s="3"/>
      <c r="F4412" s="2"/>
      <c r="G4412" s="13">
        <f>IF($B4412="IN",$D4412,0)</f>
      </c>
      <c r="H4412" s="13">
        <f>IF($B4412="OUT",$D4412,0)</f>
      </c>
    </row>
    <row x14ac:dyDescent="0.25" r="4413" customHeight="1" ht="17.25">
      <c r="A4413" s="52"/>
      <c r="B4413" s="2"/>
      <c r="C4413" s="2"/>
      <c r="D4413" s="3"/>
      <c r="E4413" s="3"/>
      <c r="F4413" s="2"/>
      <c r="G4413" s="13">
        <f>IF($B4413="IN",$D4413,0)</f>
      </c>
      <c r="H4413" s="13">
        <f>IF($B4413="OUT",$D4413,0)</f>
      </c>
    </row>
    <row x14ac:dyDescent="0.25" r="4414" customHeight="1" ht="17.25">
      <c r="A4414" s="52"/>
      <c r="B4414" s="2"/>
      <c r="C4414" s="2"/>
      <c r="D4414" s="3"/>
      <c r="E4414" s="3"/>
      <c r="F4414" s="2"/>
      <c r="G4414" s="13">
        <f>IF($B4414="IN",$D4414,0)</f>
      </c>
      <c r="H4414" s="13">
        <f>IF($B4414="OUT",$D4414,0)</f>
      </c>
    </row>
    <row x14ac:dyDescent="0.25" r="4415" customHeight="1" ht="17.25">
      <c r="A4415" s="52"/>
      <c r="B4415" s="2"/>
      <c r="C4415" s="2"/>
      <c r="D4415" s="3"/>
      <c r="E4415" s="3"/>
      <c r="F4415" s="2"/>
      <c r="G4415" s="13">
        <f>IF($B4415="IN",$D4415,0)</f>
      </c>
      <c r="H4415" s="13">
        <f>IF($B4415="OUT",$D4415,0)</f>
      </c>
    </row>
    <row x14ac:dyDescent="0.25" r="4416" customHeight="1" ht="17.25">
      <c r="A4416" s="52"/>
      <c r="B4416" s="2"/>
      <c r="C4416" s="2"/>
      <c r="D4416" s="3"/>
      <c r="E4416" s="3"/>
      <c r="F4416" s="2"/>
      <c r="G4416" s="13">
        <f>IF($B4416="IN",$D4416,0)</f>
      </c>
      <c r="H4416" s="13">
        <f>IF($B4416="OUT",$D4416,0)</f>
      </c>
    </row>
    <row x14ac:dyDescent="0.25" r="4417" customHeight="1" ht="17.25">
      <c r="A4417" s="52"/>
      <c r="B4417" s="2"/>
      <c r="C4417" s="2"/>
      <c r="D4417" s="3"/>
      <c r="E4417" s="3"/>
      <c r="F4417" s="2"/>
      <c r="G4417" s="13">
        <f>IF($B4417="IN",$D4417,0)</f>
      </c>
      <c r="H4417" s="13">
        <f>IF($B4417="OUT",$D4417,0)</f>
      </c>
    </row>
    <row x14ac:dyDescent="0.25" r="4418" customHeight="1" ht="17.25">
      <c r="A4418" s="52"/>
      <c r="B4418" s="2"/>
      <c r="C4418" s="2"/>
      <c r="D4418" s="3"/>
      <c r="E4418" s="3"/>
      <c r="F4418" s="2"/>
      <c r="G4418" s="13">
        <f>IF($B4418="IN",$D4418,0)</f>
      </c>
      <c r="H4418" s="13">
        <f>IF($B4418="OUT",$D4418,0)</f>
      </c>
    </row>
    <row x14ac:dyDescent="0.25" r="4419" customHeight="1" ht="17.25">
      <c r="A4419" s="52"/>
      <c r="B4419" s="2"/>
      <c r="C4419" s="2"/>
      <c r="D4419" s="3"/>
      <c r="E4419" s="3"/>
      <c r="F4419" s="2"/>
      <c r="G4419" s="13">
        <f>IF($B4419="IN",$D4419,0)</f>
      </c>
      <c r="H4419" s="13">
        <f>IF($B4419="OUT",$D4419,0)</f>
      </c>
    </row>
    <row x14ac:dyDescent="0.25" r="4420" customHeight="1" ht="17.25">
      <c r="A4420" s="52"/>
      <c r="B4420" s="2"/>
      <c r="C4420" s="2"/>
      <c r="D4420" s="3"/>
      <c r="E4420" s="3"/>
      <c r="F4420" s="2"/>
      <c r="G4420" s="13">
        <f>IF($B4420="IN",$D4420,0)</f>
      </c>
      <c r="H4420" s="13">
        <f>IF($B4420="OUT",$D4420,0)</f>
      </c>
    </row>
    <row x14ac:dyDescent="0.25" r="4421" customHeight="1" ht="17.25">
      <c r="A4421" s="52"/>
      <c r="B4421" s="2"/>
      <c r="C4421" s="2"/>
      <c r="D4421" s="3"/>
      <c r="E4421" s="3"/>
      <c r="F4421" s="2"/>
      <c r="G4421" s="13">
        <f>IF($B4421="IN",$D4421,0)</f>
      </c>
      <c r="H4421" s="13">
        <f>IF($B4421="OUT",$D4421,0)</f>
      </c>
    </row>
    <row x14ac:dyDescent="0.25" r="4422" customHeight="1" ht="17.25">
      <c r="A4422" s="52"/>
      <c r="B4422" s="2"/>
      <c r="C4422" s="2"/>
      <c r="D4422" s="3"/>
      <c r="E4422" s="3"/>
      <c r="F4422" s="2"/>
      <c r="G4422" s="13">
        <f>IF($B4422="IN",$D4422,0)</f>
      </c>
      <c r="H4422" s="13">
        <f>IF($B4422="OUT",$D4422,0)</f>
      </c>
    </row>
    <row x14ac:dyDescent="0.25" r="4423" customHeight="1" ht="17.25">
      <c r="A4423" s="52"/>
      <c r="B4423" s="2"/>
      <c r="C4423" s="2"/>
      <c r="D4423" s="3"/>
      <c r="E4423" s="3"/>
      <c r="F4423" s="2"/>
      <c r="G4423" s="13">
        <f>IF($B4423="IN",$D4423,0)</f>
      </c>
      <c r="H4423" s="13">
        <f>IF($B4423="OUT",$D4423,0)</f>
      </c>
    </row>
    <row x14ac:dyDescent="0.25" r="4424" customHeight="1" ht="17.25">
      <c r="A4424" s="52"/>
      <c r="B4424" s="2"/>
      <c r="C4424" s="2"/>
      <c r="D4424" s="3"/>
      <c r="E4424" s="3"/>
      <c r="F4424" s="2"/>
      <c r="G4424" s="13">
        <f>IF($B4424="IN",$D4424,0)</f>
      </c>
      <c r="H4424" s="13">
        <f>IF($B4424="OUT",$D4424,0)</f>
      </c>
    </row>
    <row x14ac:dyDescent="0.25" r="4425" customHeight="1" ht="17.25">
      <c r="A4425" s="52"/>
      <c r="B4425" s="2"/>
      <c r="C4425" s="2"/>
      <c r="D4425" s="3"/>
      <c r="E4425" s="3"/>
      <c r="F4425" s="2"/>
      <c r="G4425" s="13">
        <f>IF($B4425="IN",$D4425,0)</f>
      </c>
      <c r="H4425" s="13">
        <f>IF($B4425="OUT",$D4425,0)</f>
      </c>
    </row>
    <row x14ac:dyDescent="0.25" r="4426" customHeight="1" ht="17.25">
      <c r="A4426" s="52"/>
      <c r="B4426" s="2"/>
      <c r="C4426" s="2"/>
      <c r="D4426" s="3"/>
      <c r="E4426" s="3"/>
      <c r="F4426" s="2"/>
      <c r="G4426" s="13">
        <f>IF($B4426="IN",$D4426,0)</f>
      </c>
      <c r="H4426" s="13">
        <f>IF($B4426="OUT",$D4426,0)</f>
      </c>
    </row>
    <row x14ac:dyDescent="0.25" r="4427" customHeight="1" ht="17.25">
      <c r="A4427" s="52"/>
      <c r="B4427" s="2"/>
      <c r="C4427" s="2"/>
      <c r="D4427" s="3"/>
      <c r="E4427" s="3"/>
      <c r="F4427" s="2"/>
      <c r="G4427" s="13">
        <f>IF($B4427="IN",$D4427,0)</f>
      </c>
      <c r="H4427" s="13">
        <f>IF($B4427="OUT",$D4427,0)</f>
      </c>
    </row>
    <row x14ac:dyDescent="0.25" r="4428" customHeight="1" ht="17.25">
      <c r="A4428" s="52"/>
      <c r="B4428" s="2"/>
      <c r="C4428" s="2"/>
      <c r="D4428" s="3"/>
      <c r="E4428" s="3"/>
      <c r="F4428" s="2"/>
      <c r="G4428" s="13">
        <f>IF($B4428="IN",$D4428,0)</f>
      </c>
      <c r="H4428" s="13">
        <f>IF($B4428="OUT",$D4428,0)</f>
      </c>
    </row>
    <row x14ac:dyDescent="0.25" r="4429" customHeight="1" ht="17.25">
      <c r="A4429" s="52"/>
      <c r="B4429" s="2"/>
      <c r="C4429" s="2"/>
      <c r="D4429" s="3"/>
      <c r="E4429" s="3"/>
      <c r="F4429" s="2"/>
      <c r="G4429" s="13">
        <f>IF($B4429="IN",$D4429,0)</f>
      </c>
      <c r="H4429" s="13">
        <f>IF($B4429="OUT",$D4429,0)</f>
      </c>
    </row>
    <row x14ac:dyDescent="0.25" r="4430" customHeight="1" ht="17.25">
      <c r="A4430" s="52"/>
      <c r="B4430" s="2"/>
      <c r="C4430" s="2"/>
      <c r="D4430" s="3"/>
      <c r="E4430" s="3"/>
      <c r="F4430" s="2"/>
      <c r="G4430" s="13">
        <f>IF($B4430="IN",$D4430,0)</f>
      </c>
      <c r="H4430" s="13">
        <f>IF($B4430="OUT",$D4430,0)</f>
      </c>
    </row>
    <row x14ac:dyDescent="0.25" r="4431" customHeight="1" ht="17.25">
      <c r="A4431" s="52"/>
      <c r="B4431" s="2"/>
      <c r="C4431" s="2"/>
      <c r="D4431" s="3"/>
      <c r="E4431" s="3"/>
      <c r="F4431" s="2"/>
      <c r="G4431" s="13">
        <f>IF($B4431="IN",$D4431,0)</f>
      </c>
      <c r="H4431" s="13">
        <f>IF($B4431="OUT",$D4431,0)</f>
      </c>
    </row>
    <row x14ac:dyDescent="0.25" r="4432" customHeight="1" ht="17.25">
      <c r="A4432" s="52"/>
      <c r="B4432" s="2"/>
      <c r="C4432" s="2"/>
      <c r="D4432" s="3"/>
      <c r="E4432" s="3"/>
      <c r="F4432" s="2"/>
      <c r="G4432" s="13">
        <f>IF($B4432="IN",$D4432,0)</f>
      </c>
      <c r="H4432" s="13">
        <f>IF($B4432="OUT",$D4432,0)</f>
      </c>
    </row>
    <row x14ac:dyDescent="0.25" r="4433" customHeight="1" ht="17.25">
      <c r="A4433" s="52"/>
      <c r="B4433" s="2"/>
      <c r="C4433" s="2"/>
      <c r="D4433" s="3"/>
      <c r="E4433" s="3"/>
      <c r="F4433" s="2"/>
      <c r="G4433" s="13">
        <f>IF($B4433="IN",$D4433,0)</f>
      </c>
      <c r="H4433" s="13">
        <f>IF($B4433="OUT",$D4433,0)</f>
      </c>
    </row>
    <row x14ac:dyDescent="0.25" r="4434" customHeight="1" ht="17.25">
      <c r="A4434" s="52"/>
      <c r="B4434" s="2"/>
      <c r="C4434" s="2"/>
      <c r="D4434" s="3"/>
      <c r="E4434" s="3"/>
      <c r="F4434" s="2"/>
      <c r="G4434" s="13">
        <f>IF($B4434="IN",$D4434,0)</f>
      </c>
      <c r="H4434" s="13">
        <f>IF($B4434="OUT",$D4434,0)</f>
      </c>
    </row>
    <row x14ac:dyDescent="0.25" r="4435" customHeight="1" ht="17.25">
      <c r="A4435" s="52"/>
      <c r="B4435" s="2"/>
      <c r="C4435" s="2"/>
      <c r="D4435" s="3"/>
      <c r="E4435" s="3"/>
      <c r="F4435" s="2"/>
      <c r="G4435" s="13">
        <f>IF($B4435="IN",$D4435,0)</f>
      </c>
      <c r="H4435" s="13">
        <f>IF($B4435="OUT",$D4435,0)</f>
      </c>
    </row>
    <row x14ac:dyDescent="0.25" r="4436" customHeight="1" ht="17.25">
      <c r="A4436" s="52"/>
      <c r="B4436" s="2"/>
      <c r="C4436" s="2"/>
      <c r="D4436" s="3"/>
      <c r="E4436" s="3"/>
      <c r="F4436" s="2"/>
      <c r="G4436" s="13">
        <f>IF($B4436="IN",$D4436,0)</f>
      </c>
      <c r="H4436" s="13">
        <f>IF($B4436="OUT",$D4436,0)</f>
      </c>
    </row>
    <row x14ac:dyDescent="0.25" r="4437" customHeight="1" ht="17.25">
      <c r="A4437" s="52"/>
      <c r="B4437" s="2"/>
      <c r="C4437" s="2"/>
      <c r="D4437" s="3"/>
      <c r="E4437" s="3"/>
      <c r="F4437" s="2"/>
      <c r="G4437" s="13">
        <f>IF($B4437="IN",$D4437,0)</f>
      </c>
      <c r="H4437" s="13">
        <f>IF($B4437="OUT",$D4437,0)</f>
      </c>
    </row>
    <row x14ac:dyDescent="0.25" r="4438" customHeight="1" ht="17.25">
      <c r="A4438" s="52"/>
      <c r="B4438" s="2"/>
      <c r="C4438" s="2"/>
      <c r="D4438" s="3"/>
      <c r="E4438" s="3"/>
      <c r="F4438" s="2"/>
      <c r="G4438" s="13">
        <f>IF($B4438="IN",$D4438,0)</f>
      </c>
      <c r="H4438" s="13">
        <f>IF($B4438="OUT",$D4438,0)</f>
      </c>
    </row>
    <row x14ac:dyDescent="0.25" r="4439" customHeight="1" ht="17.25">
      <c r="A4439" s="52"/>
      <c r="B4439" s="2"/>
      <c r="C4439" s="2"/>
      <c r="D4439" s="3"/>
      <c r="E4439" s="3"/>
      <c r="F4439" s="2"/>
      <c r="G4439" s="13">
        <f>IF($B4439="IN",$D4439,0)</f>
      </c>
      <c r="H4439" s="13">
        <f>IF($B4439="OUT",$D4439,0)</f>
      </c>
    </row>
    <row x14ac:dyDescent="0.25" r="4440" customHeight="1" ht="17.25">
      <c r="A4440" s="52"/>
      <c r="B4440" s="2"/>
      <c r="C4440" s="2"/>
      <c r="D4440" s="3"/>
      <c r="E4440" s="3"/>
      <c r="F4440" s="2"/>
      <c r="G4440" s="13">
        <f>IF($B4440="IN",$D4440,0)</f>
      </c>
      <c r="H4440" s="13">
        <f>IF($B4440="OUT",$D4440,0)</f>
      </c>
    </row>
    <row x14ac:dyDescent="0.25" r="4441" customHeight="1" ht="17.25">
      <c r="A4441" s="52"/>
      <c r="B4441" s="2"/>
      <c r="C4441" s="2"/>
      <c r="D4441" s="3"/>
      <c r="E4441" s="3"/>
      <c r="F4441" s="2"/>
      <c r="G4441" s="13">
        <f>IF($B4441="IN",$D4441,0)</f>
      </c>
      <c r="H4441" s="13">
        <f>IF($B4441="OUT",$D4441,0)</f>
      </c>
    </row>
    <row x14ac:dyDescent="0.25" r="4442" customHeight="1" ht="17.25">
      <c r="A4442" s="52"/>
      <c r="B4442" s="2"/>
      <c r="C4442" s="2"/>
      <c r="D4442" s="3"/>
      <c r="E4442" s="3"/>
      <c r="F4442" s="2"/>
      <c r="G4442" s="13">
        <f>IF($B4442="IN",$D4442,0)</f>
      </c>
      <c r="H4442" s="13">
        <f>IF($B4442="OUT",$D4442,0)</f>
      </c>
    </row>
    <row x14ac:dyDescent="0.25" r="4443" customHeight="1" ht="17.25">
      <c r="A4443" s="52"/>
      <c r="B4443" s="2"/>
      <c r="C4443" s="2"/>
      <c r="D4443" s="3"/>
      <c r="E4443" s="3"/>
      <c r="F4443" s="2"/>
      <c r="G4443" s="13">
        <f>IF($B4443="IN",$D4443,0)</f>
      </c>
      <c r="H4443" s="13">
        <f>IF($B4443="OUT",$D4443,0)</f>
      </c>
    </row>
    <row x14ac:dyDescent="0.25" r="4444" customHeight="1" ht="17.25">
      <c r="A4444" s="52"/>
      <c r="B4444" s="2"/>
      <c r="C4444" s="2"/>
      <c r="D4444" s="3"/>
      <c r="E4444" s="3"/>
      <c r="F4444" s="2"/>
      <c r="G4444" s="13">
        <f>IF($B4444="IN",$D4444,0)</f>
      </c>
      <c r="H4444" s="13">
        <f>IF($B4444="OUT",$D4444,0)</f>
      </c>
    </row>
    <row x14ac:dyDescent="0.25" r="4445" customHeight="1" ht="17.25">
      <c r="A4445" s="52"/>
      <c r="B4445" s="2"/>
      <c r="C4445" s="2"/>
      <c r="D4445" s="3"/>
      <c r="E4445" s="3"/>
      <c r="F4445" s="2"/>
      <c r="G4445" s="13">
        <f>IF($B4445="IN",$D4445,0)</f>
      </c>
      <c r="H4445" s="13">
        <f>IF($B4445="OUT",$D4445,0)</f>
      </c>
    </row>
    <row x14ac:dyDescent="0.25" r="4446" customHeight="1" ht="17.25">
      <c r="A4446" s="52"/>
      <c r="B4446" s="2"/>
      <c r="C4446" s="2"/>
      <c r="D4446" s="3"/>
      <c r="E4446" s="3"/>
      <c r="F4446" s="2"/>
      <c r="G4446" s="13">
        <f>IF($B4446="IN",$D4446,0)</f>
      </c>
      <c r="H4446" s="13">
        <f>IF($B4446="OUT",$D4446,0)</f>
      </c>
    </row>
    <row x14ac:dyDescent="0.25" r="4447" customHeight="1" ht="17.25">
      <c r="A4447" s="52"/>
      <c r="B4447" s="2"/>
      <c r="C4447" s="2"/>
      <c r="D4447" s="3"/>
      <c r="E4447" s="3"/>
      <c r="F4447" s="2"/>
      <c r="G4447" s="13">
        <f>IF($B4447="IN",$D4447,0)</f>
      </c>
      <c r="H4447" s="13">
        <f>IF($B4447="OUT",$D4447,0)</f>
      </c>
    </row>
    <row x14ac:dyDescent="0.25" r="4448" customHeight="1" ht="17.25">
      <c r="A4448" s="52"/>
      <c r="B4448" s="2"/>
      <c r="C4448" s="2"/>
      <c r="D4448" s="3"/>
      <c r="E4448" s="3"/>
      <c r="F4448" s="2"/>
      <c r="G4448" s="13">
        <f>IF($B4448="IN",$D4448,0)</f>
      </c>
      <c r="H4448" s="13">
        <f>IF($B4448="OUT",$D4448,0)</f>
      </c>
    </row>
    <row x14ac:dyDescent="0.25" r="4449" customHeight="1" ht="17.25">
      <c r="A4449" s="52"/>
      <c r="B4449" s="2"/>
      <c r="C4449" s="2"/>
      <c r="D4449" s="3"/>
      <c r="E4449" s="3"/>
      <c r="F4449" s="2"/>
      <c r="G4449" s="13">
        <f>IF($B4449="IN",$D4449,0)</f>
      </c>
      <c r="H4449" s="13">
        <f>IF($B4449="OUT",$D4449,0)</f>
      </c>
    </row>
    <row x14ac:dyDescent="0.25" r="4450" customHeight="1" ht="17.25">
      <c r="A4450" s="52"/>
      <c r="B4450" s="2"/>
      <c r="C4450" s="2"/>
      <c r="D4450" s="3"/>
      <c r="E4450" s="3"/>
      <c r="F4450" s="2"/>
      <c r="G4450" s="13">
        <f>IF($B4450="IN",$D4450,0)</f>
      </c>
      <c r="H4450" s="13">
        <f>IF($B4450="OUT",$D4450,0)</f>
      </c>
    </row>
    <row x14ac:dyDescent="0.25" r="4451" customHeight="1" ht="17.25">
      <c r="A4451" s="52"/>
      <c r="B4451" s="2"/>
      <c r="C4451" s="2"/>
      <c r="D4451" s="3"/>
      <c r="E4451" s="3"/>
      <c r="F4451" s="2"/>
      <c r="G4451" s="13">
        <f>IF($B4451="IN",$D4451,0)</f>
      </c>
      <c r="H4451" s="13">
        <f>IF($B4451="OUT",$D4451,0)</f>
      </c>
    </row>
    <row x14ac:dyDescent="0.25" r="4452" customHeight="1" ht="17.25">
      <c r="A4452" s="52"/>
      <c r="B4452" s="2"/>
      <c r="C4452" s="2"/>
      <c r="D4452" s="3"/>
      <c r="E4452" s="3"/>
      <c r="F4452" s="2"/>
      <c r="G4452" s="13">
        <f>IF($B4452="IN",$D4452,0)</f>
      </c>
      <c r="H4452" s="13">
        <f>IF($B4452="OUT",$D4452,0)</f>
      </c>
    </row>
    <row x14ac:dyDescent="0.25" r="4453" customHeight="1" ht="17.25">
      <c r="A4453" s="52"/>
      <c r="B4453" s="2"/>
      <c r="C4453" s="2"/>
      <c r="D4453" s="3"/>
      <c r="E4453" s="3"/>
      <c r="F4453" s="2"/>
      <c r="G4453" s="13">
        <f>IF($B4453="IN",$D4453,0)</f>
      </c>
      <c r="H4453" s="13">
        <f>IF($B4453="OUT",$D4453,0)</f>
      </c>
    </row>
    <row x14ac:dyDescent="0.25" r="4454" customHeight="1" ht="17.25">
      <c r="A4454" s="52"/>
      <c r="B4454" s="2"/>
      <c r="C4454" s="2"/>
      <c r="D4454" s="3"/>
      <c r="E4454" s="3"/>
      <c r="F4454" s="2"/>
      <c r="G4454" s="13">
        <f>IF($B4454="IN",$D4454,0)</f>
      </c>
      <c r="H4454" s="13">
        <f>IF($B4454="OUT",$D4454,0)</f>
      </c>
    </row>
    <row x14ac:dyDescent="0.25" r="4455" customHeight="1" ht="17.25">
      <c r="A4455" s="52"/>
      <c r="B4455" s="2"/>
      <c r="C4455" s="2"/>
      <c r="D4455" s="3"/>
      <c r="E4455" s="3"/>
      <c r="F4455" s="2"/>
      <c r="G4455" s="13">
        <f>IF($B4455="IN",$D4455,0)</f>
      </c>
      <c r="H4455" s="13">
        <f>IF($B4455="OUT",$D4455,0)</f>
      </c>
    </row>
    <row x14ac:dyDescent="0.25" r="4456" customHeight="1" ht="17.25">
      <c r="A4456" s="52"/>
      <c r="B4456" s="2"/>
      <c r="C4456" s="2"/>
      <c r="D4456" s="3"/>
      <c r="E4456" s="3"/>
      <c r="F4456" s="2"/>
      <c r="G4456" s="13">
        <f>IF($B4456="IN",$D4456,0)</f>
      </c>
      <c r="H4456" s="13">
        <f>IF($B4456="OUT",$D4456,0)</f>
      </c>
    </row>
    <row x14ac:dyDescent="0.25" r="4457" customHeight="1" ht="17.25">
      <c r="A4457" s="52"/>
      <c r="B4457" s="2"/>
      <c r="C4457" s="2"/>
      <c r="D4457" s="3"/>
      <c r="E4457" s="3"/>
      <c r="F4457" s="2"/>
      <c r="G4457" s="13">
        <f>IF($B4457="IN",$D4457,0)</f>
      </c>
      <c r="H4457" s="13">
        <f>IF($B4457="OUT",$D4457,0)</f>
      </c>
    </row>
    <row x14ac:dyDescent="0.25" r="4458" customHeight="1" ht="17.25">
      <c r="A4458" s="52"/>
      <c r="B4458" s="2"/>
      <c r="C4458" s="2"/>
      <c r="D4458" s="3"/>
      <c r="E4458" s="3"/>
      <c r="F4458" s="2"/>
      <c r="G4458" s="13">
        <f>IF($B4458="IN",$D4458,0)</f>
      </c>
      <c r="H4458" s="13">
        <f>IF($B4458="OUT",$D4458,0)</f>
      </c>
    </row>
    <row x14ac:dyDescent="0.25" r="4459" customHeight="1" ht="17.25">
      <c r="A4459" s="52"/>
      <c r="B4459" s="2"/>
      <c r="C4459" s="2"/>
      <c r="D4459" s="3"/>
      <c r="E4459" s="3"/>
      <c r="F4459" s="2"/>
      <c r="G4459" s="13">
        <f>IF($B4459="IN",$D4459,0)</f>
      </c>
      <c r="H4459" s="13">
        <f>IF($B4459="OUT",$D4459,0)</f>
      </c>
    </row>
    <row x14ac:dyDescent="0.25" r="4460" customHeight="1" ht="17.25">
      <c r="A4460" s="52"/>
      <c r="B4460" s="2"/>
      <c r="C4460" s="2"/>
      <c r="D4460" s="3"/>
      <c r="E4460" s="3"/>
      <c r="F4460" s="2"/>
      <c r="G4460" s="13">
        <f>IF($B4460="IN",$D4460,0)</f>
      </c>
      <c r="H4460" s="13">
        <f>IF($B4460="OUT",$D4460,0)</f>
      </c>
    </row>
    <row x14ac:dyDescent="0.25" r="4461" customHeight="1" ht="17.25">
      <c r="A4461" s="52"/>
      <c r="B4461" s="2"/>
      <c r="C4461" s="2"/>
      <c r="D4461" s="3"/>
      <c r="E4461" s="3"/>
      <c r="F4461" s="2"/>
      <c r="G4461" s="13">
        <f>IF($B4461="IN",$D4461,0)</f>
      </c>
      <c r="H4461" s="13">
        <f>IF($B4461="OUT",$D4461,0)</f>
      </c>
    </row>
    <row x14ac:dyDescent="0.25" r="4462" customHeight="1" ht="17.25">
      <c r="A4462" s="52"/>
      <c r="B4462" s="2"/>
      <c r="C4462" s="2"/>
      <c r="D4462" s="3"/>
      <c r="E4462" s="3"/>
      <c r="F4462" s="2"/>
      <c r="G4462" s="13">
        <f>IF($B4462="IN",$D4462,0)</f>
      </c>
      <c r="H4462" s="13">
        <f>IF($B4462="OUT",$D4462,0)</f>
      </c>
    </row>
    <row x14ac:dyDescent="0.25" r="4463" customHeight="1" ht="17.25">
      <c r="A4463" s="52"/>
      <c r="B4463" s="2"/>
      <c r="C4463" s="2"/>
      <c r="D4463" s="3"/>
      <c r="E4463" s="3"/>
      <c r="F4463" s="2"/>
      <c r="G4463" s="13">
        <f>IF($B4463="IN",$D4463,0)</f>
      </c>
      <c r="H4463" s="13">
        <f>IF($B4463="OUT",$D4463,0)</f>
      </c>
    </row>
    <row x14ac:dyDescent="0.25" r="4464" customHeight="1" ht="17.25">
      <c r="A4464" s="52"/>
      <c r="B4464" s="2"/>
      <c r="C4464" s="2"/>
      <c r="D4464" s="3"/>
      <c r="E4464" s="3"/>
      <c r="F4464" s="2"/>
      <c r="G4464" s="13">
        <f>IF($B4464="IN",$D4464,0)</f>
      </c>
      <c r="H4464" s="13">
        <f>IF($B4464="OUT",$D4464,0)</f>
      </c>
    </row>
    <row x14ac:dyDescent="0.25" r="4465" customHeight="1" ht="17.25">
      <c r="A4465" s="52"/>
      <c r="B4465" s="2"/>
      <c r="C4465" s="2"/>
      <c r="D4465" s="3"/>
      <c r="E4465" s="3"/>
      <c r="F4465" s="2"/>
      <c r="G4465" s="13">
        <f>IF($B4465="IN",$D4465,0)</f>
      </c>
      <c r="H4465" s="13">
        <f>IF($B4465="OUT",$D4465,0)</f>
      </c>
    </row>
    <row x14ac:dyDescent="0.25" r="4466" customHeight="1" ht="17.25">
      <c r="A4466" s="52"/>
      <c r="B4466" s="2"/>
      <c r="C4466" s="2"/>
      <c r="D4466" s="3"/>
      <c r="E4466" s="3"/>
      <c r="F4466" s="2"/>
      <c r="G4466" s="13">
        <f>IF($B4466="IN",$D4466,0)</f>
      </c>
      <c r="H4466" s="13">
        <f>IF($B4466="OUT",$D4466,0)</f>
      </c>
    </row>
    <row x14ac:dyDescent="0.25" r="4467" customHeight="1" ht="17.25">
      <c r="A4467" s="52"/>
      <c r="B4467" s="2"/>
      <c r="C4467" s="2"/>
      <c r="D4467" s="3"/>
      <c r="E4467" s="3"/>
      <c r="F4467" s="2"/>
      <c r="G4467" s="13">
        <f>IF($B4467="IN",$D4467,0)</f>
      </c>
      <c r="H4467" s="13">
        <f>IF($B4467="OUT",$D4467,0)</f>
      </c>
    </row>
    <row x14ac:dyDescent="0.25" r="4468" customHeight="1" ht="17.25">
      <c r="A4468" s="52"/>
      <c r="B4468" s="2"/>
      <c r="C4468" s="2"/>
      <c r="D4468" s="3"/>
      <c r="E4468" s="3"/>
      <c r="F4468" s="2"/>
      <c r="G4468" s="13">
        <f>IF($B4468="IN",$D4468,0)</f>
      </c>
      <c r="H4468" s="13">
        <f>IF($B4468="OUT",$D4468,0)</f>
      </c>
    </row>
    <row x14ac:dyDescent="0.25" r="4469" customHeight="1" ht="17.25">
      <c r="A4469" s="52"/>
      <c r="B4469" s="2"/>
      <c r="C4469" s="2"/>
      <c r="D4469" s="3"/>
      <c r="E4469" s="3"/>
      <c r="F4469" s="2"/>
      <c r="G4469" s="13">
        <f>IF($B4469="IN",$D4469,0)</f>
      </c>
      <c r="H4469" s="13">
        <f>IF($B4469="OUT",$D4469,0)</f>
      </c>
    </row>
    <row x14ac:dyDescent="0.25" r="4470" customHeight="1" ht="17.25">
      <c r="A4470" s="52"/>
      <c r="B4470" s="2"/>
      <c r="C4470" s="2"/>
      <c r="D4470" s="3"/>
      <c r="E4470" s="3"/>
      <c r="F4470" s="2"/>
      <c r="G4470" s="13">
        <f>IF($B4470="IN",$D4470,0)</f>
      </c>
      <c r="H4470" s="13">
        <f>IF($B4470="OUT",$D4470,0)</f>
      </c>
    </row>
    <row x14ac:dyDescent="0.25" r="4471" customHeight="1" ht="17.25">
      <c r="A4471" s="52"/>
      <c r="B4471" s="2"/>
      <c r="C4471" s="2"/>
      <c r="D4471" s="3"/>
      <c r="E4471" s="3"/>
      <c r="F4471" s="2"/>
      <c r="G4471" s="13">
        <f>IF($B4471="IN",$D4471,0)</f>
      </c>
      <c r="H4471" s="13">
        <f>IF($B4471="OUT",$D4471,0)</f>
      </c>
    </row>
    <row x14ac:dyDescent="0.25" r="4472" customHeight="1" ht="17.25">
      <c r="A4472" s="52"/>
      <c r="B4472" s="2"/>
      <c r="C4472" s="2"/>
      <c r="D4472" s="3"/>
      <c r="E4472" s="3"/>
      <c r="F4472" s="2"/>
      <c r="G4472" s="13">
        <f>IF($B4472="IN",$D4472,0)</f>
      </c>
      <c r="H4472" s="13">
        <f>IF($B4472="OUT",$D4472,0)</f>
      </c>
    </row>
    <row x14ac:dyDescent="0.25" r="4473" customHeight="1" ht="17.25">
      <c r="A4473" s="52"/>
      <c r="B4473" s="2"/>
      <c r="C4473" s="2"/>
      <c r="D4473" s="3"/>
      <c r="E4473" s="3"/>
      <c r="F4473" s="2"/>
      <c r="G4473" s="13">
        <f>IF($B4473="IN",$D4473,0)</f>
      </c>
      <c r="H4473" s="13">
        <f>IF($B4473="OUT",$D4473,0)</f>
      </c>
    </row>
    <row x14ac:dyDescent="0.25" r="4474" customHeight="1" ht="17.25">
      <c r="A4474" s="52"/>
      <c r="B4474" s="2"/>
      <c r="C4474" s="2"/>
      <c r="D4474" s="3"/>
      <c r="E4474" s="3"/>
      <c r="F4474" s="2"/>
      <c r="G4474" s="13">
        <f>IF($B4474="IN",$D4474,0)</f>
      </c>
      <c r="H4474" s="13">
        <f>IF($B4474="OUT",$D4474,0)</f>
      </c>
    </row>
    <row x14ac:dyDescent="0.25" r="4475" customHeight="1" ht="17.25">
      <c r="A4475" s="52"/>
      <c r="B4475" s="2"/>
      <c r="C4475" s="2"/>
      <c r="D4475" s="3"/>
      <c r="E4475" s="3"/>
      <c r="F4475" s="2"/>
      <c r="G4475" s="13">
        <f>IF($B4475="IN",$D4475,0)</f>
      </c>
      <c r="H4475" s="13">
        <f>IF($B4475="OUT",$D4475,0)</f>
      </c>
    </row>
    <row x14ac:dyDescent="0.25" r="4476" customHeight="1" ht="17.25">
      <c r="A4476" s="52"/>
      <c r="B4476" s="2"/>
      <c r="C4476" s="2"/>
      <c r="D4476" s="3"/>
      <c r="E4476" s="3"/>
      <c r="F4476" s="2"/>
      <c r="G4476" s="13">
        <f>IF($B4476="IN",$D4476,0)</f>
      </c>
      <c r="H4476" s="13">
        <f>IF($B4476="OUT",$D4476,0)</f>
      </c>
    </row>
    <row x14ac:dyDescent="0.25" r="4477" customHeight="1" ht="17.25">
      <c r="A4477" s="52"/>
      <c r="B4477" s="2"/>
      <c r="C4477" s="2"/>
      <c r="D4477" s="3"/>
      <c r="E4477" s="3"/>
      <c r="F4477" s="2"/>
      <c r="G4477" s="13">
        <f>IF($B4477="IN",$D4477,0)</f>
      </c>
      <c r="H4477" s="13">
        <f>IF($B4477="OUT",$D4477,0)</f>
      </c>
    </row>
    <row x14ac:dyDescent="0.25" r="4478" customHeight="1" ht="17.25">
      <c r="A4478" s="52"/>
      <c r="B4478" s="2"/>
      <c r="C4478" s="2"/>
      <c r="D4478" s="3"/>
      <c r="E4478" s="3"/>
      <c r="F4478" s="2"/>
      <c r="G4478" s="13">
        <f>IF($B4478="IN",$D4478,0)</f>
      </c>
      <c r="H4478" s="13">
        <f>IF($B4478="OUT",$D4478,0)</f>
      </c>
    </row>
    <row x14ac:dyDescent="0.25" r="4479" customHeight="1" ht="17.25">
      <c r="A4479" s="52"/>
      <c r="B4479" s="2"/>
      <c r="C4479" s="2"/>
      <c r="D4479" s="3"/>
      <c r="E4479" s="3"/>
      <c r="F4479" s="2"/>
      <c r="G4479" s="13">
        <f>IF($B4479="IN",$D4479,0)</f>
      </c>
      <c r="H4479" s="13">
        <f>IF($B4479="OUT",$D4479,0)</f>
      </c>
    </row>
    <row x14ac:dyDescent="0.25" r="4480" customHeight="1" ht="17.25">
      <c r="A4480" s="52"/>
      <c r="B4480" s="2"/>
      <c r="C4480" s="2"/>
      <c r="D4480" s="3"/>
      <c r="E4480" s="3"/>
      <c r="F4480" s="2"/>
      <c r="G4480" s="13">
        <f>IF($B4480="IN",$D4480,0)</f>
      </c>
      <c r="H4480" s="13">
        <f>IF($B4480="OUT",$D4480,0)</f>
      </c>
    </row>
    <row x14ac:dyDescent="0.25" r="4481" customHeight="1" ht="17.25">
      <c r="A4481" s="52"/>
      <c r="B4481" s="2"/>
      <c r="C4481" s="2"/>
      <c r="D4481" s="3"/>
      <c r="E4481" s="3"/>
      <c r="F4481" s="2"/>
      <c r="G4481" s="13">
        <f>IF($B4481="IN",$D4481,0)</f>
      </c>
      <c r="H4481" s="13">
        <f>IF($B4481="OUT",$D4481,0)</f>
      </c>
    </row>
    <row x14ac:dyDescent="0.25" r="4482" customHeight="1" ht="17.25">
      <c r="A4482" s="52"/>
      <c r="B4482" s="2"/>
      <c r="C4482" s="2"/>
      <c r="D4482" s="3"/>
      <c r="E4482" s="3"/>
      <c r="F4482" s="2"/>
      <c r="G4482" s="13">
        <f>IF($B4482="IN",$D4482,0)</f>
      </c>
      <c r="H4482" s="13">
        <f>IF($B4482="OUT",$D4482,0)</f>
      </c>
    </row>
    <row x14ac:dyDescent="0.25" r="4483" customHeight="1" ht="17.25">
      <c r="A4483" s="52"/>
      <c r="B4483" s="2"/>
      <c r="C4483" s="2"/>
      <c r="D4483" s="3"/>
      <c r="E4483" s="3"/>
      <c r="F4483" s="2"/>
      <c r="G4483" s="13">
        <f>IF($B4483="IN",$D4483,0)</f>
      </c>
      <c r="H4483" s="13">
        <f>IF($B4483="OUT",$D4483,0)</f>
      </c>
    </row>
    <row x14ac:dyDescent="0.25" r="4484" customHeight="1" ht="17.25">
      <c r="A4484" s="52"/>
      <c r="B4484" s="2"/>
      <c r="C4484" s="2"/>
      <c r="D4484" s="3"/>
      <c r="E4484" s="3"/>
      <c r="F4484" s="2"/>
      <c r="G4484" s="13">
        <f>IF($B4484="IN",$D4484,0)</f>
      </c>
      <c r="H4484" s="13">
        <f>IF($B4484="OUT",$D4484,0)</f>
      </c>
    </row>
    <row x14ac:dyDescent="0.25" r="4485" customHeight="1" ht="17.25">
      <c r="A4485" s="52"/>
      <c r="B4485" s="2"/>
      <c r="C4485" s="2"/>
      <c r="D4485" s="3"/>
      <c r="E4485" s="3"/>
      <c r="F4485" s="2"/>
      <c r="G4485" s="13">
        <f>IF($B4485="IN",$D4485,0)</f>
      </c>
      <c r="H4485" s="13">
        <f>IF($B4485="OUT",$D4485,0)</f>
      </c>
    </row>
    <row x14ac:dyDescent="0.25" r="4486" customHeight="1" ht="17.25">
      <c r="A4486" s="52"/>
      <c r="B4486" s="2"/>
      <c r="C4486" s="2"/>
      <c r="D4486" s="3"/>
      <c r="E4486" s="3"/>
      <c r="F4486" s="2"/>
      <c r="G4486" s="13">
        <f>IF($B4486="IN",$D4486,0)</f>
      </c>
      <c r="H4486" s="13">
        <f>IF($B4486="OUT",$D4486,0)</f>
      </c>
    </row>
    <row x14ac:dyDescent="0.25" r="4487" customHeight="1" ht="17.25">
      <c r="A4487" s="52"/>
      <c r="B4487" s="2"/>
      <c r="C4487" s="2"/>
      <c r="D4487" s="3"/>
      <c r="E4487" s="3"/>
      <c r="F4487" s="2"/>
      <c r="G4487" s="13">
        <f>IF($B4487="IN",$D4487,0)</f>
      </c>
      <c r="H4487" s="13">
        <f>IF($B4487="OUT",$D4487,0)</f>
      </c>
    </row>
    <row x14ac:dyDescent="0.25" r="4488" customHeight="1" ht="17.25">
      <c r="A4488" s="52"/>
      <c r="B4488" s="2"/>
      <c r="C4488" s="2"/>
      <c r="D4488" s="3"/>
      <c r="E4488" s="3"/>
      <c r="F4488" s="2"/>
      <c r="G4488" s="13">
        <f>IF($B4488="IN",$D4488,0)</f>
      </c>
      <c r="H4488" s="13">
        <f>IF($B4488="OUT",$D4488,0)</f>
      </c>
    </row>
    <row x14ac:dyDescent="0.25" r="4489" customHeight="1" ht="17.25">
      <c r="A4489" s="52"/>
      <c r="B4489" s="2"/>
      <c r="C4489" s="2"/>
      <c r="D4489" s="3"/>
      <c r="E4489" s="3"/>
      <c r="F4489" s="2"/>
      <c r="G4489" s="13">
        <f>IF($B4489="IN",$D4489,0)</f>
      </c>
      <c r="H4489" s="13">
        <f>IF($B4489="OUT",$D4489,0)</f>
      </c>
    </row>
    <row x14ac:dyDescent="0.25" r="4490" customHeight="1" ht="17.25">
      <c r="A4490" s="52"/>
      <c r="B4490" s="2"/>
      <c r="C4490" s="2"/>
      <c r="D4490" s="3"/>
      <c r="E4490" s="3"/>
      <c r="F4490" s="2"/>
      <c r="G4490" s="13">
        <f>IF($B4490="IN",$D4490,0)</f>
      </c>
      <c r="H4490" s="13">
        <f>IF($B4490="OUT",$D4490,0)</f>
      </c>
    </row>
    <row x14ac:dyDescent="0.25" r="4491" customHeight="1" ht="17.25">
      <c r="A4491" s="52"/>
      <c r="B4491" s="2"/>
      <c r="C4491" s="2"/>
      <c r="D4491" s="3"/>
      <c r="E4491" s="3"/>
      <c r="F4491" s="2"/>
      <c r="G4491" s="13">
        <f>IF($B4491="IN",$D4491,0)</f>
      </c>
      <c r="H4491" s="13">
        <f>IF($B4491="OUT",$D4491,0)</f>
      </c>
    </row>
    <row x14ac:dyDescent="0.25" r="4492" customHeight="1" ht="17.25">
      <c r="A4492" s="52"/>
      <c r="B4492" s="2"/>
      <c r="C4492" s="2"/>
      <c r="D4492" s="3"/>
      <c r="E4492" s="3"/>
      <c r="F4492" s="2"/>
      <c r="G4492" s="13">
        <f>IF($B4492="IN",$D4492,0)</f>
      </c>
      <c r="H4492" s="13">
        <f>IF($B4492="OUT",$D4492,0)</f>
      </c>
    </row>
    <row x14ac:dyDescent="0.25" r="4493" customHeight="1" ht="17.25">
      <c r="A4493" s="52"/>
      <c r="B4493" s="2"/>
      <c r="C4493" s="2"/>
      <c r="D4493" s="3"/>
      <c r="E4493" s="3"/>
      <c r="F4493" s="2"/>
      <c r="G4493" s="13">
        <f>IF($B4493="IN",$D4493,0)</f>
      </c>
      <c r="H4493" s="13">
        <f>IF($B4493="OUT",$D4493,0)</f>
      </c>
    </row>
    <row x14ac:dyDescent="0.25" r="4494" customHeight="1" ht="17.25">
      <c r="A4494" s="52"/>
      <c r="B4494" s="2"/>
      <c r="C4494" s="2"/>
      <c r="D4494" s="3"/>
      <c r="E4494" s="3"/>
      <c r="F4494" s="2"/>
      <c r="G4494" s="13">
        <f>IF($B4494="IN",$D4494,0)</f>
      </c>
      <c r="H4494" s="13">
        <f>IF($B4494="OUT",$D4494,0)</f>
      </c>
    </row>
    <row x14ac:dyDescent="0.25" r="4495" customHeight="1" ht="17.25">
      <c r="A4495" s="52"/>
      <c r="B4495" s="2"/>
      <c r="C4495" s="2"/>
      <c r="D4495" s="3"/>
      <c r="E4495" s="3"/>
      <c r="F4495" s="2"/>
      <c r="G4495" s="13">
        <f>IF($B4495="IN",$D4495,0)</f>
      </c>
      <c r="H4495" s="13">
        <f>IF($B4495="OUT",$D4495,0)</f>
      </c>
    </row>
    <row x14ac:dyDescent="0.25" r="4496" customHeight="1" ht="17.25">
      <c r="A4496" s="52"/>
      <c r="B4496" s="2"/>
      <c r="C4496" s="2"/>
      <c r="D4496" s="3"/>
      <c r="E4496" s="3"/>
      <c r="F4496" s="2"/>
      <c r="G4496" s="13">
        <f>IF($B4496="IN",$D4496,0)</f>
      </c>
      <c r="H4496" s="13">
        <f>IF($B4496="OUT",$D4496,0)</f>
      </c>
    </row>
    <row x14ac:dyDescent="0.25" r="4497" customHeight="1" ht="17.25">
      <c r="A4497" s="52"/>
      <c r="B4497" s="2"/>
      <c r="C4497" s="2"/>
      <c r="D4497" s="3"/>
      <c r="E4497" s="3"/>
      <c r="F4497" s="2"/>
      <c r="G4497" s="13">
        <f>IF($B4497="IN",$D4497,0)</f>
      </c>
      <c r="H4497" s="13">
        <f>IF($B4497="OUT",$D4497,0)</f>
      </c>
    </row>
    <row x14ac:dyDescent="0.25" r="4498" customHeight="1" ht="17.25">
      <c r="A4498" s="52"/>
      <c r="B4498" s="2"/>
      <c r="C4498" s="2"/>
      <c r="D4498" s="3"/>
      <c r="E4498" s="3"/>
      <c r="F4498" s="2"/>
      <c r="G4498" s="13">
        <f>IF($B4498="IN",$D4498,0)</f>
      </c>
      <c r="H4498" s="13">
        <f>IF($B4498="OUT",$D4498,0)</f>
      </c>
    </row>
    <row x14ac:dyDescent="0.25" r="4499" customHeight="1" ht="17.25">
      <c r="A4499" s="52"/>
      <c r="B4499" s="2"/>
      <c r="C4499" s="2"/>
      <c r="D4499" s="3"/>
      <c r="E4499" s="3"/>
      <c r="F4499" s="2"/>
      <c r="G4499" s="13">
        <f>IF($B4499="IN",$D4499,0)</f>
      </c>
      <c r="H4499" s="13">
        <f>IF($B4499="OUT",$D4499,0)</f>
      </c>
    </row>
    <row x14ac:dyDescent="0.25" r="4500" customHeight="1" ht="17.25">
      <c r="A4500" s="52"/>
      <c r="B4500" s="2"/>
      <c r="C4500" s="2"/>
      <c r="D4500" s="3"/>
      <c r="E4500" s="3"/>
      <c r="F4500" s="2"/>
      <c r="G4500" s="13">
        <f>IF($B4500="IN",$D4500,0)</f>
      </c>
      <c r="H4500" s="13">
        <f>IF($B4500="OUT",$D4500,0)</f>
      </c>
    </row>
    <row x14ac:dyDescent="0.25" r="4501" customHeight="1" ht="17.25">
      <c r="A4501" s="52"/>
      <c r="B4501" s="2"/>
      <c r="C4501" s="2"/>
      <c r="D4501" s="3"/>
      <c r="E4501" s="3"/>
      <c r="F4501" s="2"/>
      <c r="G4501" s="13">
        <f>IF($B4501="IN",$D4501,0)</f>
      </c>
      <c r="H4501" s="13">
        <f>IF($B4501="OUT",$D4501,0)</f>
      </c>
    </row>
    <row x14ac:dyDescent="0.25" r="4502" customHeight="1" ht="17.25">
      <c r="A4502" s="52"/>
      <c r="B4502" s="2"/>
      <c r="C4502" s="2"/>
      <c r="D4502" s="3"/>
      <c r="E4502" s="3"/>
      <c r="F4502" s="2"/>
      <c r="G4502" s="13">
        <f>IF($B4502="IN",$D4502,0)</f>
      </c>
      <c r="H4502" s="13">
        <f>IF($B4502="OUT",$D4502,0)</f>
      </c>
    </row>
    <row x14ac:dyDescent="0.25" r="4503" customHeight="1" ht="17.25">
      <c r="A4503" s="52"/>
      <c r="B4503" s="2"/>
      <c r="C4503" s="2"/>
      <c r="D4503" s="3"/>
      <c r="E4503" s="3"/>
      <c r="F4503" s="2"/>
      <c r="G4503" s="13">
        <f>IF($B4503="IN",$D4503,0)</f>
      </c>
      <c r="H4503" s="13">
        <f>IF($B4503="OUT",$D4503,0)</f>
      </c>
    </row>
    <row x14ac:dyDescent="0.25" r="4504" customHeight="1" ht="17.25">
      <c r="A4504" s="52"/>
      <c r="B4504" s="2"/>
      <c r="C4504" s="2"/>
      <c r="D4504" s="3"/>
      <c r="E4504" s="3"/>
      <c r="F4504" s="2"/>
      <c r="G4504" s="13">
        <f>IF($B4504="IN",$D4504,0)</f>
      </c>
      <c r="H4504" s="13">
        <f>IF($B4504="OUT",$D4504,0)</f>
      </c>
    </row>
    <row x14ac:dyDescent="0.25" r="4505" customHeight="1" ht="17.25">
      <c r="A4505" s="52"/>
      <c r="B4505" s="2"/>
      <c r="C4505" s="2"/>
      <c r="D4505" s="3"/>
      <c r="E4505" s="3"/>
      <c r="F4505" s="2"/>
      <c r="G4505" s="13">
        <f>IF($B4505="IN",$D4505,0)</f>
      </c>
      <c r="H4505" s="13">
        <f>IF($B4505="OUT",$D4505,0)</f>
      </c>
    </row>
    <row x14ac:dyDescent="0.25" r="4506" customHeight="1" ht="17.25">
      <c r="A4506" s="52"/>
      <c r="B4506" s="2"/>
      <c r="C4506" s="2"/>
      <c r="D4506" s="3"/>
      <c r="E4506" s="3"/>
      <c r="F4506" s="2"/>
      <c r="G4506" s="13">
        <f>IF($B4506="IN",$D4506,0)</f>
      </c>
      <c r="H4506" s="13">
        <f>IF($B4506="OUT",$D4506,0)</f>
      </c>
    </row>
    <row x14ac:dyDescent="0.25" r="4507" customHeight="1" ht="17.25">
      <c r="A4507" s="52"/>
      <c r="B4507" s="2"/>
      <c r="C4507" s="2"/>
      <c r="D4507" s="3"/>
      <c r="E4507" s="3"/>
      <c r="F4507" s="2"/>
      <c r="G4507" s="13">
        <f>IF($B4507="IN",$D4507,0)</f>
      </c>
      <c r="H4507" s="13">
        <f>IF($B4507="OUT",$D4507,0)</f>
      </c>
    </row>
    <row x14ac:dyDescent="0.25" r="4508" customHeight="1" ht="17.25">
      <c r="A4508" s="52"/>
      <c r="B4508" s="2"/>
      <c r="C4508" s="2"/>
      <c r="D4508" s="3"/>
      <c r="E4508" s="3"/>
      <c r="F4508" s="2"/>
      <c r="G4508" s="13">
        <f>IF($B4508="IN",$D4508,0)</f>
      </c>
      <c r="H4508" s="13">
        <f>IF($B4508="OUT",$D4508,0)</f>
      </c>
    </row>
    <row x14ac:dyDescent="0.25" r="4509" customHeight="1" ht="17.25">
      <c r="A4509" s="52"/>
      <c r="B4509" s="2"/>
      <c r="C4509" s="2"/>
      <c r="D4509" s="3"/>
      <c r="E4509" s="3"/>
      <c r="F4509" s="2"/>
      <c r="G4509" s="13">
        <f>IF($B4509="IN",$D4509,0)</f>
      </c>
      <c r="H4509" s="13">
        <f>IF($B4509="OUT",$D4509,0)</f>
      </c>
    </row>
    <row x14ac:dyDescent="0.25" r="4510" customHeight="1" ht="17.25">
      <c r="A4510" s="52"/>
      <c r="B4510" s="2"/>
      <c r="C4510" s="2"/>
      <c r="D4510" s="3"/>
      <c r="E4510" s="3"/>
      <c r="F4510" s="2"/>
      <c r="G4510" s="13">
        <f>IF($B4510="IN",$D4510,0)</f>
      </c>
      <c r="H4510" s="13">
        <f>IF($B4510="OUT",$D4510,0)</f>
      </c>
    </row>
    <row x14ac:dyDescent="0.25" r="4511" customHeight="1" ht="17.25">
      <c r="A4511" s="52"/>
      <c r="B4511" s="2"/>
      <c r="C4511" s="2"/>
      <c r="D4511" s="3"/>
      <c r="E4511" s="3"/>
      <c r="F4511" s="2"/>
      <c r="G4511" s="13">
        <f>IF($B4511="IN",$D4511,0)</f>
      </c>
      <c r="H4511" s="13">
        <f>IF($B4511="OUT",$D4511,0)</f>
      </c>
    </row>
    <row x14ac:dyDescent="0.25" r="4512" customHeight="1" ht="17.25">
      <c r="A4512" s="52"/>
      <c r="B4512" s="2"/>
      <c r="C4512" s="2"/>
      <c r="D4512" s="3"/>
      <c r="E4512" s="3"/>
      <c r="F4512" s="2"/>
      <c r="G4512" s="13">
        <f>IF($B4512="IN",$D4512,0)</f>
      </c>
      <c r="H4512" s="13">
        <f>IF($B4512="OUT",$D4512,0)</f>
      </c>
    </row>
    <row x14ac:dyDescent="0.25" r="4513" customHeight="1" ht="17.25">
      <c r="A4513" s="52"/>
      <c r="B4513" s="2"/>
      <c r="C4513" s="2"/>
      <c r="D4513" s="3"/>
      <c r="E4513" s="3"/>
      <c r="F4513" s="2"/>
      <c r="G4513" s="13">
        <f>IF($B4513="IN",$D4513,0)</f>
      </c>
      <c r="H4513" s="13">
        <f>IF($B4513="OUT",$D4513,0)</f>
      </c>
    </row>
    <row x14ac:dyDescent="0.25" r="4514" customHeight="1" ht="17.25">
      <c r="A4514" s="52"/>
      <c r="B4514" s="2"/>
      <c r="C4514" s="2"/>
      <c r="D4514" s="3"/>
      <c r="E4514" s="3"/>
      <c r="F4514" s="2"/>
      <c r="G4514" s="13">
        <f>IF($B4514="IN",$D4514,0)</f>
      </c>
      <c r="H4514" s="13">
        <f>IF($B4514="OUT",$D4514,0)</f>
      </c>
    </row>
    <row x14ac:dyDescent="0.25" r="4515" customHeight="1" ht="17.25">
      <c r="A4515" s="52"/>
      <c r="B4515" s="2"/>
      <c r="C4515" s="2"/>
      <c r="D4515" s="3"/>
      <c r="E4515" s="3"/>
      <c r="F4515" s="2"/>
      <c r="G4515" s="13">
        <f>IF($B4515="IN",$D4515,0)</f>
      </c>
      <c r="H4515" s="13">
        <f>IF($B4515="OUT",$D4515,0)</f>
      </c>
    </row>
    <row x14ac:dyDescent="0.25" r="4516" customHeight="1" ht="17.25">
      <c r="A4516" s="52"/>
      <c r="B4516" s="2"/>
      <c r="C4516" s="2"/>
      <c r="D4516" s="3"/>
      <c r="E4516" s="3"/>
      <c r="F4516" s="2"/>
      <c r="G4516" s="13">
        <f>IF($B4516="IN",$D4516,0)</f>
      </c>
      <c r="H4516" s="13">
        <f>IF($B4516="OUT",$D4516,0)</f>
      </c>
    </row>
    <row x14ac:dyDescent="0.25" r="4517" customHeight="1" ht="17.25">
      <c r="A4517" s="52"/>
      <c r="B4517" s="2"/>
      <c r="C4517" s="2"/>
      <c r="D4517" s="3"/>
      <c r="E4517" s="3"/>
      <c r="F4517" s="2"/>
      <c r="G4517" s="13">
        <f>IF($B4517="IN",$D4517,0)</f>
      </c>
      <c r="H4517" s="13">
        <f>IF($B4517="OUT",$D4517,0)</f>
      </c>
    </row>
    <row x14ac:dyDescent="0.25" r="4518" customHeight="1" ht="17.25">
      <c r="A4518" s="52"/>
      <c r="B4518" s="2"/>
      <c r="C4518" s="2"/>
      <c r="D4518" s="3"/>
      <c r="E4518" s="3"/>
      <c r="F4518" s="2"/>
      <c r="G4518" s="13">
        <f>IF($B4518="IN",$D4518,0)</f>
      </c>
      <c r="H4518" s="13">
        <f>IF($B4518="OUT",$D4518,0)</f>
      </c>
    </row>
    <row x14ac:dyDescent="0.25" r="4519" customHeight="1" ht="17.25">
      <c r="A4519" s="52"/>
      <c r="B4519" s="2"/>
      <c r="C4519" s="2"/>
      <c r="D4519" s="3"/>
      <c r="E4519" s="3"/>
      <c r="F4519" s="2"/>
      <c r="G4519" s="13">
        <f>IF($B4519="IN",$D4519,0)</f>
      </c>
      <c r="H4519" s="13">
        <f>IF($B4519="OUT",$D4519,0)</f>
      </c>
    </row>
    <row x14ac:dyDescent="0.25" r="4520" customHeight="1" ht="17.25">
      <c r="A4520" s="52"/>
      <c r="B4520" s="2"/>
      <c r="C4520" s="2"/>
      <c r="D4520" s="3"/>
      <c r="E4520" s="3"/>
      <c r="F4520" s="2"/>
      <c r="G4520" s="13">
        <f>IF($B4520="IN",$D4520,0)</f>
      </c>
      <c r="H4520" s="13">
        <f>IF($B4520="OUT",$D4520,0)</f>
      </c>
    </row>
    <row x14ac:dyDescent="0.25" r="4521" customHeight="1" ht="17.25">
      <c r="A4521" s="52"/>
      <c r="B4521" s="2"/>
      <c r="C4521" s="2"/>
      <c r="D4521" s="3"/>
      <c r="E4521" s="3"/>
      <c r="F4521" s="2"/>
      <c r="G4521" s="13">
        <f>IF($B4521="IN",$D4521,0)</f>
      </c>
      <c r="H4521" s="13">
        <f>IF($B4521="OUT",$D4521,0)</f>
      </c>
    </row>
    <row x14ac:dyDescent="0.25" r="4522" customHeight="1" ht="17.25">
      <c r="A4522" s="52"/>
      <c r="B4522" s="2"/>
      <c r="C4522" s="2"/>
      <c r="D4522" s="3"/>
      <c r="E4522" s="3"/>
      <c r="F4522" s="2"/>
      <c r="G4522" s="13">
        <f>IF($B4522="IN",$D4522,0)</f>
      </c>
      <c r="H4522" s="13">
        <f>IF($B4522="OUT",$D4522,0)</f>
      </c>
    </row>
    <row x14ac:dyDescent="0.25" r="4523" customHeight="1" ht="17.25">
      <c r="A4523" s="52"/>
      <c r="B4523" s="2"/>
      <c r="C4523" s="2"/>
      <c r="D4523" s="3"/>
      <c r="E4523" s="3"/>
      <c r="F4523" s="2"/>
      <c r="G4523" s="13">
        <f>IF($B4523="IN",$D4523,0)</f>
      </c>
      <c r="H4523" s="13">
        <f>IF($B4523="OUT",$D4523,0)</f>
      </c>
    </row>
    <row x14ac:dyDescent="0.25" r="4524" customHeight="1" ht="17.25">
      <c r="A4524" s="52"/>
      <c r="B4524" s="2"/>
      <c r="C4524" s="2"/>
      <c r="D4524" s="3"/>
      <c r="E4524" s="3"/>
      <c r="F4524" s="2"/>
      <c r="G4524" s="13">
        <f>IF($B4524="IN",$D4524,0)</f>
      </c>
      <c r="H4524" s="13">
        <f>IF($B4524="OUT",$D4524,0)</f>
      </c>
    </row>
    <row x14ac:dyDescent="0.25" r="4525" customHeight="1" ht="17.25">
      <c r="A4525" s="52"/>
      <c r="B4525" s="2"/>
      <c r="C4525" s="2"/>
      <c r="D4525" s="3"/>
      <c r="E4525" s="3"/>
      <c r="F4525" s="2"/>
      <c r="G4525" s="13">
        <f>IF($B4525="IN",$D4525,0)</f>
      </c>
      <c r="H4525" s="13">
        <f>IF($B4525="OUT",$D4525,0)</f>
      </c>
    </row>
    <row x14ac:dyDescent="0.25" r="4526" customHeight="1" ht="17.25">
      <c r="A4526" s="52"/>
      <c r="B4526" s="2"/>
      <c r="C4526" s="2"/>
      <c r="D4526" s="3"/>
      <c r="E4526" s="3"/>
      <c r="F4526" s="2"/>
      <c r="G4526" s="13">
        <f>IF($B4526="IN",$D4526,0)</f>
      </c>
      <c r="H4526" s="13">
        <f>IF($B4526="OUT",$D4526,0)</f>
      </c>
    </row>
    <row x14ac:dyDescent="0.25" r="4527" customHeight="1" ht="17.25">
      <c r="A4527" s="52"/>
      <c r="B4527" s="2"/>
      <c r="C4527" s="2"/>
      <c r="D4527" s="3"/>
      <c r="E4527" s="3"/>
      <c r="F4527" s="2"/>
      <c r="G4527" s="13">
        <f>IF($B4527="IN",$D4527,0)</f>
      </c>
      <c r="H4527" s="13">
        <f>IF($B4527="OUT",$D4527,0)</f>
      </c>
    </row>
    <row x14ac:dyDescent="0.25" r="4528" customHeight="1" ht="17.25">
      <c r="A4528" s="52"/>
      <c r="B4528" s="2"/>
      <c r="C4528" s="2"/>
      <c r="D4528" s="3"/>
      <c r="E4528" s="3"/>
      <c r="F4528" s="2"/>
      <c r="G4528" s="13">
        <f>IF($B4528="IN",$D4528,0)</f>
      </c>
      <c r="H4528" s="13">
        <f>IF($B4528="OUT",$D4528,0)</f>
      </c>
    </row>
    <row x14ac:dyDescent="0.25" r="4529" customHeight="1" ht="17.25">
      <c r="A4529" s="52"/>
      <c r="B4529" s="2"/>
      <c r="C4529" s="2"/>
      <c r="D4529" s="3"/>
      <c r="E4529" s="3"/>
      <c r="F4529" s="2"/>
      <c r="G4529" s="13">
        <f>IF($B4529="IN",$D4529,0)</f>
      </c>
      <c r="H4529" s="13">
        <f>IF($B4529="OUT",$D4529,0)</f>
      </c>
    </row>
    <row x14ac:dyDescent="0.25" r="4530" customHeight="1" ht="17.25">
      <c r="A4530" s="52"/>
      <c r="B4530" s="2"/>
      <c r="C4530" s="2"/>
      <c r="D4530" s="3"/>
      <c r="E4530" s="3"/>
      <c r="F4530" s="2"/>
      <c r="G4530" s="13">
        <f>IF($B4530="IN",$D4530,0)</f>
      </c>
      <c r="H4530" s="13">
        <f>IF($B4530="OUT",$D4530,0)</f>
      </c>
    </row>
    <row x14ac:dyDescent="0.25" r="4531" customHeight="1" ht="17.25">
      <c r="A4531" s="52"/>
      <c r="B4531" s="2"/>
      <c r="C4531" s="2"/>
      <c r="D4531" s="3"/>
      <c r="E4531" s="3"/>
      <c r="F4531" s="2"/>
      <c r="G4531" s="13">
        <f>IF($B4531="IN",$D4531,0)</f>
      </c>
      <c r="H4531" s="13">
        <f>IF($B4531="OUT",$D4531,0)</f>
      </c>
    </row>
    <row x14ac:dyDescent="0.25" r="4532" customHeight="1" ht="17.25">
      <c r="A4532" s="52"/>
      <c r="B4532" s="2"/>
      <c r="C4532" s="2"/>
      <c r="D4532" s="3"/>
      <c r="E4532" s="3"/>
      <c r="F4532" s="2"/>
      <c r="G4532" s="13">
        <f>IF($B4532="IN",$D4532,0)</f>
      </c>
      <c r="H4532" s="13">
        <f>IF($B4532="OUT",$D4532,0)</f>
      </c>
    </row>
    <row x14ac:dyDescent="0.25" r="4533" customHeight="1" ht="17.25">
      <c r="A4533" s="52"/>
      <c r="B4533" s="2"/>
      <c r="C4533" s="2"/>
      <c r="D4533" s="3"/>
      <c r="E4533" s="3"/>
      <c r="F4533" s="2"/>
      <c r="G4533" s="13">
        <f>IF($B4533="IN",$D4533,0)</f>
      </c>
      <c r="H4533" s="13">
        <f>IF($B4533="OUT",$D4533,0)</f>
      </c>
    </row>
    <row x14ac:dyDescent="0.25" r="4534" customHeight="1" ht="17.25">
      <c r="A4534" s="52"/>
      <c r="B4534" s="2"/>
      <c r="C4534" s="2"/>
      <c r="D4534" s="3"/>
      <c r="E4534" s="3"/>
      <c r="F4534" s="2"/>
      <c r="G4534" s="13">
        <f>IF($B4534="IN",$D4534,0)</f>
      </c>
      <c r="H4534" s="13">
        <f>IF($B4534="OUT",$D4534,0)</f>
      </c>
    </row>
    <row x14ac:dyDescent="0.25" r="4535" customHeight="1" ht="17.25">
      <c r="A4535" s="52"/>
      <c r="B4535" s="2"/>
      <c r="C4535" s="2"/>
      <c r="D4535" s="3"/>
      <c r="E4535" s="3"/>
      <c r="F4535" s="2"/>
      <c r="G4535" s="13">
        <f>IF($B4535="IN",$D4535,0)</f>
      </c>
      <c r="H4535" s="13">
        <f>IF($B4535="OUT",$D4535,0)</f>
      </c>
    </row>
    <row x14ac:dyDescent="0.25" r="4536" customHeight="1" ht="17.25">
      <c r="A4536" s="52"/>
      <c r="B4536" s="2"/>
      <c r="C4536" s="2"/>
      <c r="D4536" s="3"/>
      <c r="E4536" s="3"/>
      <c r="F4536" s="2"/>
      <c r="G4536" s="13">
        <f>IF($B4536="IN",$D4536,0)</f>
      </c>
      <c r="H4536" s="13">
        <f>IF($B4536="OUT",$D4536,0)</f>
      </c>
    </row>
    <row x14ac:dyDescent="0.25" r="4537" customHeight="1" ht="17.25">
      <c r="A4537" s="52"/>
      <c r="B4537" s="2"/>
      <c r="C4537" s="2"/>
      <c r="D4537" s="3"/>
      <c r="E4537" s="3"/>
      <c r="F4537" s="2"/>
      <c r="G4537" s="13">
        <f>IF($B4537="IN",$D4537,0)</f>
      </c>
      <c r="H4537" s="13">
        <f>IF($B4537="OUT",$D4537,0)</f>
      </c>
    </row>
    <row x14ac:dyDescent="0.25" r="4538" customHeight="1" ht="17.25">
      <c r="A4538" s="52"/>
      <c r="B4538" s="2"/>
      <c r="C4538" s="2"/>
      <c r="D4538" s="3"/>
      <c r="E4538" s="3"/>
      <c r="F4538" s="2"/>
      <c r="G4538" s="13">
        <f>IF($B4538="IN",$D4538,0)</f>
      </c>
      <c r="H4538" s="13">
        <f>IF($B4538="OUT",$D4538,0)</f>
      </c>
    </row>
    <row x14ac:dyDescent="0.25" r="4539" customHeight="1" ht="17.25">
      <c r="A4539" s="52"/>
      <c r="B4539" s="2"/>
      <c r="C4539" s="2"/>
      <c r="D4539" s="3"/>
      <c r="E4539" s="3"/>
      <c r="F4539" s="2"/>
      <c r="G4539" s="13">
        <f>IF($B4539="IN",$D4539,0)</f>
      </c>
      <c r="H4539" s="13">
        <f>IF($B4539="OUT",$D4539,0)</f>
      </c>
    </row>
    <row x14ac:dyDescent="0.25" r="4540" customHeight="1" ht="17.25">
      <c r="A4540" s="52"/>
      <c r="B4540" s="2"/>
      <c r="C4540" s="2"/>
      <c r="D4540" s="3"/>
      <c r="E4540" s="3"/>
      <c r="F4540" s="2"/>
      <c r="G4540" s="13">
        <f>IF($B4540="IN",$D4540,0)</f>
      </c>
      <c r="H4540" s="13">
        <f>IF($B4540="OUT",$D4540,0)</f>
      </c>
    </row>
    <row x14ac:dyDescent="0.25" r="4541" customHeight="1" ht="17.25">
      <c r="A4541" s="52"/>
      <c r="B4541" s="2"/>
      <c r="C4541" s="2"/>
      <c r="D4541" s="3"/>
      <c r="E4541" s="3"/>
      <c r="F4541" s="2"/>
      <c r="G4541" s="13">
        <f>IF($B4541="IN",$D4541,0)</f>
      </c>
      <c r="H4541" s="13">
        <f>IF($B4541="OUT",$D4541,0)</f>
      </c>
    </row>
    <row x14ac:dyDescent="0.25" r="4542" customHeight="1" ht="17.25">
      <c r="A4542" s="52"/>
      <c r="B4542" s="2"/>
      <c r="C4542" s="2"/>
      <c r="D4542" s="3"/>
      <c r="E4542" s="3"/>
      <c r="F4542" s="2"/>
      <c r="G4542" s="13">
        <f>IF($B4542="IN",$D4542,0)</f>
      </c>
      <c r="H4542" s="13">
        <f>IF($B4542="OUT",$D4542,0)</f>
      </c>
    </row>
    <row x14ac:dyDescent="0.25" r="4543" customHeight="1" ht="17.25">
      <c r="A4543" s="52"/>
      <c r="B4543" s="2"/>
      <c r="C4543" s="2"/>
      <c r="D4543" s="3"/>
      <c r="E4543" s="3"/>
      <c r="F4543" s="2"/>
      <c r="G4543" s="13">
        <f>IF($B4543="IN",$D4543,0)</f>
      </c>
      <c r="H4543" s="13">
        <f>IF($B4543="OUT",$D4543,0)</f>
      </c>
    </row>
    <row x14ac:dyDescent="0.25" r="4544" customHeight="1" ht="17.25">
      <c r="A4544" s="52"/>
      <c r="B4544" s="2"/>
      <c r="C4544" s="2"/>
      <c r="D4544" s="3"/>
      <c r="E4544" s="3"/>
      <c r="F4544" s="2"/>
      <c r="G4544" s="13">
        <f>IF($B4544="IN",$D4544,0)</f>
      </c>
      <c r="H4544" s="13">
        <f>IF($B4544="OUT",$D4544,0)</f>
      </c>
    </row>
    <row x14ac:dyDescent="0.25" r="4545" customHeight="1" ht="17.25">
      <c r="A4545" s="52"/>
      <c r="B4545" s="2"/>
      <c r="C4545" s="2"/>
      <c r="D4545" s="3"/>
      <c r="E4545" s="3"/>
      <c r="F4545" s="2"/>
      <c r="G4545" s="13">
        <f>IF($B4545="IN",$D4545,0)</f>
      </c>
      <c r="H4545" s="13">
        <f>IF($B4545="OUT",$D4545,0)</f>
      </c>
    </row>
    <row x14ac:dyDescent="0.25" r="4546" customHeight="1" ht="17.25">
      <c r="A4546" s="52"/>
      <c r="B4546" s="2"/>
      <c r="C4546" s="2"/>
      <c r="D4546" s="3"/>
      <c r="E4546" s="3"/>
      <c r="F4546" s="2"/>
      <c r="G4546" s="13">
        <f>IF($B4546="IN",$D4546,0)</f>
      </c>
      <c r="H4546" s="13">
        <f>IF($B4546="OUT",$D4546,0)</f>
      </c>
    </row>
    <row x14ac:dyDescent="0.25" r="4547" customHeight="1" ht="17.25">
      <c r="A4547" s="52"/>
      <c r="B4547" s="2"/>
      <c r="C4547" s="2"/>
      <c r="D4547" s="3"/>
      <c r="E4547" s="3"/>
      <c r="F4547" s="2"/>
      <c r="G4547" s="13">
        <f>IF($B4547="IN",$D4547,0)</f>
      </c>
      <c r="H4547" s="13">
        <f>IF($B4547="OUT",$D4547,0)</f>
      </c>
    </row>
    <row x14ac:dyDescent="0.25" r="4548" customHeight="1" ht="17.25">
      <c r="A4548" s="52"/>
      <c r="B4548" s="2"/>
      <c r="C4548" s="2"/>
      <c r="D4548" s="3"/>
      <c r="E4548" s="3"/>
      <c r="F4548" s="2"/>
      <c r="G4548" s="13">
        <f>IF($B4548="IN",$D4548,0)</f>
      </c>
      <c r="H4548" s="13">
        <f>IF($B4548="OUT",$D4548,0)</f>
      </c>
    </row>
    <row x14ac:dyDescent="0.25" r="4549" customHeight="1" ht="17.25">
      <c r="A4549" s="52"/>
      <c r="B4549" s="2"/>
      <c r="C4549" s="2"/>
      <c r="D4549" s="3"/>
      <c r="E4549" s="3"/>
      <c r="F4549" s="2"/>
      <c r="G4549" s="13">
        <f>IF($B4549="IN",$D4549,0)</f>
      </c>
      <c r="H4549" s="13">
        <f>IF($B4549="OUT",$D4549,0)</f>
      </c>
    </row>
    <row x14ac:dyDescent="0.25" r="4550" customHeight="1" ht="17.25">
      <c r="A4550" s="52"/>
      <c r="B4550" s="2"/>
      <c r="C4550" s="2"/>
      <c r="D4550" s="3"/>
      <c r="E4550" s="3"/>
      <c r="F4550" s="2"/>
      <c r="G4550" s="13">
        <f>IF($B4550="IN",$D4550,0)</f>
      </c>
      <c r="H4550" s="13">
        <f>IF($B4550="OUT",$D4550,0)</f>
      </c>
    </row>
    <row x14ac:dyDescent="0.25" r="4551" customHeight="1" ht="17.25">
      <c r="A4551" s="52"/>
      <c r="B4551" s="2"/>
      <c r="C4551" s="2"/>
      <c r="D4551" s="3"/>
      <c r="E4551" s="3"/>
      <c r="F4551" s="2"/>
      <c r="G4551" s="13">
        <f>IF($B4551="IN",$D4551,0)</f>
      </c>
      <c r="H4551" s="13">
        <f>IF($B4551="OUT",$D4551,0)</f>
      </c>
    </row>
    <row x14ac:dyDescent="0.25" r="4552" customHeight="1" ht="17.25">
      <c r="A4552" s="52"/>
      <c r="B4552" s="2"/>
      <c r="C4552" s="2"/>
      <c r="D4552" s="3"/>
      <c r="E4552" s="3"/>
      <c r="F4552" s="2"/>
      <c r="G4552" s="13">
        <f>IF($B4552="IN",$D4552,0)</f>
      </c>
      <c r="H4552" s="13">
        <f>IF($B4552="OUT",$D4552,0)</f>
      </c>
    </row>
    <row x14ac:dyDescent="0.25" r="4553" customHeight="1" ht="17.25">
      <c r="A4553" s="52"/>
      <c r="B4553" s="2"/>
      <c r="C4553" s="2"/>
      <c r="D4553" s="3"/>
      <c r="E4553" s="3"/>
      <c r="F4553" s="2"/>
      <c r="G4553" s="13">
        <f>IF($B4553="IN",$D4553,0)</f>
      </c>
      <c r="H4553" s="13">
        <f>IF($B4553="OUT",$D4553,0)</f>
      </c>
    </row>
    <row x14ac:dyDescent="0.25" r="4554" customHeight="1" ht="17.25">
      <c r="A4554" s="52"/>
      <c r="B4554" s="2"/>
      <c r="C4554" s="2"/>
      <c r="D4554" s="3"/>
      <c r="E4554" s="3"/>
      <c r="F4554" s="2"/>
      <c r="G4554" s="13">
        <f>IF($B4554="IN",$D4554,0)</f>
      </c>
      <c r="H4554" s="13">
        <f>IF($B4554="OUT",$D4554,0)</f>
      </c>
    </row>
    <row x14ac:dyDescent="0.25" r="4555" customHeight="1" ht="17.25">
      <c r="A4555" s="52"/>
      <c r="B4555" s="2"/>
      <c r="C4555" s="2"/>
      <c r="D4555" s="3"/>
      <c r="E4555" s="3"/>
      <c r="F4555" s="2"/>
      <c r="G4555" s="13">
        <f>IF($B4555="IN",$D4555,0)</f>
      </c>
      <c r="H4555" s="13">
        <f>IF($B4555="OUT",$D4555,0)</f>
      </c>
    </row>
    <row x14ac:dyDescent="0.25" r="4556" customHeight="1" ht="17.25">
      <c r="A4556" s="52"/>
      <c r="B4556" s="2"/>
      <c r="C4556" s="2"/>
      <c r="D4556" s="3"/>
      <c r="E4556" s="3"/>
      <c r="F4556" s="2"/>
      <c r="G4556" s="13">
        <f>IF($B4556="IN",$D4556,0)</f>
      </c>
      <c r="H4556" s="13">
        <f>IF($B4556="OUT",$D4556,0)</f>
      </c>
    </row>
    <row x14ac:dyDescent="0.25" r="4557" customHeight="1" ht="17.25">
      <c r="A4557" s="52"/>
      <c r="B4557" s="2"/>
      <c r="C4557" s="2"/>
      <c r="D4557" s="3"/>
      <c r="E4557" s="3"/>
      <c r="F4557" s="2"/>
      <c r="G4557" s="13">
        <f>IF($B4557="IN",$D4557,0)</f>
      </c>
      <c r="H4557" s="13">
        <f>IF($B4557="OUT",$D4557,0)</f>
      </c>
    </row>
    <row x14ac:dyDescent="0.25" r="4558" customHeight="1" ht="17.25">
      <c r="A4558" s="52"/>
      <c r="B4558" s="2"/>
      <c r="C4558" s="2"/>
      <c r="D4558" s="3"/>
      <c r="E4558" s="3"/>
      <c r="F4558" s="2"/>
      <c r="G4558" s="13">
        <f>IF($B4558="IN",$D4558,0)</f>
      </c>
      <c r="H4558" s="13">
        <f>IF($B4558="OUT",$D4558,0)</f>
      </c>
    </row>
    <row x14ac:dyDescent="0.25" r="4559" customHeight="1" ht="17.25">
      <c r="A4559" s="52"/>
      <c r="B4559" s="2"/>
      <c r="C4559" s="2"/>
      <c r="D4559" s="3"/>
      <c r="E4559" s="3"/>
      <c r="F4559" s="2"/>
      <c r="G4559" s="13">
        <f>IF($B4559="IN",$D4559,0)</f>
      </c>
      <c r="H4559" s="13">
        <f>IF($B4559="OUT",$D4559,0)</f>
      </c>
    </row>
    <row x14ac:dyDescent="0.25" r="4560" customHeight="1" ht="17.25">
      <c r="A4560" s="52"/>
      <c r="B4560" s="2"/>
      <c r="C4560" s="2"/>
      <c r="D4560" s="3"/>
      <c r="E4560" s="3"/>
      <c r="F4560" s="2"/>
      <c r="G4560" s="13">
        <f>IF($B4560="IN",$D4560,0)</f>
      </c>
      <c r="H4560" s="13">
        <f>IF($B4560="OUT",$D4560,0)</f>
      </c>
    </row>
    <row x14ac:dyDescent="0.25" r="4561" customHeight="1" ht="17.25">
      <c r="A4561" s="52"/>
      <c r="B4561" s="2"/>
      <c r="C4561" s="2"/>
      <c r="D4561" s="3"/>
      <c r="E4561" s="3"/>
      <c r="F4561" s="2"/>
      <c r="G4561" s="13">
        <f>IF($B4561="IN",$D4561,0)</f>
      </c>
      <c r="H4561" s="13">
        <f>IF($B4561="OUT",$D4561,0)</f>
      </c>
    </row>
    <row x14ac:dyDescent="0.25" r="4562" customHeight="1" ht="17.25">
      <c r="A4562" s="52"/>
      <c r="B4562" s="2"/>
      <c r="C4562" s="2"/>
      <c r="D4562" s="3"/>
      <c r="E4562" s="3"/>
      <c r="F4562" s="2"/>
      <c r="G4562" s="13">
        <f>IF($B4562="IN",$D4562,0)</f>
      </c>
      <c r="H4562" s="13">
        <f>IF($B4562="OUT",$D4562,0)</f>
      </c>
    </row>
    <row x14ac:dyDescent="0.25" r="4563" customHeight="1" ht="17.25">
      <c r="A4563" s="52"/>
      <c r="B4563" s="2"/>
      <c r="C4563" s="2"/>
      <c r="D4563" s="3"/>
      <c r="E4563" s="3"/>
      <c r="F4563" s="2"/>
      <c r="G4563" s="13">
        <f>IF($B4563="IN",$D4563,0)</f>
      </c>
      <c r="H4563" s="13">
        <f>IF($B4563="OUT",$D4563,0)</f>
      </c>
    </row>
    <row x14ac:dyDescent="0.25" r="4564" customHeight="1" ht="17.25">
      <c r="A4564" s="52"/>
      <c r="B4564" s="2"/>
      <c r="C4564" s="2"/>
      <c r="D4564" s="3"/>
      <c r="E4564" s="3"/>
      <c r="F4564" s="2"/>
      <c r="G4564" s="13">
        <f>IF($B4564="IN",$D4564,0)</f>
      </c>
      <c r="H4564" s="13">
        <f>IF($B4564="OUT",$D4564,0)</f>
      </c>
    </row>
    <row x14ac:dyDescent="0.25" r="4565" customHeight="1" ht="17.25">
      <c r="A4565" s="52"/>
      <c r="B4565" s="2"/>
      <c r="C4565" s="2"/>
      <c r="D4565" s="3"/>
      <c r="E4565" s="3"/>
      <c r="F4565" s="2"/>
      <c r="G4565" s="13">
        <f>IF($B4565="IN",$D4565,0)</f>
      </c>
      <c r="H4565" s="13">
        <f>IF($B4565="OUT",$D4565,0)</f>
      </c>
    </row>
    <row x14ac:dyDescent="0.25" r="4566" customHeight="1" ht="17.25">
      <c r="A4566" s="52"/>
      <c r="B4566" s="2"/>
      <c r="C4566" s="2"/>
      <c r="D4566" s="3"/>
      <c r="E4566" s="3"/>
      <c r="F4566" s="2"/>
      <c r="G4566" s="13">
        <f>IF($B4566="IN",$D4566,0)</f>
      </c>
      <c r="H4566" s="13">
        <f>IF($B4566="OUT",$D4566,0)</f>
      </c>
    </row>
    <row x14ac:dyDescent="0.25" r="4567" customHeight="1" ht="17.25">
      <c r="A4567" s="52"/>
      <c r="B4567" s="2"/>
      <c r="C4567" s="2"/>
      <c r="D4567" s="3"/>
      <c r="E4567" s="3"/>
      <c r="F4567" s="2"/>
      <c r="G4567" s="13">
        <f>IF($B4567="IN",$D4567,0)</f>
      </c>
      <c r="H4567" s="13">
        <f>IF($B4567="OUT",$D4567,0)</f>
      </c>
    </row>
    <row x14ac:dyDescent="0.25" r="4568" customHeight="1" ht="17.25">
      <c r="A4568" s="52"/>
      <c r="B4568" s="2"/>
      <c r="C4568" s="2"/>
      <c r="D4568" s="3"/>
      <c r="E4568" s="3"/>
      <c r="F4568" s="2"/>
      <c r="G4568" s="13">
        <f>IF($B4568="IN",$D4568,0)</f>
      </c>
      <c r="H4568" s="13">
        <f>IF($B4568="OUT",$D4568,0)</f>
      </c>
    </row>
    <row x14ac:dyDescent="0.25" r="4569" customHeight="1" ht="17.25">
      <c r="A4569" s="52"/>
      <c r="B4569" s="2"/>
      <c r="C4569" s="2"/>
      <c r="D4569" s="3"/>
      <c r="E4569" s="3"/>
      <c r="F4569" s="2"/>
      <c r="G4569" s="13">
        <f>IF($B4569="IN",$D4569,0)</f>
      </c>
      <c r="H4569" s="13">
        <f>IF($B4569="OUT",$D4569,0)</f>
      </c>
    </row>
    <row x14ac:dyDescent="0.25" r="4570" customHeight="1" ht="17.25">
      <c r="A4570" s="52"/>
      <c r="B4570" s="2"/>
      <c r="C4570" s="2"/>
      <c r="D4570" s="3"/>
      <c r="E4570" s="3"/>
      <c r="F4570" s="2"/>
      <c r="G4570" s="13">
        <f>IF($B4570="IN",$D4570,0)</f>
      </c>
      <c r="H4570" s="13">
        <f>IF($B4570="OUT",$D4570,0)</f>
      </c>
    </row>
    <row x14ac:dyDescent="0.25" r="4571" customHeight="1" ht="17.25">
      <c r="A4571" s="52"/>
      <c r="B4571" s="2"/>
      <c r="C4571" s="2"/>
      <c r="D4571" s="3"/>
      <c r="E4571" s="3"/>
      <c r="F4571" s="2"/>
      <c r="G4571" s="13">
        <f>IF($B4571="IN",$D4571,0)</f>
      </c>
      <c r="H4571" s="13">
        <f>IF($B4571="OUT",$D4571,0)</f>
      </c>
    </row>
    <row x14ac:dyDescent="0.25" r="4572" customHeight="1" ht="17.25">
      <c r="A4572" s="52"/>
      <c r="B4572" s="2"/>
      <c r="C4572" s="2"/>
      <c r="D4572" s="3"/>
      <c r="E4572" s="3"/>
      <c r="F4572" s="2"/>
      <c r="G4572" s="13">
        <f>IF($B4572="IN",$D4572,0)</f>
      </c>
      <c r="H4572" s="13">
        <f>IF($B4572="OUT",$D4572,0)</f>
      </c>
    </row>
    <row x14ac:dyDescent="0.25" r="4573" customHeight="1" ht="17.25">
      <c r="A4573" s="52"/>
      <c r="B4573" s="2"/>
      <c r="C4573" s="2"/>
      <c r="D4573" s="3"/>
      <c r="E4573" s="3"/>
      <c r="F4573" s="2"/>
      <c r="G4573" s="13">
        <f>IF($B4573="IN",$D4573,0)</f>
      </c>
      <c r="H4573" s="13">
        <f>IF($B4573="OUT",$D4573,0)</f>
      </c>
    </row>
    <row x14ac:dyDescent="0.25" r="4574" customHeight="1" ht="17.25">
      <c r="A4574" s="52"/>
      <c r="B4574" s="2"/>
      <c r="C4574" s="2"/>
      <c r="D4574" s="3"/>
      <c r="E4574" s="3"/>
      <c r="F4574" s="2"/>
      <c r="G4574" s="13">
        <f>IF($B4574="IN",$D4574,0)</f>
      </c>
      <c r="H4574" s="13">
        <f>IF($B4574="OUT",$D4574,0)</f>
      </c>
    </row>
    <row x14ac:dyDescent="0.25" r="4575" customHeight="1" ht="17.25">
      <c r="A4575" s="52"/>
      <c r="B4575" s="2"/>
      <c r="C4575" s="2"/>
      <c r="D4575" s="3"/>
      <c r="E4575" s="3"/>
      <c r="F4575" s="2"/>
      <c r="G4575" s="13">
        <f>IF($B4575="IN",$D4575,0)</f>
      </c>
      <c r="H4575" s="13">
        <f>IF($B4575="OUT",$D4575,0)</f>
      </c>
    </row>
    <row x14ac:dyDescent="0.25" r="4576" customHeight="1" ht="17.25">
      <c r="A4576" s="52"/>
      <c r="B4576" s="2"/>
      <c r="C4576" s="2"/>
      <c r="D4576" s="3"/>
      <c r="E4576" s="3"/>
      <c r="F4576" s="2"/>
      <c r="G4576" s="13">
        <f>IF($B4576="IN",$D4576,0)</f>
      </c>
      <c r="H4576" s="13">
        <f>IF($B4576="OUT",$D4576,0)</f>
      </c>
    </row>
    <row x14ac:dyDescent="0.25" r="4577" customHeight="1" ht="17.25">
      <c r="A4577" s="52"/>
      <c r="B4577" s="2"/>
      <c r="C4577" s="2"/>
      <c r="D4577" s="3"/>
      <c r="E4577" s="3"/>
      <c r="F4577" s="2"/>
      <c r="G4577" s="13">
        <f>IF($B4577="IN",$D4577,0)</f>
      </c>
      <c r="H4577" s="13">
        <f>IF($B4577="OUT",$D4577,0)</f>
      </c>
    </row>
    <row x14ac:dyDescent="0.25" r="4578" customHeight="1" ht="17.25">
      <c r="A4578" s="52"/>
      <c r="B4578" s="2"/>
      <c r="C4578" s="2"/>
      <c r="D4578" s="3"/>
      <c r="E4578" s="3"/>
      <c r="F4578" s="2"/>
      <c r="G4578" s="13">
        <f>IF($B4578="IN",$D4578,0)</f>
      </c>
      <c r="H4578" s="13">
        <f>IF($B4578="OUT",$D4578,0)</f>
      </c>
    </row>
    <row x14ac:dyDescent="0.25" r="4579" customHeight="1" ht="17.25">
      <c r="A4579" s="52"/>
      <c r="B4579" s="2"/>
      <c r="C4579" s="2"/>
      <c r="D4579" s="3"/>
      <c r="E4579" s="3"/>
      <c r="F4579" s="2"/>
      <c r="G4579" s="13">
        <f>IF($B4579="IN",$D4579,0)</f>
      </c>
      <c r="H4579" s="13">
        <f>IF($B4579="OUT",$D4579,0)</f>
      </c>
    </row>
    <row x14ac:dyDescent="0.25" r="4580" customHeight="1" ht="17.25">
      <c r="A4580" s="52"/>
      <c r="B4580" s="2"/>
      <c r="C4580" s="2"/>
      <c r="D4580" s="3"/>
      <c r="E4580" s="3"/>
      <c r="F4580" s="2"/>
      <c r="G4580" s="13">
        <f>IF($B4580="IN",$D4580,0)</f>
      </c>
      <c r="H4580" s="13">
        <f>IF($B4580="OUT",$D4580,0)</f>
      </c>
    </row>
    <row x14ac:dyDescent="0.25" r="4581" customHeight="1" ht="17.25">
      <c r="A4581" s="52"/>
      <c r="B4581" s="2"/>
      <c r="C4581" s="2"/>
      <c r="D4581" s="3"/>
      <c r="E4581" s="3"/>
      <c r="F4581" s="2"/>
      <c r="G4581" s="13">
        <f>IF($B4581="IN",$D4581,0)</f>
      </c>
      <c r="H4581" s="13">
        <f>IF($B4581="OUT",$D4581,0)</f>
      </c>
    </row>
    <row x14ac:dyDescent="0.25" r="4582" customHeight="1" ht="17.25">
      <c r="A4582" s="52"/>
      <c r="B4582" s="2"/>
      <c r="C4582" s="2"/>
      <c r="D4582" s="3"/>
      <c r="E4582" s="3"/>
      <c r="F4582" s="2"/>
      <c r="G4582" s="13">
        <f>IF($B4582="IN",$D4582,0)</f>
      </c>
      <c r="H4582" s="13">
        <f>IF($B4582="OUT",$D4582,0)</f>
      </c>
    </row>
    <row x14ac:dyDescent="0.25" r="4583" customHeight="1" ht="17.25">
      <c r="A4583" s="52"/>
      <c r="B4583" s="2"/>
      <c r="C4583" s="2"/>
      <c r="D4583" s="3"/>
      <c r="E4583" s="3"/>
      <c r="F4583" s="2"/>
      <c r="G4583" s="13">
        <f>IF($B4583="IN",$D4583,0)</f>
      </c>
      <c r="H4583" s="13">
        <f>IF($B4583="OUT",$D4583,0)</f>
      </c>
    </row>
    <row x14ac:dyDescent="0.25" r="4584" customHeight="1" ht="17.25">
      <c r="A4584" s="52"/>
      <c r="B4584" s="2"/>
      <c r="C4584" s="2"/>
      <c r="D4584" s="3"/>
      <c r="E4584" s="3"/>
      <c r="F4584" s="2"/>
      <c r="G4584" s="13">
        <f>IF($B4584="IN",$D4584,0)</f>
      </c>
      <c r="H4584" s="13">
        <f>IF($B4584="OUT",$D4584,0)</f>
      </c>
    </row>
    <row x14ac:dyDescent="0.25" r="4585" customHeight="1" ht="17.25">
      <c r="A4585" s="52"/>
      <c r="B4585" s="2"/>
      <c r="C4585" s="2"/>
      <c r="D4585" s="3"/>
      <c r="E4585" s="3"/>
      <c r="F4585" s="2"/>
      <c r="G4585" s="13">
        <f>IF($B4585="IN",$D4585,0)</f>
      </c>
      <c r="H4585" s="13">
        <f>IF($B4585="OUT",$D4585,0)</f>
      </c>
    </row>
    <row x14ac:dyDescent="0.25" r="4586" customHeight="1" ht="17.25">
      <c r="A4586" s="52"/>
      <c r="B4586" s="2"/>
      <c r="C4586" s="2"/>
      <c r="D4586" s="3"/>
      <c r="E4586" s="3"/>
      <c r="F4586" s="2"/>
      <c r="G4586" s="13">
        <f>IF($B4586="IN",$D4586,0)</f>
      </c>
      <c r="H4586" s="13">
        <f>IF($B4586="OUT",$D4586,0)</f>
      </c>
    </row>
    <row x14ac:dyDescent="0.25" r="4587" customHeight="1" ht="17.25">
      <c r="A4587" s="52"/>
      <c r="B4587" s="2"/>
      <c r="C4587" s="2"/>
      <c r="D4587" s="3"/>
      <c r="E4587" s="3"/>
      <c r="F4587" s="2"/>
      <c r="G4587" s="13">
        <f>IF($B4587="IN",$D4587,0)</f>
      </c>
      <c r="H4587" s="13">
        <f>IF($B4587="OUT",$D4587,0)</f>
      </c>
    </row>
    <row x14ac:dyDescent="0.25" r="4588" customHeight="1" ht="17.25">
      <c r="A4588" s="52"/>
      <c r="B4588" s="2"/>
      <c r="C4588" s="2"/>
      <c r="D4588" s="3"/>
      <c r="E4588" s="3"/>
      <c r="F4588" s="2"/>
      <c r="G4588" s="13">
        <f>IF($B4588="IN",$D4588,0)</f>
      </c>
      <c r="H4588" s="13">
        <f>IF($B4588="OUT",$D4588,0)</f>
      </c>
    </row>
    <row x14ac:dyDescent="0.25" r="4589" customHeight="1" ht="17.25">
      <c r="A4589" s="52"/>
      <c r="B4589" s="2"/>
      <c r="C4589" s="2"/>
      <c r="D4589" s="3"/>
      <c r="E4589" s="3"/>
      <c r="F4589" s="2"/>
      <c r="G4589" s="13">
        <f>IF($B4589="IN",$D4589,0)</f>
      </c>
      <c r="H4589" s="13">
        <f>IF($B4589="OUT",$D4589,0)</f>
      </c>
    </row>
    <row x14ac:dyDescent="0.25" r="4590" customHeight="1" ht="17.25">
      <c r="A4590" s="52"/>
      <c r="B4590" s="2"/>
      <c r="C4590" s="2"/>
      <c r="D4590" s="3"/>
      <c r="E4590" s="3"/>
      <c r="F4590" s="2"/>
      <c r="G4590" s="13">
        <f>IF($B4590="IN",$D4590,0)</f>
      </c>
      <c r="H4590" s="13">
        <f>IF($B4590="OUT",$D4590,0)</f>
      </c>
    </row>
    <row x14ac:dyDescent="0.25" r="4591" customHeight="1" ht="17.25">
      <c r="A4591" s="52"/>
      <c r="B4591" s="2"/>
      <c r="C4591" s="2"/>
      <c r="D4591" s="3"/>
      <c r="E4591" s="3"/>
      <c r="F4591" s="2"/>
      <c r="G4591" s="13">
        <f>IF($B4591="IN",$D4591,0)</f>
      </c>
      <c r="H4591" s="13">
        <f>IF($B4591="OUT",$D4591,0)</f>
      </c>
    </row>
    <row x14ac:dyDescent="0.25" r="4592" customHeight="1" ht="17.25">
      <c r="A4592" s="52"/>
      <c r="B4592" s="2"/>
      <c r="C4592" s="2"/>
      <c r="D4592" s="3"/>
      <c r="E4592" s="3"/>
      <c r="F4592" s="2"/>
      <c r="G4592" s="13">
        <f>IF($B4592="IN",$D4592,0)</f>
      </c>
      <c r="H4592" s="13">
        <f>IF($B4592="OUT",$D4592,0)</f>
      </c>
    </row>
    <row x14ac:dyDescent="0.25" r="4593" customHeight="1" ht="17.25">
      <c r="A4593" s="52"/>
      <c r="B4593" s="2"/>
      <c r="C4593" s="2"/>
      <c r="D4593" s="3"/>
      <c r="E4593" s="3"/>
      <c r="F4593" s="2"/>
      <c r="G4593" s="13">
        <f>IF($B4593="IN",$D4593,0)</f>
      </c>
      <c r="H4593" s="13">
        <f>IF($B4593="OUT",$D4593,0)</f>
      </c>
    </row>
    <row x14ac:dyDescent="0.25" r="4594" customHeight="1" ht="17.25">
      <c r="A4594" s="52"/>
      <c r="B4594" s="2"/>
      <c r="C4594" s="2"/>
      <c r="D4594" s="3"/>
      <c r="E4594" s="3"/>
      <c r="F4594" s="2"/>
      <c r="G4594" s="13">
        <f>IF($B4594="IN",$D4594,0)</f>
      </c>
      <c r="H4594" s="13">
        <f>IF($B4594="OUT",$D4594,0)</f>
      </c>
    </row>
    <row x14ac:dyDescent="0.25" r="4595" customHeight="1" ht="17.25">
      <c r="A4595" s="52"/>
      <c r="B4595" s="2"/>
      <c r="C4595" s="2"/>
      <c r="D4595" s="3"/>
      <c r="E4595" s="3"/>
      <c r="F4595" s="2"/>
      <c r="G4595" s="13">
        <f>IF($B4595="IN",$D4595,0)</f>
      </c>
      <c r="H4595" s="13">
        <f>IF($B4595="OUT",$D4595,0)</f>
      </c>
    </row>
    <row x14ac:dyDescent="0.25" r="4596" customHeight="1" ht="17.25">
      <c r="A4596" s="52"/>
      <c r="B4596" s="2"/>
      <c r="C4596" s="2"/>
      <c r="D4596" s="3"/>
      <c r="E4596" s="3"/>
      <c r="F4596" s="2"/>
      <c r="G4596" s="13">
        <f>IF($B4596="IN",$D4596,0)</f>
      </c>
      <c r="H4596" s="13">
        <f>IF($B4596="OUT",$D4596,0)</f>
      </c>
    </row>
    <row x14ac:dyDescent="0.25" r="4597" customHeight="1" ht="17.25">
      <c r="A4597" s="52"/>
      <c r="B4597" s="2"/>
      <c r="C4597" s="2"/>
      <c r="D4597" s="3"/>
      <c r="E4597" s="3"/>
      <c r="F4597" s="2"/>
      <c r="G4597" s="13">
        <f>IF($B4597="IN",$D4597,0)</f>
      </c>
      <c r="H4597" s="13">
        <f>IF($B4597="OUT",$D4597,0)</f>
      </c>
    </row>
    <row x14ac:dyDescent="0.25" r="4598" customHeight="1" ht="17.25">
      <c r="A4598" s="52"/>
      <c r="B4598" s="2"/>
      <c r="C4598" s="2"/>
      <c r="D4598" s="3"/>
      <c r="E4598" s="3"/>
      <c r="F4598" s="2"/>
      <c r="G4598" s="13">
        <f>IF($B4598="IN",$D4598,0)</f>
      </c>
      <c r="H4598" s="13">
        <f>IF($B4598="OUT",$D4598,0)</f>
      </c>
    </row>
    <row x14ac:dyDescent="0.25" r="4599" customHeight="1" ht="17.25">
      <c r="A4599" s="52"/>
      <c r="B4599" s="2"/>
      <c r="C4599" s="2"/>
      <c r="D4599" s="3"/>
      <c r="E4599" s="3"/>
      <c r="F4599" s="2"/>
      <c r="G4599" s="13">
        <f>IF($B4599="IN",$D4599,0)</f>
      </c>
      <c r="H4599" s="13">
        <f>IF($B4599="OUT",$D4599,0)</f>
      </c>
    </row>
    <row x14ac:dyDescent="0.25" r="4600" customHeight="1" ht="17.25">
      <c r="A4600" s="52"/>
      <c r="B4600" s="2"/>
      <c r="C4600" s="2"/>
      <c r="D4600" s="3"/>
      <c r="E4600" s="3"/>
      <c r="F4600" s="2"/>
      <c r="G4600" s="13">
        <f>IF($B4600="IN",$D4600,0)</f>
      </c>
      <c r="H4600" s="13">
        <f>IF($B4600="OUT",$D4600,0)</f>
      </c>
    </row>
    <row x14ac:dyDescent="0.25" r="4601" customHeight="1" ht="17.25">
      <c r="A4601" s="52"/>
      <c r="B4601" s="2"/>
      <c r="C4601" s="2"/>
      <c r="D4601" s="3"/>
      <c r="E4601" s="3"/>
      <c r="F4601" s="2"/>
      <c r="G4601" s="13">
        <f>IF($B4601="IN",$D4601,0)</f>
      </c>
      <c r="H4601" s="13">
        <f>IF($B4601="OUT",$D4601,0)</f>
      </c>
    </row>
    <row x14ac:dyDescent="0.25" r="4602" customHeight="1" ht="17.25">
      <c r="A4602" s="52"/>
      <c r="B4602" s="2"/>
      <c r="C4602" s="2"/>
      <c r="D4602" s="3"/>
      <c r="E4602" s="3"/>
      <c r="F4602" s="2"/>
      <c r="G4602" s="13">
        <f>IF($B4602="IN",$D4602,0)</f>
      </c>
      <c r="H4602" s="13">
        <f>IF($B4602="OUT",$D4602,0)</f>
      </c>
    </row>
    <row x14ac:dyDescent="0.25" r="4603" customHeight="1" ht="17.25">
      <c r="A4603" s="52"/>
      <c r="B4603" s="2"/>
      <c r="C4603" s="2"/>
      <c r="D4603" s="3"/>
      <c r="E4603" s="3"/>
      <c r="F4603" s="2"/>
      <c r="G4603" s="13">
        <f>IF($B4603="IN",$D4603,0)</f>
      </c>
      <c r="H4603" s="13">
        <f>IF($B4603="OUT",$D4603,0)</f>
      </c>
    </row>
    <row x14ac:dyDescent="0.25" r="4604" customHeight="1" ht="17.25">
      <c r="A4604" s="52"/>
      <c r="B4604" s="2"/>
      <c r="C4604" s="2"/>
      <c r="D4604" s="3"/>
      <c r="E4604" s="3"/>
      <c r="F4604" s="2"/>
      <c r="G4604" s="13">
        <f>IF($B4604="IN",$D4604,0)</f>
      </c>
      <c r="H4604" s="13">
        <f>IF($B4604="OUT",$D4604,0)</f>
      </c>
    </row>
    <row x14ac:dyDescent="0.25" r="4605" customHeight="1" ht="17.25">
      <c r="A4605" s="52"/>
      <c r="B4605" s="2"/>
      <c r="C4605" s="2"/>
      <c r="D4605" s="3"/>
      <c r="E4605" s="3"/>
      <c r="F4605" s="2"/>
      <c r="G4605" s="13">
        <f>IF($B4605="IN",$D4605,0)</f>
      </c>
      <c r="H4605" s="13">
        <f>IF($B4605="OUT",$D4605,0)</f>
      </c>
    </row>
    <row x14ac:dyDescent="0.25" r="4606" customHeight="1" ht="17.25">
      <c r="A4606" s="52"/>
      <c r="B4606" s="2"/>
      <c r="C4606" s="2"/>
      <c r="D4606" s="3"/>
      <c r="E4606" s="3"/>
      <c r="F4606" s="2"/>
      <c r="G4606" s="13">
        <f>IF($B4606="IN",$D4606,0)</f>
      </c>
      <c r="H4606" s="13">
        <f>IF($B4606="OUT",$D4606,0)</f>
      </c>
    </row>
    <row x14ac:dyDescent="0.25" r="4607" customHeight="1" ht="17.25">
      <c r="A4607" s="52"/>
      <c r="B4607" s="2"/>
      <c r="C4607" s="2"/>
      <c r="D4607" s="3"/>
      <c r="E4607" s="3"/>
      <c r="F4607" s="2"/>
      <c r="G4607" s="13">
        <f>IF($B4607="IN",$D4607,0)</f>
      </c>
      <c r="H4607" s="13">
        <f>IF($B4607="OUT",$D4607,0)</f>
      </c>
    </row>
    <row x14ac:dyDescent="0.25" r="4608" customHeight="1" ht="17.25">
      <c r="A4608" s="52"/>
      <c r="B4608" s="2"/>
      <c r="C4608" s="2"/>
      <c r="D4608" s="3"/>
      <c r="E4608" s="3"/>
      <c r="F4608" s="2"/>
      <c r="G4608" s="13">
        <f>IF($B4608="IN",$D4608,0)</f>
      </c>
      <c r="H4608" s="13">
        <f>IF($B4608="OUT",$D4608,0)</f>
      </c>
    </row>
    <row x14ac:dyDescent="0.25" r="4609" customHeight="1" ht="17.25">
      <c r="A4609" s="52"/>
      <c r="B4609" s="2"/>
      <c r="C4609" s="2"/>
      <c r="D4609" s="3"/>
      <c r="E4609" s="3"/>
      <c r="F4609" s="2"/>
      <c r="G4609" s="13">
        <f>IF($B4609="IN",$D4609,0)</f>
      </c>
      <c r="H4609" s="13">
        <f>IF($B4609="OUT",$D4609,0)</f>
      </c>
    </row>
    <row x14ac:dyDescent="0.25" r="4610" customHeight="1" ht="17.25">
      <c r="A4610" s="52"/>
      <c r="B4610" s="2"/>
      <c r="C4610" s="2"/>
      <c r="D4610" s="3"/>
      <c r="E4610" s="3"/>
      <c r="F4610" s="2"/>
      <c r="G4610" s="13">
        <f>IF($B4610="IN",$D4610,0)</f>
      </c>
      <c r="H4610" s="13">
        <f>IF($B4610="OUT",$D4610,0)</f>
      </c>
    </row>
    <row x14ac:dyDescent="0.25" r="4611" customHeight="1" ht="17.25">
      <c r="A4611" s="52"/>
      <c r="B4611" s="2"/>
      <c r="C4611" s="2"/>
      <c r="D4611" s="3"/>
      <c r="E4611" s="3"/>
      <c r="F4611" s="2"/>
      <c r="G4611" s="13">
        <f>IF($B4611="IN",$D4611,0)</f>
      </c>
      <c r="H4611" s="13">
        <f>IF($B4611="OUT",$D4611,0)</f>
      </c>
    </row>
    <row x14ac:dyDescent="0.25" r="4612" customHeight="1" ht="17.25">
      <c r="A4612" s="52"/>
      <c r="B4612" s="2"/>
      <c r="C4612" s="2"/>
      <c r="D4612" s="3"/>
      <c r="E4612" s="3"/>
      <c r="F4612" s="2"/>
      <c r="G4612" s="13">
        <f>IF($B4612="IN",$D4612,0)</f>
      </c>
      <c r="H4612" s="13">
        <f>IF($B4612="OUT",$D4612,0)</f>
      </c>
    </row>
    <row x14ac:dyDescent="0.25" r="4613" customHeight="1" ht="17.25">
      <c r="A4613" s="52"/>
      <c r="B4613" s="2"/>
      <c r="C4613" s="2"/>
      <c r="D4613" s="3"/>
      <c r="E4613" s="3"/>
      <c r="F4613" s="2"/>
      <c r="G4613" s="13">
        <f>IF($B4613="IN",$D4613,0)</f>
      </c>
      <c r="H4613" s="13">
        <f>IF($B4613="OUT",$D4613,0)</f>
      </c>
    </row>
    <row x14ac:dyDescent="0.25" r="4614" customHeight="1" ht="17.25">
      <c r="A4614" s="52"/>
      <c r="B4614" s="2"/>
      <c r="C4614" s="2"/>
      <c r="D4614" s="3"/>
      <c r="E4614" s="3"/>
      <c r="F4614" s="2"/>
      <c r="G4614" s="13">
        <f>IF($B4614="IN",$D4614,0)</f>
      </c>
      <c r="H4614" s="13">
        <f>IF($B4614="OUT",$D4614,0)</f>
      </c>
    </row>
    <row x14ac:dyDescent="0.25" r="4615" customHeight="1" ht="17.25">
      <c r="A4615" s="52"/>
      <c r="B4615" s="2"/>
      <c r="C4615" s="2"/>
      <c r="D4615" s="3"/>
      <c r="E4615" s="3"/>
      <c r="F4615" s="2"/>
      <c r="G4615" s="13">
        <f>IF($B4615="IN",$D4615,0)</f>
      </c>
      <c r="H4615" s="13">
        <f>IF($B4615="OUT",$D4615,0)</f>
      </c>
    </row>
    <row x14ac:dyDescent="0.25" r="4616" customHeight="1" ht="17.25">
      <c r="A4616" s="52"/>
      <c r="B4616" s="2"/>
      <c r="C4616" s="2"/>
      <c r="D4616" s="3"/>
      <c r="E4616" s="3"/>
      <c r="F4616" s="2"/>
      <c r="G4616" s="13">
        <f>IF($B4616="IN",$D4616,0)</f>
      </c>
      <c r="H4616" s="13">
        <f>IF($B4616="OUT",$D4616,0)</f>
      </c>
    </row>
    <row x14ac:dyDescent="0.25" r="4617" customHeight="1" ht="17.25">
      <c r="A4617" s="52"/>
      <c r="B4617" s="2"/>
      <c r="C4617" s="2"/>
      <c r="D4617" s="3"/>
      <c r="E4617" s="3"/>
      <c r="F4617" s="2"/>
      <c r="G4617" s="13">
        <f>IF($B4617="IN",$D4617,0)</f>
      </c>
      <c r="H4617" s="13">
        <f>IF($B4617="OUT",$D4617,0)</f>
      </c>
    </row>
    <row x14ac:dyDescent="0.25" r="4618" customHeight="1" ht="17.25">
      <c r="A4618" s="52"/>
      <c r="B4618" s="2"/>
      <c r="C4618" s="2"/>
      <c r="D4618" s="3"/>
      <c r="E4618" s="3"/>
      <c r="F4618" s="2"/>
      <c r="G4618" s="13">
        <f>IF($B4618="IN",$D4618,0)</f>
      </c>
      <c r="H4618" s="13">
        <f>IF($B4618="OUT",$D4618,0)</f>
      </c>
    </row>
    <row x14ac:dyDescent="0.25" r="4619" customHeight="1" ht="17.25">
      <c r="A4619" s="52"/>
      <c r="B4619" s="2"/>
      <c r="C4619" s="2"/>
      <c r="D4619" s="3"/>
      <c r="E4619" s="3"/>
      <c r="F4619" s="2"/>
      <c r="G4619" s="13">
        <f>IF($B4619="IN",$D4619,0)</f>
      </c>
      <c r="H4619" s="13">
        <f>IF($B4619="OUT",$D4619,0)</f>
      </c>
    </row>
    <row x14ac:dyDescent="0.25" r="4620" customHeight="1" ht="17.25">
      <c r="A4620" s="52"/>
      <c r="B4620" s="2"/>
      <c r="C4620" s="2"/>
      <c r="D4620" s="3"/>
      <c r="E4620" s="3"/>
      <c r="F4620" s="2"/>
      <c r="G4620" s="13">
        <f>IF($B4620="IN",$D4620,0)</f>
      </c>
      <c r="H4620" s="13">
        <f>IF($B4620="OUT",$D4620,0)</f>
      </c>
    </row>
    <row x14ac:dyDescent="0.25" r="4621" customHeight="1" ht="17.25">
      <c r="A4621" s="52"/>
      <c r="B4621" s="2"/>
      <c r="C4621" s="2"/>
      <c r="D4621" s="3"/>
      <c r="E4621" s="3"/>
      <c r="F4621" s="2"/>
      <c r="G4621" s="13">
        <f>IF($B4621="IN",$D4621,0)</f>
      </c>
      <c r="H4621" s="13">
        <f>IF($B4621="OUT",$D4621,0)</f>
      </c>
    </row>
    <row x14ac:dyDescent="0.25" r="4622" customHeight="1" ht="17.25">
      <c r="A4622" s="52"/>
      <c r="B4622" s="2"/>
      <c r="C4622" s="2"/>
      <c r="D4622" s="3"/>
      <c r="E4622" s="3"/>
      <c r="F4622" s="2"/>
      <c r="G4622" s="13">
        <f>IF($B4622="IN",$D4622,0)</f>
      </c>
      <c r="H4622" s="13">
        <f>IF($B4622="OUT",$D4622,0)</f>
      </c>
    </row>
    <row x14ac:dyDescent="0.25" r="4623" customHeight="1" ht="17.25">
      <c r="A4623" s="52"/>
      <c r="B4623" s="2"/>
      <c r="C4623" s="2"/>
      <c r="D4623" s="3"/>
      <c r="E4623" s="3"/>
      <c r="F4623" s="2"/>
      <c r="G4623" s="13">
        <f>IF($B4623="IN",$D4623,0)</f>
      </c>
      <c r="H4623" s="13">
        <f>IF($B4623="OUT",$D4623,0)</f>
      </c>
    </row>
    <row x14ac:dyDescent="0.25" r="4624" customHeight="1" ht="17.25">
      <c r="A4624" s="52"/>
      <c r="B4624" s="2"/>
      <c r="C4624" s="2"/>
      <c r="D4624" s="3"/>
      <c r="E4624" s="3"/>
      <c r="F4624" s="2"/>
      <c r="G4624" s="13">
        <f>IF($B4624="IN",$D4624,0)</f>
      </c>
      <c r="H4624" s="13">
        <f>IF($B4624="OUT",$D4624,0)</f>
      </c>
    </row>
    <row x14ac:dyDescent="0.25" r="4625" customHeight="1" ht="17.25">
      <c r="A4625" s="52"/>
      <c r="B4625" s="2"/>
      <c r="C4625" s="2"/>
      <c r="D4625" s="3"/>
      <c r="E4625" s="3"/>
      <c r="F4625" s="2"/>
      <c r="G4625" s="13">
        <f>IF($B4625="IN",$D4625,0)</f>
      </c>
      <c r="H4625" s="13">
        <f>IF($B4625="OUT",$D4625,0)</f>
      </c>
    </row>
    <row x14ac:dyDescent="0.25" r="4626" customHeight="1" ht="17.25">
      <c r="A4626" s="52"/>
      <c r="B4626" s="2"/>
      <c r="C4626" s="2"/>
      <c r="D4626" s="3"/>
      <c r="E4626" s="3"/>
      <c r="F4626" s="2"/>
      <c r="G4626" s="13">
        <f>IF($B4626="IN",$D4626,0)</f>
      </c>
      <c r="H4626" s="13">
        <f>IF($B4626="OUT",$D4626,0)</f>
      </c>
    </row>
    <row x14ac:dyDescent="0.25" r="4627" customHeight="1" ht="17.25">
      <c r="A4627" s="52"/>
      <c r="B4627" s="2"/>
      <c r="C4627" s="2"/>
      <c r="D4627" s="3"/>
      <c r="E4627" s="3"/>
      <c r="F4627" s="2"/>
      <c r="G4627" s="13">
        <f>IF($B4627="IN",$D4627,0)</f>
      </c>
      <c r="H4627" s="13">
        <f>IF($B4627="OUT",$D4627,0)</f>
      </c>
    </row>
    <row x14ac:dyDescent="0.25" r="4628" customHeight="1" ht="17.25">
      <c r="A4628" s="52"/>
      <c r="B4628" s="2"/>
      <c r="C4628" s="2"/>
      <c r="D4628" s="3"/>
      <c r="E4628" s="3"/>
      <c r="F4628" s="2"/>
      <c r="G4628" s="13">
        <f>IF($B4628="IN",$D4628,0)</f>
      </c>
      <c r="H4628" s="13">
        <f>IF($B4628="OUT",$D4628,0)</f>
      </c>
    </row>
    <row x14ac:dyDescent="0.25" r="4629" customHeight="1" ht="17.25">
      <c r="A4629" s="52"/>
      <c r="B4629" s="2"/>
      <c r="C4629" s="2"/>
      <c r="D4629" s="3"/>
      <c r="E4629" s="3"/>
      <c r="F4629" s="2"/>
      <c r="G4629" s="13">
        <f>IF($B4629="IN",$D4629,0)</f>
      </c>
      <c r="H4629" s="13">
        <f>IF($B4629="OUT",$D4629,0)</f>
      </c>
    </row>
    <row x14ac:dyDescent="0.25" r="4630" customHeight="1" ht="17.25">
      <c r="A4630" s="52"/>
      <c r="B4630" s="2"/>
      <c r="C4630" s="2"/>
      <c r="D4630" s="3"/>
      <c r="E4630" s="3"/>
      <c r="F4630" s="2"/>
      <c r="G4630" s="13">
        <f>IF($B4630="IN",$D4630,0)</f>
      </c>
      <c r="H4630" s="13">
        <f>IF($B4630="OUT",$D4630,0)</f>
      </c>
    </row>
    <row x14ac:dyDescent="0.25" r="4631" customHeight="1" ht="17.25">
      <c r="A4631" s="52"/>
      <c r="B4631" s="2"/>
      <c r="C4631" s="2"/>
      <c r="D4631" s="3"/>
      <c r="E4631" s="3"/>
      <c r="F4631" s="2"/>
      <c r="G4631" s="13">
        <f>IF($B4631="IN",$D4631,0)</f>
      </c>
      <c r="H4631" s="13">
        <f>IF($B4631="OUT",$D4631,0)</f>
      </c>
    </row>
    <row x14ac:dyDescent="0.25" r="4632" customHeight="1" ht="17.25">
      <c r="A4632" s="52"/>
      <c r="B4632" s="2"/>
      <c r="C4632" s="2"/>
      <c r="D4632" s="3"/>
      <c r="E4632" s="3"/>
      <c r="F4632" s="2"/>
      <c r="G4632" s="13">
        <f>IF($B4632="IN",$D4632,0)</f>
      </c>
      <c r="H4632" s="13">
        <f>IF($B4632="OUT",$D4632,0)</f>
      </c>
    </row>
    <row x14ac:dyDescent="0.25" r="4633" customHeight="1" ht="17.25">
      <c r="A4633" s="52"/>
      <c r="B4633" s="2"/>
      <c r="C4633" s="2"/>
      <c r="D4633" s="3"/>
      <c r="E4633" s="3"/>
      <c r="F4633" s="2"/>
      <c r="G4633" s="13">
        <f>IF($B4633="IN",$D4633,0)</f>
      </c>
      <c r="H4633" s="13">
        <f>IF($B4633="OUT",$D4633,0)</f>
      </c>
    </row>
    <row x14ac:dyDescent="0.25" r="4634" customHeight="1" ht="17.25">
      <c r="A4634" s="52"/>
      <c r="B4634" s="2"/>
      <c r="C4634" s="2"/>
      <c r="D4634" s="3"/>
      <c r="E4634" s="3"/>
      <c r="F4634" s="2"/>
      <c r="G4634" s="13">
        <f>IF($B4634="IN",$D4634,0)</f>
      </c>
      <c r="H4634" s="13">
        <f>IF($B4634="OUT",$D4634,0)</f>
      </c>
    </row>
    <row x14ac:dyDescent="0.25" r="4635" customHeight="1" ht="17.25">
      <c r="A4635" s="52"/>
      <c r="B4635" s="2"/>
      <c r="C4635" s="2"/>
      <c r="D4635" s="3"/>
      <c r="E4635" s="3"/>
      <c r="F4635" s="2"/>
      <c r="G4635" s="13">
        <f>IF($B4635="IN",$D4635,0)</f>
      </c>
      <c r="H4635" s="13">
        <f>IF($B4635="OUT",$D4635,0)</f>
      </c>
    </row>
    <row x14ac:dyDescent="0.25" r="4636" customHeight="1" ht="17.25">
      <c r="A4636" s="52"/>
      <c r="B4636" s="2"/>
      <c r="C4636" s="2"/>
      <c r="D4636" s="3"/>
      <c r="E4636" s="3"/>
      <c r="F4636" s="2"/>
      <c r="G4636" s="13">
        <f>IF($B4636="IN",$D4636,0)</f>
      </c>
      <c r="H4636" s="13">
        <f>IF($B4636="OUT",$D4636,0)</f>
      </c>
    </row>
    <row x14ac:dyDescent="0.25" r="4637" customHeight="1" ht="17.25">
      <c r="A4637" s="52"/>
      <c r="B4637" s="2"/>
      <c r="C4637" s="2"/>
      <c r="D4637" s="3"/>
      <c r="E4637" s="3"/>
      <c r="F4637" s="2"/>
      <c r="G4637" s="13">
        <f>IF($B4637="IN",$D4637,0)</f>
      </c>
      <c r="H4637" s="13">
        <f>IF($B4637="OUT",$D4637,0)</f>
      </c>
    </row>
    <row x14ac:dyDescent="0.25" r="4638" customHeight="1" ht="17.25">
      <c r="A4638" s="52"/>
      <c r="B4638" s="2"/>
      <c r="C4638" s="2"/>
      <c r="D4638" s="3"/>
      <c r="E4638" s="3"/>
      <c r="F4638" s="2"/>
      <c r="G4638" s="13">
        <f>IF($B4638="IN",$D4638,0)</f>
      </c>
      <c r="H4638" s="13">
        <f>IF($B4638="OUT",$D4638,0)</f>
      </c>
    </row>
    <row x14ac:dyDescent="0.25" r="4639" customHeight="1" ht="17.25">
      <c r="A4639" s="52"/>
      <c r="B4639" s="2"/>
      <c r="C4639" s="2"/>
      <c r="D4639" s="3"/>
      <c r="E4639" s="3"/>
      <c r="F4639" s="2"/>
      <c r="G4639" s="13">
        <f>IF($B4639="IN",$D4639,0)</f>
      </c>
      <c r="H4639" s="13">
        <f>IF($B4639="OUT",$D4639,0)</f>
      </c>
    </row>
    <row x14ac:dyDescent="0.25" r="4640" customHeight="1" ht="17.25">
      <c r="A4640" s="52"/>
      <c r="B4640" s="2"/>
      <c r="C4640" s="2"/>
      <c r="D4640" s="3"/>
      <c r="E4640" s="3"/>
      <c r="F4640" s="2"/>
      <c r="G4640" s="13">
        <f>IF($B4640="IN",$D4640,0)</f>
      </c>
      <c r="H4640" s="13">
        <f>IF($B4640="OUT",$D4640,0)</f>
      </c>
    </row>
    <row x14ac:dyDescent="0.25" r="4641" customHeight="1" ht="17.25">
      <c r="A4641" s="52"/>
      <c r="B4641" s="2"/>
      <c r="C4641" s="2"/>
      <c r="D4641" s="3"/>
      <c r="E4641" s="3"/>
      <c r="F4641" s="2"/>
      <c r="G4641" s="13">
        <f>IF($B4641="IN",$D4641,0)</f>
      </c>
      <c r="H4641" s="13">
        <f>IF($B4641="OUT",$D4641,0)</f>
      </c>
    </row>
    <row x14ac:dyDescent="0.25" r="4642" customHeight="1" ht="17.25">
      <c r="A4642" s="52"/>
      <c r="B4642" s="2"/>
      <c r="C4642" s="2"/>
      <c r="D4642" s="3"/>
      <c r="E4642" s="3"/>
      <c r="F4642" s="2"/>
      <c r="G4642" s="13">
        <f>IF($B4642="IN",$D4642,0)</f>
      </c>
      <c r="H4642" s="13">
        <f>IF($B4642="OUT",$D4642,0)</f>
      </c>
    </row>
    <row x14ac:dyDescent="0.25" r="4643" customHeight="1" ht="17.25">
      <c r="A4643" s="52"/>
      <c r="B4643" s="2"/>
      <c r="C4643" s="2"/>
      <c r="D4643" s="3"/>
      <c r="E4643" s="3"/>
      <c r="F4643" s="2"/>
      <c r="G4643" s="13">
        <f>IF($B4643="IN",$D4643,0)</f>
      </c>
      <c r="H4643" s="13">
        <f>IF($B4643="OUT",$D4643,0)</f>
      </c>
    </row>
    <row x14ac:dyDescent="0.25" r="4644" customHeight="1" ht="17.25">
      <c r="A4644" s="52"/>
      <c r="B4644" s="2"/>
      <c r="C4644" s="2"/>
      <c r="D4644" s="3"/>
      <c r="E4644" s="3"/>
      <c r="F4644" s="2"/>
      <c r="G4644" s="13">
        <f>IF($B4644="IN",$D4644,0)</f>
      </c>
      <c r="H4644" s="13">
        <f>IF($B4644="OUT",$D4644,0)</f>
      </c>
    </row>
    <row x14ac:dyDescent="0.25" r="4645" customHeight="1" ht="17.25">
      <c r="A4645" s="52"/>
      <c r="B4645" s="2"/>
      <c r="C4645" s="2"/>
      <c r="D4645" s="3"/>
      <c r="E4645" s="3"/>
      <c r="F4645" s="2"/>
      <c r="G4645" s="13">
        <f>IF($B4645="IN",$D4645,0)</f>
      </c>
      <c r="H4645" s="13">
        <f>IF($B4645="OUT",$D4645,0)</f>
      </c>
    </row>
    <row x14ac:dyDescent="0.25" r="4646" customHeight="1" ht="17.25">
      <c r="A4646" s="52"/>
      <c r="B4646" s="2"/>
      <c r="C4646" s="2"/>
      <c r="D4646" s="3"/>
      <c r="E4646" s="3"/>
      <c r="F4646" s="2"/>
      <c r="G4646" s="13">
        <f>IF($B4646="IN",$D4646,0)</f>
      </c>
      <c r="H4646" s="13">
        <f>IF($B4646="OUT",$D4646,0)</f>
      </c>
    </row>
    <row x14ac:dyDescent="0.25" r="4647" customHeight="1" ht="17.25">
      <c r="A4647" s="52"/>
      <c r="B4647" s="2"/>
      <c r="C4647" s="2"/>
      <c r="D4647" s="3"/>
      <c r="E4647" s="3"/>
      <c r="F4647" s="2"/>
      <c r="G4647" s="13">
        <f>IF($B4647="IN",$D4647,0)</f>
      </c>
      <c r="H4647" s="13">
        <f>IF($B4647="OUT",$D4647,0)</f>
      </c>
    </row>
    <row x14ac:dyDescent="0.25" r="4648" customHeight="1" ht="17.25">
      <c r="A4648" s="52"/>
      <c r="B4648" s="2"/>
      <c r="C4648" s="2"/>
      <c r="D4648" s="3"/>
      <c r="E4648" s="3"/>
      <c r="F4648" s="2"/>
      <c r="G4648" s="13">
        <f>IF($B4648="IN",$D4648,0)</f>
      </c>
      <c r="H4648" s="13">
        <f>IF($B4648="OUT",$D4648,0)</f>
      </c>
    </row>
    <row x14ac:dyDescent="0.25" r="4649" customHeight="1" ht="17.25">
      <c r="A4649" s="52"/>
      <c r="B4649" s="2"/>
      <c r="C4649" s="2"/>
      <c r="D4649" s="3"/>
      <c r="E4649" s="3"/>
      <c r="F4649" s="2"/>
      <c r="G4649" s="13">
        <f>IF($B4649="IN",$D4649,0)</f>
      </c>
      <c r="H4649" s="13">
        <f>IF($B4649="OUT",$D4649,0)</f>
      </c>
    </row>
    <row x14ac:dyDescent="0.25" r="4650" customHeight="1" ht="17.25">
      <c r="A4650" s="52"/>
      <c r="B4650" s="2"/>
      <c r="C4650" s="2"/>
      <c r="D4650" s="3"/>
      <c r="E4650" s="3"/>
      <c r="F4650" s="2"/>
      <c r="G4650" s="13">
        <f>IF($B4650="IN",$D4650,0)</f>
      </c>
      <c r="H4650" s="13">
        <f>IF($B4650="OUT",$D4650,0)</f>
      </c>
    </row>
    <row x14ac:dyDescent="0.25" r="4651" customHeight="1" ht="17.25">
      <c r="A4651" s="52"/>
      <c r="B4651" s="2"/>
      <c r="C4651" s="2"/>
      <c r="D4651" s="3"/>
      <c r="E4651" s="3"/>
      <c r="F4651" s="2"/>
      <c r="G4651" s="13">
        <f>IF($B4651="IN",$D4651,0)</f>
      </c>
      <c r="H4651" s="13">
        <f>IF($B4651="OUT",$D4651,0)</f>
      </c>
    </row>
    <row x14ac:dyDescent="0.25" r="4652" customHeight="1" ht="17.25">
      <c r="A4652" s="52"/>
      <c r="B4652" s="2"/>
      <c r="C4652" s="2"/>
      <c r="D4652" s="3"/>
      <c r="E4652" s="3"/>
      <c r="F4652" s="2"/>
      <c r="G4652" s="13">
        <f>IF($B4652="IN",$D4652,0)</f>
      </c>
      <c r="H4652" s="13">
        <f>IF($B4652="OUT",$D4652,0)</f>
      </c>
    </row>
    <row x14ac:dyDescent="0.25" r="4653" customHeight="1" ht="17.25">
      <c r="A4653" s="52"/>
      <c r="B4653" s="2"/>
      <c r="C4653" s="2"/>
      <c r="D4653" s="3"/>
      <c r="E4653" s="3"/>
      <c r="F4653" s="2"/>
      <c r="G4653" s="13">
        <f>IF($B4653="IN",$D4653,0)</f>
      </c>
      <c r="H4653" s="13">
        <f>IF($B4653="OUT",$D4653,0)</f>
      </c>
    </row>
    <row x14ac:dyDescent="0.25" r="4654" customHeight="1" ht="17.25">
      <c r="A4654" s="52"/>
      <c r="B4654" s="2"/>
      <c r="C4654" s="2"/>
      <c r="D4654" s="3"/>
      <c r="E4654" s="3"/>
      <c r="F4654" s="2"/>
      <c r="G4654" s="13">
        <f>IF($B4654="IN",$D4654,0)</f>
      </c>
      <c r="H4654" s="13">
        <f>IF($B4654="OUT",$D4654,0)</f>
      </c>
    </row>
    <row x14ac:dyDescent="0.25" r="4655" customHeight="1" ht="17.25">
      <c r="A4655" s="52"/>
      <c r="B4655" s="2"/>
      <c r="C4655" s="2"/>
      <c r="D4655" s="3"/>
      <c r="E4655" s="3"/>
      <c r="F4655" s="2"/>
      <c r="G4655" s="13">
        <f>IF($B4655="IN",$D4655,0)</f>
      </c>
      <c r="H4655" s="13">
        <f>IF($B4655="OUT",$D4655,0)</f>
      </c>
    </row>
    <row x14ac:dyDescent="0.25" r="4656" customHeight="1" ht="17.25">
      <c r="A4656" s="52"/>
      <c r="B4656" s="2"/>
      <c r="C4656" s="2"/>
      <c r="D4656" s="3"/>
      <c r="E4656" s="3"/>
      <c r="F4656" s="2"/>
      <c r="G4656" s="13">
        <f>IF($B4656="IN",$D4656,0)</f>
      </c>
      <c r="H4656" s="13">
        <f>IF($B4656="OUT",$D4656,0)</f>
      </c>
    </row>
    <row x14ac:dyDescent="0.25" r="4657" customHeight="1" ht="17.25">
      <c r="A4657" s="52"/>
      <c r="B4657" s="2"/>
      <c r="C4657" s="2"/>
      <c r="D4657" s="3"/>
      <c r="E4657" s="3"/>
      <c r="F4657" s="2"/>
      <c r="G4657" s="13">
        <f>IF($B4657="IN",$D4657,0)</f>
      </c>
      <c r="H4657" s="13">
        <f>IF($B4657="OUT",$D4657,0)</f>
      </c>
    </row>
    <row x14ac:dyDescent="0.25" r="4658" customHeight="1" ht="17.25">
      <c r="A4658" s="52"/>
      <c r="B4658" s="2"/>
      <c r="C4658" s="2"/>
      <c r="D4658" s="3"/>
      <c r="E4658" s="3"/>
      <c r="F4658" s="2"/>
      <c r="G4658" s="13">
        <f>IF($B4658="IN",$D4658,0)</f>
      </c>
      <c r="H4658" s="13">
        <f>IF($B4658="OUT",$D4658,0)</f>
      </c>
    </row>
    <row x14ac:dyDescent="0.25" r="4659" customHeight="1" ht="17.25">
      <c r="A4659" s="52"/>
      <c r="B4659" s="2"/>
      <c r="C4659" s="2"/>
      <c r="D4659" s="3"/>
      <c r="E4659" s="3"/>
      <c r="F4659" s="2"/>
      <c r="G4659" s="13">
        <f>IF($B4659="IN",$D4659,0)</f>
      </c>
      <c r="H4659" s="13">
        <f>IF($B4659="OUT",$D4659,0)</f>
      </c>
    </row>
    <row x14ac:dyDescent="0.25" r="4660" customHeight="1" ht="17.25">
      <c r="A4660" s="52"/>
      <c r="B4660" s="2"/>
      <c r="C4660" s="2"/>
      <c r="D4660" s="3"/>
      <c r="E4660" s="3"/>
      <c r="F4660" s="2"/>
      <c r="G4660" s="13">
        <f>IF($B4660="IN",$D4660,0)</f>
      </c>
      <c r="H4660" s="13">
        <f>IF($B4660="OUT",$D4660,0)</f>
      </c>
    </row>
    <row x14ac:dyDescent="0.25" r="4661" customHeight="1" ht="17.25">
      <c r="A4661" s="52"/>
      <c r="B4661" s="2"/>
      <c r="C4661" s="2"/>
      <c r="D4661" s="3"/>
      <c r="E4661" s="3"/>
      <c r="F4661" s="2"/>
      <c r="G4661" s="13">
        <f>IF($B4661="IN",$D4661,0)</f>
      </c>
      <c r="H4661" s="13">
        <f>IF($B4661="OUT",$D4661,0)</f>
      </c>
    </row>
    <row x14ac:dyDescent="0.25" r="4662" customHeight="1" ht="17.25">
      <c r="A4662" s="52"/>
      <c r="B4662" s="2"/>
      <c r="C4662" s="2"/>
      <c r="D4662" s="3"/>
      <c r="E4662" s="3"/>
      <c r="F4662" s="2"/>
      <c r="G4662" s="13">
        <f>IF($B4662="IN",$D4662,0)</f>
      </c>
      <c r="H4662" s="13">
        <f>IF($B4662="OUT",$D4662,0)</f>
      </c>
    </row>
    <row x14ac:dyDescent="0.25" r="4663" customHeight="1" ht="17.25">
      <c r="A4663" s="52"/>
      <c r="B4663" s="2"/>
      <c r="C4663" s="2"/>
      <c r="D4663" s="3"/>
      <c r="E4663" s="3"/>
      <c r="F4663" s="2"/>
      <c r="G4663" s="13">
        <f>IF($B4663="IN",$D4663,0)</f>
      </c>
      <c r="H4663" s="13">
        <f>IF($B4663="OUT",$D4663,0)</f>
      </c>
    </row>
    <row x14ac:dyDescent="0.25" r="4664" customHeight="1" ht="17.25">
      <c r="A4664" s="52"/>
      <c r="B4664" s="2"/>
      <c r="C4664" s="2"/>
      <c r="D4664" s="3"/>
      <c r="E4664" s="3"/>
      <c r="F4664" s="2"/>
      <c r="G4664" s="13">
        <f>IF($B4664="IN",$D4664,0)</f>
      </c>
      <c r="H4664" s="13">
        <f>IF($B4664="OUT",$D4664,0)</f>
      </c>
    </row>
    <row x14ac:dyDescent="0.25" r="4665" customHeight="1" ht="17.25">
      <c r="A4665" s="52"/>
      <c r="B4665" s="2"/>
      <c r="C4665" s="2"/>
      <c r="D4665" s="3"/>
      <c r="E4665" s="3"/>
      <c r="F4665" s="2"/>
      <c r="G4665" s="13">
        <f>IF($B4665="IN",$D4665,0)</f>
      </c>
      <c r="H4665" s="13">
        <f>IF($B4665="OUT",$D4665,0)</f>
      </c>
    </row>
    <row x14ac:dyDescent="0.25" r="4666" customHeight="1" ht="17.25">
      <c r="A4666" s="52"/>
      <c r="B4666" s="2"/>
      <c r="C4666" s="2"/>
      <c r="D4666" s="3"/>
      <c r="E4666" s="3"/>
      <c r="F4666" s="2"/>
      <c r="G4666" s="13">
        <f>IF($B4666="IN",$D4666,0)</f>
      </c>
      <c r="H4666" s="13">
        <f>IF($B4666="OUT",$D4666,0)</f>
      </c>
    </row>
    <row x14ac:dyDescent="0.25" r="4667" customHeight="1" ht="17.25">
      <c r="A4667" s="52"/>
      <c r="B4667" s="2"/>
      <c r="C4667" s="2"/>
      <c r="D4667" s="3"/>
      <c r="E4667" s="3"/>
      <c r="F4667" s="2"/>
      <c r="G4667" s="13">
        <f>IF($B4667="IN",$D4667,0)</f>
      </c>
      <c r="H4667" s="13">
        <f>IF($B4667="OUT",$D4667,0)</f>
      </c>
    </row>
    <row x14ac:dyDescent="0.25" r="4668" customHeight="1" ht="17.25">
      <c r="A4668" s="52"/>
      <c r="B4668" s="2"/>
      <c r="C4668" s="2"/>
      <c r="D4668" s="3"/>
      <c r="E4668" s="3"/>
      <c r="F4668" s="2"/>
      <c r="G4668" s="13">
        <f>IF($B4668="IN",$D4668,0)</f>
      </c>
      <c r="H4668" s="13">
        <f>IF($B4668="OUT",$D4668,0)</f>
      </c>
    </row>
    <row x14ac:dyDescent="0.25" r="4669" customHeight="1" ht="17.25">
      <c r="A4669" s="52"/>
      <c r="B4669" s="2"/>
      <c r="C4669" s="2"/>
      <c r="D4669" s="3"/>
      <c r="E4669" s="3"/>
      <c r="F4669" s="2"/>
      <c r="G4669" s="13">
        <f>IF($B4669="IN",$D4669,0)</f>
      </c>
      <c r="H4669" s="13">
        <f>IF($B4669="OUT",$D4669,0)</f>
      </c>
    </row>
    <row x14ac:dyDescent="0.25" r="4670" customHeight="1" ht="17.25">
      <c r="A4670" s="52"/>
      <c r="B4670" s="2"/>
      <c r="C4670" s="2"/>
      <c r="D4670" s="3"/>
      <c r="E4670" s="3"/>
      <c r="F4670" s="2"/>
      <c r="G4670" s="13">
        <f>IF($B4670="IN",$D4670,0)</f>
      </c>
      <c r="H4670" s="13">
        <f>IF($B4670="OUT",$D4670,0)</f>
      </c>
    </row>
    <row x14ac:dyDescent="0.25" r="4671" customHeight="1" ht="17.25">
      <c r="A4671" s="52"/>
      <c r="B4671" s="2"/>
      <c r="C4671" s="2"/>
      <c r="D4671" s="3"/>
      <c r="E4671" s="3"/>
      <c r="F4671" s="2"/>
      <c r="G4671" s="13">
        <f>IF($B4671="IN",$D4671,0)</f>
      </c>
      <c r="H4671" s="13">
        <f>IF($B4671="OUT",$D4671,0)</f>
      </c>
    </row>
    <row x14ac:dyDescent="0.25" r="4672" customHeight="1" ht="17.25">
      <c r="A4672" s="52"/>
      <c r="B4672" s="2"/>
      <c r="C4672" s="2"/>
      <c r="D4672" s="3"/>
      <c r="E4672" s="3"/>
      <c r="F4672" s="2"/>
      <c r="G4672" s="13">
        <f>IF($B4672="IN",$D4672,0)</f>
      </c>
      <c r="H4672" s="13">
        <f>IF($B4672="OUT",$D4672,0)</f>
      </c>
    </row>
    <row x14ac:dyDescent="0.25" r="4673" customHeight="1" ht="17.25">
      <c r="A4673" s="52"/>
      <c r="B4673" s="2"/>
      <c r="C4673" s="2"/>
      <c r="D4673" s="3"/>
      <c r="E4673" s="3"/>
      <c r="F4673" s="2"/>
      <c r="G4673" s="13">
        <f>IF($B4673="IN",$D4673,0)</f>
      </c>
      <c r="H4673" s="13">
        <f>IF($B4673="OUT",$D4673,0)</f>
      </c>
    </row>
    <row x14ac:dyDescent="0.25" r="4674" customHeight="1" ht="17.25">
      <c r="A4674" s="52"/>
      <c r="B4674" s="2"/>
      <c r="C4674" s="2"/>
      <c r="D4674" s="3"/>
      <c r="E4674" s="3"/>
      <c r="F4674" s="2"/>
      <c r="G4674" s="13">
        <f>IF($B4674="IN",$D4674,0)</f>
      </c>
      <c r="H4674" s="13">
        <f>IF($B4674="OUT",$D4674,0)</f>
      </c>
    </row>
    <row x14ac:dyDescent="0.25" r="4675" customHeight="1" ht="17.25">
      <c r="A4675" s="52"/>
      <c r="B4675" s="2"/>
      <c r="C4675" s="2"/>
      <c r="D4675" s="3"/>
      <c r="E4675" s="3"/>
      <c r="F4675" s="2"/>
      <c r="G4675" s="13">
        <f>IF($B4675="IN",$D4675,0)</f>
      </c>
      <c r="H4675" s="13">
        <f>IF($B4675="OUT",$D4675,0)</f>
      </c>
    </row>
    <row x14ac:dyDescent="0.25" r="4676" customHeight="1" ht="17.25">
      <c r="A4676" s="52"/>
      <c r="B4676" s="2"/>
      <c r="C4676" s="2"/>
      <c r="D4676" s="3"/>
      <c r="E4676" s="3"/>
      <c r="F4676" s="2"/>
      <c r="G4676" s="13">
        <f>IF($B4676="IN",$D4676,0)</f>
      </c>
      <c r="H4676" s="13">
        <f>IF($B4676="OUT",$D4676,0)</f>
      </c>
    </row>
    <row x14ac:dyDescent="0.25" r="4677" customHeight="1" ht="17.25">
      <c r="A4677" s="52"/>
      <c r="B4677" s="2"/>
      <c r="C4677" s="2"/>
      <c r="D4677" s="3"/>
      <c r="E4677" s="3"/>
      <c r="F4677" s="2"/>
      <c r="G4677" s="13">
        <f>IF($B4677="IN",$D4677,0)</f>
      </c>
      <c r="H4677" s="13">
        <f>IF($B4677="OUT",$D4677,0)</f>
      </c>
    </row>
    <row x14ac:dyDescent="0.25" r="4678" customHeight="1" ht="17.25">
      <c r="A4678" s="52"/>
      <c r="B4678" s="2"/>
      <c r="C4678" s="2"/>
      <c r="D4678" s="3"/>
      <c r="E4678" s="3"/>
      <c r="F4678" s="2"/>
      <c r="G4678" s="13">
        <f>IF($B4678="IN",$D4678,0)</f>
      </c>
      <c r="H4678" s="13">
        <f>IF($B4678="OUT",$D4678,0)</f>
      </c>
    </row>
    <row x14ac:dyDescent="0.25" r="4679" customHeight="1" ht="17.25">
      <c r="A4679" s="52"/>
      <c r="B4679" s="2"/>
      <c r="C4679" s="2"/>
      <c r="D4679" s="3"/>
      <c r="E4679" s="3"/>
      <c r="F4679" s="2"/>
      <c r="G4679" s="13">
        <f>IF($B4679="IN",$D4679,0)</f>
      </c>
      <c r="H4679" s="13">
        <f>IF($B4679="OUT",$D4679,0)</f>
      </c>
    </row>
    <row x14ac:dyDescent="0.25" r="4680" customHeight="1" ht="17.25">
      <c r="A4680" s="52"/>
      <c r="B4680" s="2"/>
      <c r="C4680" s="2"/>
      <c r="D4680" s="3"/>
      <c r="E4680" s="3"/>
      <c r="F4680" s="2"/>
      <c r="G4680" s="13">
        <f>IF($B4680="IN",$D4680,0)</f>
      </c>
      <c r="H4680" s="13">
        <f>IF($B4680="OUT",$D4680,0)</f>
      </c>
    </row>
    <row x14ac:dyDescent="0.25" r="4681" customHeight="1" ht="17.25">
      <c r="A4681" s="52"/>
      <c r="B4681" s="2"/>
      <c r="C4681" s="2"/>
      <c r="D4681" s="3"/>
      <c r="E4681" s="3"/>
      <c r="F4681" s="2"/>
      <c r="G4681" s="13">
        <f>IF($B4681="IN",$D4681,0)</f>
      </c>
      <c r="H4681" s="13">
        <f>IF($B4681="OUT",$D4681,0)</f>
      </c>
    </row>
    <row x14ac:dyDescent="0.25" r="4682" customHeight="1" ht="17.25">
      <c r="A4682" s="52"/>
      <c r="B4682" s="2"/>
      <c r="C4682" s="2"/>
      <c r="D4682" s="3"/>
      <c r="E4682" s="3"/>
      <c r="F4682" s="2"/>
      <c r="G4682" s="13">
        <f>IF($B4682="IN",$D4682,0)</f>
      </c>
      <c r="H4682" s="13">
        <f>IF($B4682="OUT",$D4682,0)</f>
      </c>
    </row>
    <row x14ac:dyDescent="0.25" r="4683" customHeight="1" ht="17.25">
      <c r="A4683" s="52"/>
      <c r="B4683" s="2"/>
      <c r="C4683" s="2"/>
      <c r="D4683" s="3"/>
      <c r="E4683" s="3"/>
      <c r="F4683" s="2"/>
      <c r="G4683" s="13">
        <f>IF($B4683="IN",$D4683,0)</f>
      </c>
      <c r="H4683" s="13">
        <f>IF($B4683="OUT",$D4683,0)</f>
      </c>
    </row>
    <row x14ac:dyDescent="0.25" r="4684" customHeight="1" ht="17.25">
      <c r="A4684" s="52"/>
      <c r="B4684" s="2"/>
      <c r="C4684" s="2"/>
      <c r="D4684" s="3"/>
      <c r="E4684" s="3"/>
      <c r="F4684" s="2"/>
      <c r="G4684" s="13">
        <f>IF($B4684="IN",$D4684,0)</f>
      </c>
      <c r="H4684" s="13">
        <f>IF($B4684="OUT",$D4684,0)</f>
      </c>
    </row>
    <row x14ac:dyDescent="0.25" r="4685" customHeight="1" ht="17.25">
      <c r="A4685" s="52"/>
      <c r="B4685" s="2"/>
      <c r="C4685" s="2"/>
      <c r="D4685" s="3"/>
      <c r="E4685" s="3"/>
      <c r="F4685" s="2"/>
      <c r="G4685" s="13">
        <f>IF($B4685="IN",$D4685,0)</f>
      </c>
      <c r="H4685" s="13">
        <f>IF($B4685="OUT",$D4685,0)</f>
      </c>
    </row>
    <row x14ac:dyDescent="0.25" r="4686" customHeight="1" ht="17.25">
      <c r="A4686" s="52"/>
      <c r="B4686" s="2"/>
      <c r="C4686" s="2"/>
      <c r="D4686" s="3"/>
      <c r="E4686" s="3"/>
      <c r="F4686" s="2"/>
      <c r="G4686" s="13">
        <f>IF($B4686="IN",$D4686,0)</f>
      </c>
      <c r="H4686" s="13">
        <f>IF($B4686="OUT",$D4686,0)</f>
      </c>
    </row>
    <row x14ac:dyDescent="0.25" r="4687" customHeight="1" ht="17.25">
      <c r="A4687" s="52"/>
      <c r="B4687" s="2"/>
      <c r="C4687" s="2"/>
      <c r="D4687" s="3"/>
      <c r="E4687" s="3"/>
      <c r="F4687" s="2"/>
      <c r="G4687" s="13">
        <f>IF($B4687="IN",$D4687,0)</f>
      </c>
      <c r="H4687" s="13">
        <f>IF($B4687="OUT",$D4687,0)</f>
      </c>
    </row>
    <row x14ac:dyDescent="0.25" r="4688" customHeight="1" ht="17.25">
      <c r="A4688" s="52"/>
      <c r="B4688" s="2"/>
      <c r="C4688" s="2"/>
      <c r="D4688" s="3"/>
      <c r="E4688" s="3"/>
      <c r="F4688" s="2"/>
      <c r="G4688" s="13">
        <f>IF($B4688="IN",$D4688,0)</f>
      </c>
      <c r="H4688" s="13">
        <f>IF($B4688="OUT",$D4688,0)</f>
      </c>
    </row>
    <row x14ac:dyDescent="0.25" r="4689" customHeight="1" ht="17.25">
      <c r="A4689" s="52"/>
      <c r="B4689" s="2"/>
      <c r="C4689" s="2"/>
      <c r="D4689" s="3"/>
      <c r="E4689" s="3"/>
      <c r="F4689" s="2"/>
      <c r="G4689" s="13">
        <f>IF($B4689="IN",$D4689,0)</f>
      </c>
      <c r="H4689" s="13">
        <f>IF($B4689="OUT",$D4689,0)</f>
      </c>
    </row>
    <row x14ac:dyDescent="0.25" r="4690" customHeight="1" ht="17.25">
      <c r="A4690" s="52"/>
      <c r="B4690" s="2"/>
      <c r="C4690" s="2"/>
      <c r="D4690" s="3"/>
      <c r="E4690" s="3"/>
      <c r="F4690" s="2"/>
      <c r="G4690" s="13">
        <f>IF($B4690="IN",$D4690,0)</f>
      </c>
      <c r="H4690" s="13">
        <f>IF($B4690="OUT",$D4690,0)</f>
      </c>
    </row>
    <row x14ac:dyDescent="0.25" r="4691" customHeight="1" ht="17.25">
      <c r="A4691" s="52"/>
      <c r="B4691" s="2"/>
      <c r="C4691" s="2"/>
      <c r="D4691" s="3"/>
      <c r="E4691" s="3"/>
      <c r="F4691" s="2"/>
      <c r="G4691" s="13">
        <f>IF($B4691="IN",$D4691,0)</f>
      </c>
      <c r="H4691" s="13">
        <f>IF($B4691="OUT",$D4691,0)</f>
      </c>
    </row>
    <row x14ac:dyDescent="0.25" r="4692" customHeight="1" ht="17.25">
      <c r="A4692" s="52"/>
      <c r="B4692" s="2"/>
      <c r="C4692" s="2"/>
      <c r="D4692" s="3"/>
      <c r="E4692" s="3"/>
      <c r="F4692" s="2"/>
      <c r="G4692" s="13">
        <f>IF($B4692="IN",$D4692,0)</f>
      </c>
      <c r="H4692" s="13">
        <f>IF($B4692="OUT",$D4692,0)</f>
      </c>
    </row>
    <row x14ac:dyDescent="0.25" r="4693" customHeight="1" ht="17.25">
      <c r="A4693" s="52"/>
      <c r="B4693" s="2"/>
      <c r="C4693" s="2"/>
      <c r="D4693" s="3"/>
      <c r="E4693" s="3"/>
      <c r="F4693" s="2"/>
      <c r="G4693" s="13">
        <f>IF($B4693="IN",$D4693,0)</f>
      </c>
      <c r="H4693" s="13">
        <f>IF($B4693="OUT",$D4693,0)</f>
      </c>
    </row>
    <row x14ac:dyDescent="0.25" r="4694" customHeight="1" ht="17.25">
      <c r="A4694" s="52"/>
      <c r="B4694" s="2"/>
      <c r="C4694" s="2"/>
      <c r="D4694" s="3"/>
      <c r="E4694" s="3"/>
      <c r="F4694" s="2"/>
      <c r="G4694" s="13">
        <f>IF($B4694="IN",$D4694,0)</f>
      </c>
      <c r="H4694" s="13">
        <f>IF($B4694="OUT",$D4694,0)</f>
      </c>
    </row>
    <row x14ac:dyDescent="0.25" r="4695" customHeight="1" ht="17.25">
      <c r="A4695" s="52"/>
      <c r="B4695" s="2"/>
      <c r="C4695" s="2"/>
      <c r="D4695" s="3"/>
      <c r="E4695" s="3"/>
      <c r="F4695" s="2"/>
      <c r="G4695" s="13">
        <f>IF($B4695="IN",$D4695,0)</f>
      </c>
      <c r="H4695" s="13">
        <f>IF($B4695="OUT",$D4695,0)</f>
      </c>
    </row>
    <row x14ac:dyDescent="0.25" r="4696" customHeight="1" ht="17.25">
      <c r="A4696" s="52"/>
      <c r="B4696" s="2"/>
      <c r="C4696" s="2"/>
      <c r="D4696" s="3"/>
      <c r="E4696" s="3"/>
      <c r="F4696" s="2"/>
      <c r="G4696" s="13">
        <f>IF($B4696="IN",$D4696,0)</f>
      </c>
      <c r="H4696" s="13">
        <f>IF($B4696="OUT",$D4696,0)</f>
      </c>
    </row>
    <row x14ac:dyDescent="0.25" r="4697" customHeight="1" ht="17.25">
      <c r="A4697" s="52"/>
      <c r="B4697" s="2"/>
      <c r="C4697" s="2"/>
      <c r="D4697" s="3"/>
      <c r="E4697" s="3"/>
      <c r="F4697" s="2"/>
      <c r="G4697" s="13">
        <f>IF($B4697="IN",$D4697,0)</f>
      </c>
      <c r="H4697" s="13">
        <f>IF($B4697="OUT",$D4697,0)</f>
      </c>
    </row>
    <row x14ac:dyDescent="0.25" r="4698" customHeight="1" ht="17.25">
      <c r="A4698" s="52"/>
      <c r="B4698" s="2"/>
      <c r="C4698" s="2"/>
      <c r="D4698" s="3"/>
      <c r="E4698" s="3"/>
      <c r="F4698" s="2"/>
      <c r="G4698" s="13">
        <f>IF($B4698="IN",$D4698,0)</f>
      </c>
      <c r="H4698" s="13">
        <f>IF($B4698="OUT",$D4698,0)</f>
      </c>
    </row>
    <row x14ac:dyDescent="0.25" r="4699" customHeight="1" ht="17.25">
      <c r="A4699" s="52"/>
      <c r="B4699" s="2"/>
      <c r="C4699" s="2"/>
      <c r="D4699" s="3"/>
      <c r="E4699" s="3"/>
      <c r="F4699" s="2"/>
      <c r="G4699" s="13">
        <f>IF($B4699="IN",$D4699,0)</f>
      </c>
      <c r="H4699" s="13">
        <f>IF($B4699="OUT",$D4699,0)</f>
      </c>
    </row>
    <row x14ac:dyDescent="0.25" r="4700" customHeight="1" ht="17.25">
      <c r="A4700" s="52"/>
      <c r="B4700" s="2"/>
      <c r="C4700" s="2"/>
      <c r="D4700" s="3"/>
      <c r="E4700" s="3"/>
      <c r="F4700" s="2"/>
      <c r="G4700" s="13">
        <f>IF($B4700="IN",$D4700,0)</f>
      </c>
      <c r="H4700" s="13">
        <f>IF($B4700="OUT",$D4700,0)</f>
      </c>
    </row>
    <row x14ac:dyDescent="0.25" r="4701" customHeight="1" ht="17.25">
      <c r="A4701" s="52"/>
      <c r="B4701" s="2"/>
      <c r="C4701" s="2"/>
      <c r="D4701" s="3"/>
      <c r="E4701" s="3"/>
      <c r="F4701" s="2"/>
      <c r="G4701" s="13">
        <f>IF($B4701="IN",$D4701,0)</f>
      </c>
      <c r="H4701" s="13">
        <f>IF($B4701="OUT",$D4701,0)</f>
      </c>
    </row>
    <row x14ac:dyDescent="0.25" r="4702" customHeight="1" ht="17.25">
      <c r="A4702" s="52"/>
      <c r="B4702" s="2"/>
      <c r="C4702" s="2"/>
      <c r="D4702" s="3"/>
      <c r="E4702" s="3"/>
      <c r="F4702" s="2"/>
      <c r="G4702" s="13">
        <f>IF($B4702="IN",$D4702,0)</f>
      </c>
      <c r="H4702" s="13">
        <f>IF($B4702="OUT",$D4702,0)</f>
      </c>
    </row>
    <row x14ac:dyDescent="0.25" r="4703" customHeight="1" ht="17.25">
      <c r="A4703" s="52"/>
      <c r="B4703" s="2"/>
      <c r="C4703" s="2"/>
      <c r="D4703" s="3"/>
      <c r="E4703" s="3"/>
      <c r="F4703" s="2"/>
      <c r="G4703" s="13">
        <f>IF($B4703="IN",$D4703,0)</f>
      </c>
      <c r="H4703" s="13">
        <f>IF($B4703="OUT",$D4703,0)</f>
      </c>
    </row>
    <row x14ac:dyDescent="0.25" r="4704" customHeight="1" ht="17.25">
      <c r="A4704" s="52"/>
      <c r="B4704" s="2"/>
      <c r="C4704" s="2"/>
      <c r="D4704" s="3"/>
      <c r="E4704" s="3"/>
      <c r="F4704" s="2"/>
      <c r="G4704" s="13">
        <f>IF($B4704="IN",$D4704,0)</f>
      </c>
      <c r="H4704" s="13">
        <f>IF($B4704="OUT",$D4704,0)</f>
      </c>
    </row>
    <row x14ac:dyDescent="0.25" r="4705" customHeight="1" ht="17.25">
      <c r="A4705" s="52"/>
      <c r="B4705" s="2"/>
      <c r="C4705" s="2"/>
      <c r="D4705" s="3"/>
      <c r="E4705" s="3"/>
      <c r="F4705" s="2"/>
      <c r="G4705" s="13">
        <f>IF($B4705="IN",$D4705,0)</f>
      </c>
      <c r="H4705" s="13">
        <f>IF($B4705="OUT",$D4705,0)</f>
      </c>
    </row>
    <row x14ac:dyDescent="0.25" r="4706" customHeight="1" ht="17.25">
      <c r="A4706" s="52"/>
      <c r="B4706" s="2"/>
      <c r="C4706" s="2"/>
      <c r="D4706" s="3"/>
      <c r="E4706" s="3"/>
      <c r="F4706" s="2"/>
      <c r="G4706" s="13">
        <f>IF($B4706="IN",$D4706,0)</f>
      </c>
      <c r="H4706" s="13">
        <f>IF($B4706="OUT",$D4706,0)</f>
      </c>
    </row>
    <row x14ac:dyDescent="0.25" r="4707" customHeight="1" ht="17.25">
      <c r="A4707" s="52"/>
      <c r="B4707" s="2"/>
      <c r="C4707" s="2"/>
      <c r="D4707" s="3"/>
      <c r="E4707" s="3"/>
      <c r="F4707" s="2"/>
      <c r="G4707" s="13">
        <f>IF($B4707="IN",$D4707,0)</f>
      </c>
      <c r="H4707" s="13">
        <f>IF($B4707="OUT",$D4707,0)</f>
      </c>
    </row>
    <row x14ac:dyDescent="0.25" r="4708" customHeight="1" ht="17.25">
      <c r="A4708" s="52"/>
      <c r="B4708" s="2"/>
      <c r="C4708" s="2"/>
      <c r="D4708" s="3"/>
      <c r="E4708" s="3"/>
      <c r="F4708" s="2"/>
      <c r="G4708" s="13">
        <f>IF($B4708="IN",$D4708,0)</f>
      </c>
      <c r="H4708" s="13">
        <f>IF($B4708="OUT",$D4708,0)</f>
      </c>
    </row>
    <row x14ac:dyDescent="0.25" r="4709" customHeight="1" ht="17.25">
      <c r="A4709" s="52"/>
      <c r="B4709" s="2"/>
      <c r="C4709" s="2"/>
      <c r="D4709" s="3"/>
      <c r="E4709" s="3"/>
      <c r="F4709" s="2"/>
      <c r="G4709" s="13">
        <f>IF($B4709="IN",$D4709,0)</f>
      </c>
      <c r="H4709" s="13">
        <f>IF($B4709="OUT",$D4709,0)</f>
      </c>
    </row>
    <row x14ac:dyDescent="0.25" r="4710" customHeight="1" ht="17.25">
      <c r="A4710" s="52"/>
      <c r="B4710" s="2"/>
      <c r="C4710" s="2"/>
      <c r="D4710" s="3"/>
      <c r="E4710" s="3"/>
      <c r="F4710" s="2"/>
      <c r="G4710" s="13">
        <f>IF($B4710="IN",$D4710,0)</f>
      </c>
      <c r="H4710" s="13">
        <f>IF($B4710="OUT",$D4710,0)</f>
      </c>
    </row>
    <row x14ac:dyDescent="0.25" r="4711" customHeight="1" ht="17.25">
      <c r="A4711" s="52"/>
      <c r="B4711" s="2"/>
      <c r="C4711" s="2"/>
      <c r="D4711" s="3"/>
      <c r="E4711" s="3"/>
      <c r="F4711" s="2"/>
      <c r="G4711" s="13">
        <f>IF($B4711="IN",$D4711,0)</f>
      </c>
      <c r="H4711" s="13">
        <f>IF($B4711="OUT",$D4711,0)</f>
      </c>
    </row>
    <row x14ac:dyDescent="0.25" r="4712" customHeight="1" ht="17.25">
      <c r="A4712" s="52"/>
      <c r="B4712" s="2"/>
      <c r="C4712" s="2"/>
      <c r="D4712" s="3"/>
      <c r="E4712" s="3"/>
      <c r="F4712" s="2"/>
      <c r="G4712" s="13">
        <f>IF($B4712="IN",$D4712,0)</f>
      </c>
      <c r="H4712" s="13">
        <f>IF($B4712="OUT",$D4712,0)</f>
      </c>
    </row>
    <row x14ac:dyDescent="0.25" r="4713" customHeight="1" ht="17.25">
      <c r="A4713" s="52"/>
      <c r="B4713" s="2"/>
      <c r="C4713" s="2"/>
      <c r="D4713" s="3"/>
      <c r="E4713" s="3"/>
      <c r="F4713" s="2"/>
      <c r="G4713" s="13">
        <f>IF($B4713="IN",$D4713,0)</f>
      </c>
      <c r="H4713" s="13">
        <f>IF($B4713="OUT",$D4713,0)</f>
      </c>
    </row>
    <row x14ac:dyDescent="0.25" r="4714" customHeight="1" ht="17.25">
      <c r="A4714" s="52"/>
      <c r="B4714" s="2"/>
      <c r="C4714" s="2"/>
      <c r="D4714" s="3"/>
      <c r="E4714" s="3"/>
      <c r="F4714" s="2"/>
      <c r="G4714" s="13">
        <f>IF($B4714="IN",$D4714,0)</f>
      </c>
      <c r="H4714" s="13">
        <f>IF($B4714="OUT",$D4714,0)</f>
      </c>
    </row>
    <row x14ac:dyDescent="0.25" r="4715" customHeight="1" ht="17.25">
      <c r="A4715" s="52"/>
      <c r="B4715" s="2"/>
      <c r="C4715" s="2"/>
      <c r="D4715" s="3"/>
      <c r="E4715" s="3"/>
      <c r="F4715" s="2"/>
      <c r="G4715" s="13">
        <f>IF($B4715="IN",$D4715,0)</f>
      </c>
      <c r="H4715" s="13">
        <f>IF($B4715="OUT",$D4715,0)</f>
      </c>
    </row>
    <row x14ac:dyDescent="0.25" r="4716" customHeight="1" ht="17.25">
      <c r="A4716" s="52"/>
      <c r="B4716" s="2"/>
      <c r="C4716" s="2"/>
      <c r="D4716" s="3"/>
      <c r="E4716" s="3"/>
      <c r="F4716" s="2"/>
      <c r="G4716" s="13">
        <f>IF($B4716="IN",$D4716,0)</f>
      </c>
      <c r="H4716" s="13">
        <f>IF($B4716="OUT",$D4716,0)</f>
      </c>
    </row>
    <row x14ac:dyDescent="0.25" r="4717" customHeight="1" ht="17.25">
      <c r="A4717" s="52"/>
      <c r="B4717" s="2"/>
      <c r="C4717" s="2"/>
      <c r="D4717" s="3"/>
      <c r="E4717" s="3"/>
      <c r="F4717" s="2"/>
      <c r="G4717" s="13">
        <f>IF($B4717="IN",$D4717,0)</f>
      </c>
      <c r="H4717" s="13">
        <f>IF($B4717="OUT",$D4717,0)</f>
      </c>
    </row>
    <row x14ac:dyDescent="0.25" r="4718" customHeight="1" ht="17.25">
      <c r="A4718" s="52"/>
      <c r="B4718" s="2"/>
      <c r="C4718" s="2"/>
      <c r="D4718" s="3"/>
      <c r="E4718" s="3"/>
      <c r="F4718" s="2"/>
      <c r="G4718" s="13">
        <f>IF($B4718="IN",$D4718,0)</f>
      </c>
      <c r="H4718" s="13">
        <f>IF($B4718="OUT",$D4718,0)</f>
      </c>
    </row>
    <row x14ac:dyDescent="0.25" r="4719" customHeight="1" ht="17.25">
      <c r="A4719" s="52"/>
      <c r="B4719" s="2"/>
      <c r="C4719" s="2"/>
      <c r="D4719" s="3"/>
      <c r="E4719" s="3"/>
      <c r="F4719" s="2"/>
      <c r="G4719" s="13">
        <f>IF($B4719="IN",$D4719,0)</f>
      </c>
      <c r="H4719" s="13">
        <f>IF($B4719="OUT",$D4719,0)</f>
      </c>
    </row>
    <row x14ac:dyDescent="0.25" r="4720" customHeight="1" ht="17.25">
      <c r="A4720" s="52"/>
      <c r="B4720" s="2"/>
      <c r="C4720" s="2"/>
      <c r="D4720" s="3"/>
      <c r="E4720" s="3"/>
      <c r="F4720" s="2"/>
      <c r="G4720" s="13">
        <f>IF($B4720="IN",$D4720,0)</f>
      </c>
      <c r="H4720" s="13">
        <f>IF($B4720="OUT",$D4720,0)</f>
      </c>
    </row>
    <row x14ac:dyDescent="0.25" r="4721" customHeight="1" ht="17.25">
      <c r="A4721" s="52"/>
      <c r="B4721" s="2"/>
      <c r="C4721" s="2"/>
      <c r="D4721" s="3"/>
      <c r="E4721" s="3"/>
      <c r="F4721" s="2"/>
      <c r="G4721" s="13">
        <f>IF($B4721="IN",$D4721,0)</f>
      </c>
      <c r="H4721" s="13">
        <f>IF($B4721="OUT",$D4721,0)</f>
      </c>
    </row>
    <row x14ac:dyDescent="0.25" r="4722" customHeight="1" ht="17.25">
      <c r="A4722" s="52"/>
      <c r="B4722" s="2"/>
      <c r="C4722" s="2"/>
      <c r="D4722" s="3"/>
      <c r="E4722" s="3"/>
      <c r="F4722" s="2"/>
      <c r="G4722" s="13">
        <f>IF($B4722="IN",$D4722,0)</f>
      </c>
      <c r="H4722" s="13">
        <f>IF($B4722="OUT",$D4722,0)</f>
      </c>
    </row>
    <row x14ac:dyDescent="0.25" r="4723" customHeight="1" ht="17.25">
      <c r="A4723" s="52"/>
      <c r="B4723" s="2"/>
      <c r="C4723" s="2"/>
      <c r="D4723" s="3"/>
      <c r="E4723" s="3"/>
      <c r="F4723" s="2"/>
      <c r="G4723" s="13">
        <f>IF($B4723="IN",$D4723,0)</f>
      </c>
      <c r="H4723" s="13">
        <f>IF($B4723="OUT",$D4723,0)</f>
      </c>
    </row>
    <row x14ac:dyDescent="0.25" r="4724" customHeight="1" ht="17.25">
      <c r="A4724" s="52"/>
      <c r="B4724" s="2"/>
      <c r="C4724" s="2"/>
      <c r="D4724" s="3"/>
      <c r="E4724" s="3"/>
      <c r="F4724" s="2"/>
      <c r="G4724" s="13">
        <f>IF($B4724="IN",$D4724,0)</f>
      </c>
      <c r="H4724" s="13">
        <f>IF($B4724="OUT",$D4724,0)</f>
      </c>
    </row>
    <row x14ac:dyDescent="0.25" r="4725" customHeight="1" ht="17.25">
      <c r="A4725" s="52"/>
      <c r="B4725" s="2"/>
      <c r="C4725" s="2"/>
      <c r="D4725" s="3"/>
      <c r="E4725" s="3"/>
      <c r="F4725" s="2"/>
      <c r="G4725" s="13">
        <f>IF($B4725="IN",$D4725,0)</f>
      </c>
      <c r="H4725" s="13">
        <f>IF($B4725="OUT",$D4725,0)</f>
      </c>
    </row>
    <row x14ac:dyDescent="0.25" r="4726" customHeight="1" ht="17.25">
      <c r="A4726" s="52"/>
      <c r="B4726" s="2"/>
      <c r="C4726" s="2"/>
      <c r="D4726" s="3"/>
      <c r="E4726" s="3"/>
      <c r="F4726" s="2"/>
      <c r="G4726" s="13">
        <f>IF($B4726="IN",$D4726,0)</f>
      </c>
      <c r="H4726" s="13">
        <f>IF($B4726="OUT",$D4726,0)</f>
      </c>
    </row>
    <row x14ac:dyDescent="0.25" r="4727" customHeight="1" ht="17.25">
      <c r="A4727" s="52"/>
      <c r="B4727" s="2"/>
      <c r="C4727" s="2"/>
      <c r="D4727" s="3"/>
      <c r="E4727" s="3"/>
      <c r="F4727" s="2"/>
      <c r="G4727" s="13">
        <f>IF($B4727="IN",$D4727,0)</f>
      </c>
      <c r="H4727" s="13">
        <f>IF($B4727="OUT",$D4727,0)</f>
      </c>
    </row>
    <row x14ac:dyDescent="0.25" r="4728" customHeight="1" ht="17.25">
      <c r="A4728" s="52"/>
      <c r="B4728" s="2"/>
      <c r="C4728" s="2"/>
      <c r="D4728" s="3"/>
      <c r="E4728" s="3"/>
      <c r="F4728" s="2"/>
      <c r="G4728" s="13">
        <f>IF($B4728="IN",$D4728,0)</f>
      </c>
      <c r="H4728" s="13">
        <f>IF($B4728="OUT",$D4728,0)</f>
      </c>
    </row>
    <row x14ac:dyDescent="0.25" r="4729" customHeight="1" ht="17.25">
      <c r="A4729" s="52"/>
      <c r="B4729" s="2"/>
      <c r="C4729" s="2"/>
      <c r="D4729" s="3"/>
      <c r="E4729" s="3"/>
      <c r="F4729" s="2"/>
      <c r="G4729" s="13">
        <f>IF($B4729="IN",$D4729,0)</f>
      </c>
      <c r="H4729" s="13">
        <f>IF($B4729="OUT",$D4729,0)</f>
      </c>
    </row>
    <row x14ac:dyDescent="0.25" r="4730" customHeight="1" ht="17.25">
      <c r="A4730" s="52"/>
      <c r="B4730" s="2"/>
      <c r="C4730" s="2"/>
      <c r="D4730" s="3"/>
      <c r="E4730" s="3"/>
      <c r="F4730" s="2"/>
      <c r="G4730" s="13">
        <f>IF($B4730="IN",$D4730,0)</f>
      </c>
      <c r="H4730" s="13">
        <f>IF($B4730="OUT",$D4730,0)</f>
      </c>
    </row>
    <row x14ac:dyDescent="0.25" r="4731" customHeight="1" ht="17.25">
      <c r="A4731" s="52"/>
      <c r="B4731" s="2"/>
      <c r="C4731" s="2"/>
      <c r="D4731" s="3"/>
      <c r="E4731" s="3"/>
      <c r="F4731" s="2"/>
      <c r="G4731" s="13">
        <f>IF($B4731="IN",$D4731,0)</f>
      </c>
      <c r="H4731" s="13">
        <f>IF($B4731="OUT",$D4731,0)</f>
      </c>
    </row>
    <row x14ac:dyDescent="0.25" r="4732" customHeight="1" ht="17.25">
      <c r="A4732" s="52"/>
      <c r="B4732" s="2"/>
      <c r="C4732" s="2"/>
      <c r="D4732" s="3"/>
      <c r="E4732" s="3"/>
      <c r="F4732" s="2"/>
      <c r="G4732" s="13">
        <f>IF($B4732="IN",$D4732,0)</f>
      </c>
      <c r="H4732" s="13">
        <f>IF($B4732="OUT",$D4732,0)</f>
      </c>
    </row>
    <row x14ac:dyDescent="0.25" r="4733" customHeight="1" ht="17.25">
      <c r="A4733" s="52"/>
      <c r="B4733" s="2"/>
      <c r="C4733" s="2"/>
      <c r="D4733" s="3"/>
      <c r="E4733" s="3"/>
      <c r="F4733" s="2"/>
      <c r="G4733" s="13">
        <f>IF($B4733="IN",$D4733,0)</f>
      </c>
      <c r="H4733" s="13">
        <f>IF($B4733="OUT",$D4733,0)</f>
      </c>
    </row>
    <row x14ac:dyDescent="0.25" r="4734" customHeight="1" ht="17.25">
      <c r="A4734" s="52"/>
      <c r="B4734" s="2"/>
      <c r="C4734" s="2"/>
      <c r="D4734" s="3"/>
      <c r="E4734" s="3"/>
      <c r="F4734" s="2"/>
      <c r="G4734" s="13">
        <f>IF($B4734="IN",$D4734,0)</f>
      </c>
      <c r="H4734" s="13">
        <f>IF($B4734="OUT",$D4734,0)</f>
      </c>
    </row>
    <row x14ac:dyDescent="0.25" r="4735" customHeight="1" ht="17.25">
      <c r="A4735" s="52"/>
      <c r="B4735" s="2"/>
      <c r="C4735" s="2"/>
      <c r="D4735" s="3"/>
      <c r="E4735" s="3"/>
      <c r="F4735" s="2"/>
      <c r="G4735" s="13">
        <f>IF($B4735="IN",$D4735,0)</f>
      </c>
      <c r="H4735" s="13">
        <f>IF($B4735="OUT",$D4735,0)</f>
      </c>
    </row>
    <row x14ac:dyDescent="0.25" r="4736" customHeight="1" ht="17.25">
      <c r="A4736" s="52"/>
      <c r="B4736" s="2"/>
      <c r="C4736" s="2"/>
      <c r="D4736" s="3"/>
      <c r="E4736" s="3"/>
      <c r="F4736" s="2"/>
      <c r="G4736" s="13">
        <f>IF($B4736="IN",$D4736,0)</f>
      </c>
      <c r="H4736" s="13">
        <f>IF($B4736="OUT",$D4736,0)</f>
      </c>
    </row>
    <row x14ac:dyDescent="0.25" r="4737" customHeight="1" ht="17.25">
      <c r="A4737" s="52"/>
      <c r="B4737" s="2"/>
      <c r="C4737" s="2"/>
      <c r="D4737" s="3"/>
      <c r="E4737" s="3"/>
      <c r="F4737" s="2"/>
      <c r="G4737" s="13">
        <f>IF($B4737="IN",$D4737,0)</f>
      </c>
      <c r="H4737" s="13">
        <f>IF($B4737="OUT",$D4737,0)</f>
      </c>
    </row>
    <row x14ac:dyDescent="0.25" r="4738" customHeight="1" ht="17.25">
      <c r="A4738" s="52"/>
      <c r="B4738" s="2"/>
      <c r="C4738" s="2"/>
      <c r="D4738" s="3"/>
      <c r="E4738" s="3"/>
      <c r="F4738" s="2"/>
      <c r="G4738" s="13">
        <f>IF($B4738="IN",$D4738,0)</f>
      </c>
      <c r="H4738" s="13">
        <f>IF($B4738="OUT",$D4738,0)</f>
      </c>
    </row>
    <row x14ac:dyDescent="0.25" r="4739" customHeight="1" ht="17.25">
      <c r="A4739" s="52"/>
      <c r="B4739" s="2"/>
      <c r="C4739" s="2"/>
      <c r="D4739" s="3"/>
      <c r="E4739" s="3"/>
      <c r="F4739" s="2"/>
      <c r="G4739" s="13">
        <f>IF($B4739="IN",$D4739,0)</f>
      </c>
      <c r="H4739" s="13">
        <f>IF($B4739="OUT",$D4739,0)</f>
      </c>
    </row>
    <row x14ac:dyDescent="0.25" r="4740" customHeight="1" ht="17.25">
      <c r="A4740" s="52"/>
      <c r="B4740" s="2"/>
      <c r="C4740" s="2"/>
      <c r="D4740" s="3"/>
      <c r="E4740" s="3"/>
      <c r="F4740" s="2"/>
      <c r="G4740" s="13">
        <f>IF($B4740="IN",$D4740,0)</f>
      </c>
      <c r="H4740" s="13">
        <f>IF($B4740="OUT",$D4740,0)</f>
      </c>
    </row>
    <row x14ac:dyDescent="0.25" r="4741" customHeight="1" ht="17.25">
      <c r="A4741" s="52"/>
      <c r="B4741" s="2"/>
      <c r="C4741" s="2"/>
      <c r="D4741" s="3"/>
      <c r="E4741" s="3"/>
      <c r="F4741" s="2"/>
      <c r="G4741" s="13">
        <f>IF($B4741="IN",$D4741,0)</f>
      </c>
      <c r="H4741" s="13">
        <f>IF($B4741="OUT",$D4741,0)</f>
      </c>
    </row>
    <row x14ac:dyDescent="0.25" r="4742" customHeight="1" ht="17.25">
      <c r="A4742" s="52"/>
      <c r="B4742" s="2"/>
      <c r="C4742" s="2"/>
      <c r="D4742" s="3"/>
      <c r="E4742" s="3"/>
      <c r="F4742" s="2"/>
      <c r="G4742" s="13">
        <f>IF($B4742="IN",$D4742,0)</f>
      </c>
      <c r="H4742" s="13">
        <f>IF($B4742="OUT",$D4742,0)</f>
      </c>
    </row>
    <row x14ac:dyDescent="0.25" r="4743" customHeight="1" ht="17.25">
      <c r="A4743" s="52"/>
      <c r="B4743" s="2"/>
      <c r="C4743" s="2"/>
      <c r="D4743" s="3"/>
      <c r="E4743" s="3"/>
      <c r="F4743" s="2"/>
      <c r="G4743" s="13">
        <f>IF($B4743="IN",$D4743,0)</f>
      </c>
      <c r="H4743" s="13">
        <f>IF($B4743="OUT",$D4743,0)</f>
      </c>
    </row>
    <row x14ac:dyDescent="0.25" r="4744" customHeight="1" ht="17.25">
      <c r="A4744" s="52"/>
      <c r="B4744" s="2"/>
      <c r="C4744" s="2"/>
      <c r="D4744" s="3"/>
      <c r="E4744" s="3"/>
      <c r="F4744" s="2"/>
      <c r="G4744" s="13">
        <f>IF($B4744="IN",$D4744,0)</f>
      </c>
      <c r="H4744" s="13">
        <f>IF($B4744="OUT",$D4744,0)</f>
      </c>
    </row>
    <row x14ac:dyDescent="0.25" r="4745" customHeight="1" ht="17.25">
      <c r="A4745" s="52"/>
      <c r="B4745" s="2"/>
      <c r="C4745" s="2"/>
      <c r="D4745" s="3"/>
      <c r="E4745" s="3"/>
      <c r="F4745" s="2"/>
      <c r="G4745" s="13">
        <f>IF($B4745="IN",$D4745,0)</f>
      </c>
      <c r="H4745" s="13">
        <f>IF($B4745="OUT",$D4745,0)</f>
      </c>
    </row>
    <row x14ac:dyDescent="0.25" r="4746" customHeight="1" ht="17.25">
      <c r="A4746" s="52"/>
      <c r="B4746" s="2"/>
      <c r="C4746" s="2"/>
      <c r="D4746" s="3"/>
      <c r="E4746" s="3"/>
      <c r="F4746" s="2"/>
      <c r="G4746" s="13">
        <f>IF($B4746="IN",$D4746,0)</f>
      </c>
      <c r="H4746" s="13">
        <f>IF($B4746="OUT",$D4746,0)</f>
      </c>
    </row>
    <row x14ac:dyDescent="0.25" r="4747" customHeight="1" ht="17.25">
      <c r="A4747" s="52"/>
      <c r="B4747" s="2"/>
      <c r="C4747" s="2"/>
      <c r="D4747" s="3"/>
      <c r="E4747" s="3"/>
      <c r="F4747" s="2"/>
      <c r="G4747" s="13">
        <f>IF($B4747="IN",$D4747,0)</f>
      </c>
      <c r="H4747" s="13">
        <f>IF($B4747="OUT",$D4747,0)</f>
      </c>
    </row>
    <row x14ac:dyDescent="0.25" r="4748" customHeight="1" ht="17.25">
      <c r="A4748" s="52"/>
      <c r="B4748" s="2"/>
      <c r="C4748" s="2"/>
      <c r="D4748" s="3"/>
      <c r="E4748" s="3"/>
      <c r="F4748" s="2"/>
      <c r="G4748" s="13">
        <f>IF($B4748="IN",$D4748,0)</f>
      </c>
      <c r="H4748" s="13">
        <f>IF($B4748="OUT",$D4748,0)</f>
      </c>
    </row>
    <row x14ac:dyDescent="0.25" r="4749" customHeight="1" ht="17.25">
      <c r="A4749" s="52"/>
      <c r="B4749" s="2"/>
      <c r="C4749" s="2"/>
      <c r="D4749" s="3"/>
      <c r="E4749" s="3"/>
      <c r="F4749" s="2"/>
      <c r="G4749" s="13">
        <f>IF($B4749="IN",$D4749,0)</f>
      </c>
      <c r="H4749" s="13">
        <f>IF($B4749="OUT",$D4749,0)</f>
      </c>
    </row>
    <row x14ac:dyDescent="0.25" r="4750" customHeight="1" ht="17.25">
      <c r="A4750" s="52"/>
      <c r="B4750" s="2"/>
      <c r="C4750" s="2"/>
      <c r="D4750" s="3"/>
      <c r="E4750" s="3"/>
      <c r="F4750" s="2"/>
      <c r="G4750" s="13">
        <f>IF($B4750="IN",$D4750,0)</f>
      </c>
      <c r="H4750" s="13">
        <f>IF($B4750="OUT",$D4750,0)</f>
      </c>
    </row>
    <row x14ac:dyDescent="0.25" r="4751" customHeight="1" ht="17.25">
      <c r="A4751" s="52"/>
      <c r="B4751" s="2"/>
      <c r="C4751" s="2"/>
      <c r="D4751" s="3"/>
      <c r="E4751" s="3"/>
      <c r="F4751" s="2"/>
      <c r="G4751" s="13">
        <f>IF($B4751="IN",$D4751,0)</f>
      </c>
      <c r="H4751" s="13">
        <f>IF($B4751="OUT",$D4751,0)</f>
      </c>
    </row>
    <row x14ac:dyDescent="0.25" r="4752" customHeight="1" ht="17.25">
      <c r="A4752" s="52"/>
      <c r="B4752" s="2"/>
      <c r="C4752" s="2"/>
      <c r="D4752" s="3"/>
      <c r="E4752" s="3"/>
      <c r="F4752" s="2"/>
      <c r="G4752" s="13">
        <f>IF($B4752="IN",$D4752,0)</f>
      </c>
      <c r="H4752" s="13">
        <f>IF($B4752="OUT",$D4752,0)</f>
      </c>
    </row>
    <row x14ac:dyDescent="0.25" r="4753" customHeight="1" ht="17.25">
      <c r="A4753" s="52"/>
      <c r="B4753" s="2"/>
      <c r="C4753" s="2"/>
      <c r="D4753" s="3"/>
      <c r="E4753" s="3"/>
      <c r="F4753" s="2"/>
      <c r="G4753" s="13">
        <f>IF($B4753="IN",$D4753,0)</f>
      </c>
      <c r="H4753" s="13">
        <f>IF($B4753="OUT",$D4753,0)</f>
      </c>
    </row>
    <row x14ac:dyDescent="0.25" r="4754" customHeight="1" ht="17.25">
      <c r="A4754" s="52"/>
      <c r="B4754" s="2"/>
      <c r="C4754" s="2"/>
      <c r="D4754" s="3"/>
      <c r="E4754" s="3"/>
      <c r="F4754" s="2"/>
      <c r="G4754" s="13">
        <f>IF($B4754="IN",$D4754,0)</f>
      </c>
      <c r="H4754" s="13">
        <f>IF($B4754="OUT",$D4754,0)</f>
      </c>
    </row>
    <row x14ac:dyDescent="0.25" r="4755" customHeight="1" ht="17.25">
      <c r="A4755" s="52"/>
      <c r="B4755" s="2"/>
      <c r="C4755" s="2"/>
      <c r="D4755" s="3"/>
      <c r="E4755" s="3"/>
      <c r="F4755" s="2"/>
      <c r="G4755" s="13">
        <f>IF($B4755="IN",$D4755,0)</f>
      </c>
      <c r="H4755" s="13">
        <f>IF($B4755="OUT",$D4755,0)</f>
      </c>
    </row>
    <row x14ac:dyDescent="0.25" r="4756" customHeight="1" ht="17.25">
      <c r="A4756" s="52"/>
      <c r="B4756" s="2"/>
      <c r="C4756" s="2"/>
      <c r="D4756" s="3"/>
      <c r="E4756" s="3"/>
      <c r="F4756" s="2"/>
      <c r="G4756" s="13">
        <f>IF($B4756="IN",$D4756,0)</f>
      </c>
      <c r="H4756" s="13">
        <f>IF($B4756="OUT",$D4756,0)</f>
      </c>
    </row>
    <row x14ac:dyDescent="0.25" r="4757" customHeight="1" ht="17.25">
      <c r="A4757" s="52"/>
      <c r="B4757" s="2"/>
      <c r="C4757" s="2"/>
      <c r="D4757" s="3"/>
      <c r="E4757" s="3"/>
      <c r="F4757" s="2"/>
      <c r="G4757" s="13">
        <f>IF($B4757="IN",$D4757,0)</f>
      </c>
      <c r="H4757" s="13">
        <f>IF($B4757="OUT",$D4757,0)</f>
      </c>
    </row>
    <row x14ac:dyDescent="0.25" r="4758" customHeight="1" ht="17.25">
      <c r="A4758" s="52"/>
      <c r="B4758" s="2"/>
      <c r="C4758" s="2"/>
      <c r="D4758" s="3"/>
      <c r="E4758" s="3"/>
      <c r="F4758" s="2"/>
      <c r="G4758" s="13">
        <f>IF($B4758="IN",$D4758,0)</f>
      </c>
      <c r="H4758" s="13">
        <f>IF($B4758="OUT",$D4758,0)</f>
      </c>
    </row>
    <row x14ac:dyDescent="0.25" r="4759" customHeight="1" ht="17.25">
      <c r="A4759" s="52"/>
      <c r="B4759" s="2"/>
      <c r="C4759" s="2"/>
      <c r="D4759" s="3"/>
      <c r="E4759" s="3"/>
      <c r="F4759" s="2"/>
      <c r="G4759" s="13">
        <f>IF($B4759="IN",$D4759,0)</f>
      </c>
      <c r="H4759" s="13">
        <f>IF($B4759="OUT",$D4759,0)</f>
      </c>
    </row>
    <row x14ac:dyDescent="0.25" r="4760" customHeight="1" ht="17.25">
      <c r="A4760" s="52"/>
      <c r="B4760" s="2"/>
      <c r="C4760" s="2"/>
      <c r="D4760" s="3"/>
      <c r="E4760" s="3"/>
      <c r="F4760" s="2"/>
      <c r="G4760" s="13">
        <f>IF($B4760="IN",$D4760,0)</f>
      </c>
      <c r="H4760" s="13">
        <f>IF($B4760="OUT",$D4760,0)</f>
      </c>
    </row>
    <row x14ac:dyDescent="0.25" r="4761" customHeight="1" ht="17.25">
      <c r="A4761" s="52"/>
      <c r="B4761" s="2"/>
      <c r="C4761" s="2"/>
      <c r="D4761" s="3"/>
      <c r="E4761" s="3"/>
      <c r="F4761" s="2"/>
      <c r="G4761" s="13">
        <f>IF($B4761="IN",$D4761,0)</f>
      </c>
      <c r="H4761" s="13">
        <f>IF($B4761="OUT",$D4761,0)</f>
      </c>
    </row>
    <row x14ac:dyDescent="0.25" r="4762" customHeight="1" ht="17.25">
      <c r="A4762" s="52"/>
      <c r="B4762" s="2"/>
      <c r="C4762" s="2"/>
      <c r="D4762" s="3"/>
      <c r="E4762" s="3"/>
      <c r="F4762" s="2"/>
      <c r="G4762" s="13">
        <f>IF($B4762="IN",$D4762,0)</f>
      </c>
      <c r="H4762" s="13">
        <f>IF($B4762="OUT",$D4762,0)</f>
      </c>
    </row>
    <row x14ac:dyDescent="0.25" r="4763" customHeight="1" ht="17.25">
      <c r="A4763" s="52"/>
      <c r="B4763" s="2"/>
      <c r="C4763" s="2"/>
      <c r="D4763" s="3"/>
      <c r="E4763" s="3"/>
      <c r="F4763" s="2"/>
      <c r="G4763" s="13">
        <f>IF($B4763="IN",$D4763,0)</f>
      </c>
      <c r="H4763" s="13">
        <f>IF($B4763="OUT",$D4763,0)</f>
      </c>
    </row>
    <row x14ac:dyDescent="0.25" r="4764" customHeight="1" ht="17.25">
      <c r="A4764" s="52"/>
      <c r="B4764" s="2"/>
      <c r="C4764" s="2"/>
      <c r="D4764" s="3"/>
      <c r="E4764" s="3"/>
      <c r="F4764" s="2"/>
      <c r="G4764" s="13">
        <f>IF($B4764="IN",$D4764,0)</f>
      </c>
      <c r="H4764" s="13">
        <f>IF($B4764="OUT",$D4764,0)</f>
      </c>
    </row>
    <row x14ac:dyDescent="0.25" r="4765" customHeight="1" ht="17.25">
      <c r="A4765" s="52"/>
      <c r="B4765" s="2"/>
      <c r="C4765" s="2"/>
      <c r="D4765" s="3"/>
      <c r="E4765" s="3"/>
      <c r="F4765" s="2"/>
      <c r="G4765" s="13">
        <f>IF($B4765="IN",$D4765,0)</f>
      </c>
      <c r="H4765" s="13">
        <f>IF($B4765="OUT",$D4765,0)</f>
      </c>
    </row>
    <row x14ac:dyDescent="0.25" r="4766" customHeight="1" ht="17.25">
      <c r="A4766" s="52"/>
      <c r="B4766" s="2"/>
      <c r="C4766" s="2"/>
      <c r="D4766" s="3"/>
      <c r="E4766" s="3"/>
      <c r="F4766" s="2"/>
      <c r="G4766" s="13">
        <f>IF($B4766="IN",$D4766,0)</f>
      </c>
      <c r="H4766" s="13">
        <f>IF($B4766="OUT",$D4766,0)</f>
      </c>
    </row>
    <row x14ac:dyDescent="0.25" r="4767" customHeight="1" ht="17.25">
      <c r="A4767" s="52"/>
      <c r="B4767" s="2"/>
      <c r="C4767" s="2"/>
      <c r="D4767" s="3"/>
      <c r="E4767" s="3"/>
      <c r="F4767" s="2"/>
      <c r="G4767" s="13">
        <f>IF($B4767="IN",$D4767,0)</f>
      </c>
      <c r="H4767" s="13">
        <f>IF($B4767="OUT",$D4767,0)</f>
      </c>
    </row>
    <row x14ac:dyDescent="0.25" r="4768" customHeight="1" ht="17.25">
      <c r="A4768" s="52"/>
      <c r="B4768" s="2"/>
      <c r="C4768" s="2"/>
      <c r="D4768" s="3"/>
      <c r="E4768" s="3"/>
      <c r="F4768" s="2"/>
      <c r="G4768" s="13">
        <f>IF($B4768="IN",$D4768,0)</f>
      </c>
      <c r="H4768" s="13">
        <f>IF($B4768="OUT",$D4768,0)</f>
      </c>
    </row>
    <row x14ac:dyDescent="0.25" r="4769" customHeight="1" ht="17.25">
      <c r="A4769" s="52"/>
      <c r="B4769" s="2"/>
      <c r="C4769" s="2"/>
      <c r="D4769" s="3"/>
      <c r="E4769" s="3"/>
      <c r="F4769" s="2"/>
      <c r="G4769" s="13">
        <f>IF($B4769="IN",$D4769,0)</f>
      </c>
      <c r="H4769" s="13">
        <f>IF($B4769="OUT",$D4769,0)</f>
      </c>
    </row>
    <row x14ac:dyDescent="0.25" r="4770" customHeight="1" ht="17.25">
      <c r="A4770" s="52"/>
      <c r="B4770" s="2"/>
      <c r="C4770" s="2"/>
      <c r="D4770" s="3"/>
      <c r="E4770" s="3"/>
      <c r="F4770" s="2"/>
      <c r="G4770" s="13">
        <f>IF($B4770="IN",$D4770,0)</f>
      </c>
      <c r="H4770" s="13">
        <f>IF($B4770="OUT",$D4770,0)</f>
      </c>
    </row>
    <row x14ac:dyDescent="0.25" r="4771" customHeight="1" ht="17.25">
      <c r="A4771" s="52"/>
      <c r="B4771" s="2"/>
      <c r="C4771" s="2"/>
      <c r="D4771" s="3"/>
      <c r="E4771" s="3"/>
      <c r="F4771" s="2"/>
      <c r="G4771" s="13">
        <f>IF($B4771="IN",$D4771,0)</f>
      </c>
      <c r="H4771" s="13">
        <f>IF($B4771="OUT",$D4771,0)</f>
      </c>
    </row>
    <row x14ac:dyDescent="0.25" r="4772" customHeight="1" ht="17.25">
      <c r="A4772" s="52"/>
      <c r="B4772" s="2"/>
      <c r="C4772" s="2"/>
      <c r="D4772" s="3"/>
      <c r="E4772" s="3"/>
      <c r="F4772" s="2"/>
      <c r="G4772" s="13">
        <f>IF($B4772="IN",$D4772,0)</f>
      </c>
      <c r="H4772" s="13">
        <f>IF($B4772="OUT",$D4772,0)</f>
      </c>
    </row>
    <row x14ac:dyDescent="0.25" r="4773" customHeight="1" ht="17.25">
      <c r="A4773" s="52"/>
      <c r="B4773" s="2"/>
      <c r="C4773" s="2"/>
      <c r="D4773" s="3"/>
      <c r="E4773" s="3"/>
      <c r="F4773" s="2"/>
      <c r="G4773" s="13">
        <f>IF($B4773="IN",$D4773,0)</f>
      </c>
      <c r="H4773" s="13">
        <f>IF($B4773="OUT",$D4773,0)</f>
      </c>
    </row>
    <row x14ac:dyDescent="0.25" r="4774" customHeight="1" ht="17.25">
      <c r="A4774" s="52"/>
      <c r="B4774" s="2"/>
      <c r="C4774" s="2"/>
      <c r="D4774" s="3"/>
      <c r="E4774" s="3"/>
      <c r="F4774" s="2"/>
      <c r="G4774" s="13">
        <f>IF($B4774="IN",$D4774,0)</f>
      </c>
      <c r="H4774" s="13">
        <f>IF($B4774="OUT",$D4774,0)</f>
      </c>
    </row>
    <row x14ac:dyDescent="0.25" r="4775" customHeight="1" ht="17.25">
      <c r="A4775" s="52"/>
      <c r="B4775" s="2"/>
      <c r="C4775" s="2"/>
      <c r="D4775" s="3"/>
      <c r="E4775" s="3"/>
      <c r="F4775" s="2"/>
      <c r="G4775" s="13">
        <f>IF($B4775="IN",$D4775,0)</f>
      </c>
      <c r="H4775" s="13">
        <f>IF($B4775="OUT",$D4775,0)</f>
      </c>
    </row>
    <row x14ac:dyDescent="0.25" r="4776" customHeight="1" ht="17.25">
      <c r="A4776" s="52"/>
      <c r="B4776" s="2"/>
      <c r="C4776" s="2"/>
      <c r="D4776" s="3"/>
      <c r="E4776" s="3"/>
      <c r="F4776" s="2"/>
      <c r="G4776" s="13">
        <f>IF($B4776="IN",$D4776,0)</f>
      </c>
      <c r="H4776" s="13">
        <f>IF($B4776="OUT",$D4776,0)</f>
      </c>
    </row>
    <row x14ac:dyDescent="0.25" r="4777" customHeight="1" ht="17.25">
      <c r="A4777" s="52"/>
      <c r="B4777" s="2"/>
      <c r="C4777" s="2"/>
      <c r="D4777" s="3"/>
      <c r="E4777" s="3"/>
      <c r="F4777" s="2"/>
      <c r="G4777" s="13">
        <f>IF($B4777="IN",$D4777,0)</f>
      </c>
      <c r="H4777" s="13">
        <f>IF($B4777="OUT",$D4777,0)</f>
      </c>
    </row>
    <row x14ac:dyDescent="0.25" r="4778" customHeight="1" ht="17.25">
      <c r="A4778" s="52"/>
      <c r="B4778" s="2"/>
      <c r="C4778" s="2"/>
      <c r="D4778" s="3"/>
      <c r="E4778" s="3"/>
      <c r="F4778" s="2"/>
      <c r="G4778" s="13">
        <f>IF($B4778="IN",$D4778,0)</f>
      </c>
      <c r="H4778" s="13">
        <f>IF($B4778="OUT",$D4778,0)</f>
      </c>
    </row>
    <row x14ac:dyDescent="0.25" r="4779" customHeight="1" ht="17.25">
      <c r="A4779" s="52"/>
      <c r="B4779" s="2"/>
      <c r="C4779" s="2"/>
      <c r="D4779" s="3"/>
      <c r="E4779" s="3"/>
      <c r="F4779" s="2"/>
      <c r="G4779" s="13">
        <f>IF($B4779="IN",$D4779,0)</f>
      </c>
      <c r="H4779" s="13">
        <f>IF($B4779="OUT",$D4779,0)</f>
      </c>
    </row>
    <row x14ac:dyDescent="0.25" r="4780" customHeight="1" ht="17.25">
      <c r="A4780" s="52"/>
      <c r="B4780" s="2"/>
      <c r="C4780" s="2"/>
      <c r="D4780" s="3"/>
      <c r="E4780" s="3"/>
      <c r="F4780" s="2"/>
      <c r="G4780" s="13">
        <f>IF($B4780="IN",$D4780,0)</f>
      </c>
      <c r="H4780" s="13">
        <f>IF($B4780="OUT",$D4780,0)</f>
      </c>
    </row>
    <row x14ac:dyDescent="0.25" r="4781" customHeight="1" ht="17.25">
      <c r="A4781" s="52"/>
      <c r="B4781" s="2"/>
      <c r="C4781" s="2"/>
      <c r="D4781" s="3"/>
      <c r="E4781" s="3"/>
      <c r="F4781" s="2"/>
      <c r="G4781" s="13">
        <f>IF($B4781="IN",$D4781,0)</f>
      </c>
      <c r="H4781" s="13">
        <f>IF($B4781="OUT",$D4781,0)</f>
      </c>
    </row>
    <row x14ac:dyDescent="0.25" r="4782" customHeight="1" ht="17.25">
      <c r="A4782" s="52"/>
      <c r="B4782" s="2"/>
      <c r="C4782" s="2"/>
      <c r="D4782" s="3"/>
      <c r="E4782" s="3"/>
      <c r="F4782" s="2"/>
      <c r="G4782" s="13">
        <f>IF($B4782="IN",$D4782,0)</f>
      </c>
      <c r="H4782" s="13">
        <f>IF($B4782="OUT",$D4782,0)</f>
      </c>
    </row>
    <row x14ac:dyDescent="0.25" r="4783" customHeight="1" ht="17.25">
      <c r="A4783" s="52"/>
      <c r="B4783" s="2"/>
      <c r="C4783" s="2"/>
      <c r="D4783" s="3"/>
      <c r="E4783" s="3"/>
      <c r="F4783" s="2"/>
      <c r="G4783" s="13">
        <f>IF($B4783="IN",$D4783,0)</f>
      </c>
      <c r="H4783" s="13">
        <f>IF($B4783="OUT",$D4783,0)</f>
      </c>
    </row>
    <row x14ac:dyDescent="0.25" r="4784" customHeight="1" ht="17.25">
      <c r="A4784" s="52"/>
      <c r="B4784" s="2"/>
      <c r="C4784" s="2"/>
      <c r="D4784" s="3"/>
      <c r="E4784" s="3"/>
      <c r="F4784" s="2"/>
      <c r="G4784" s="13">
        <f>IF($B4784="IN",$D4784,0)</f>
      </c>
      <c r="H4784" s="13">
        <f>IF($B4784="OUT",$D4784,0)</f>
      </c>
    </row>
    <row x14ac:dyDescent="0.25" r="4785" customHeight="1" ht="17.25">
      <c r="A4785" s="52"/>
      <c r="B4785" s="2"/>
      <c r="C4785" s="2"/>
      <c r="D4785" s="3"/>
      <c r="E4785" s="3"/>
      <c r="F4785" s="2"/>
      <c r="G4785" s="13">
        <f>IF($B4785="IN",$D4785,0)</f>
      </c>
      <c r="H4785" s="13">
        <f>IF($B4785="OUT",$D4785,0)</f>
      </c>
    </row>
    <row x14ac:dyDescent="0.25" r="4786" customHeight="1" ht="17.25">
      <c r="A4786" s="52"/>
      <c r="B4786" s="2"/>
      <c r="C4786" s="2"/>
      <c r="D4786" s="3"/>
      <c r="E4786" s="3"/>
      <c r="F4786" s="2"/>
      <c r="G4786" s="13">
        <f>IF($B4786="IN",$D4786,0)</f>
      </c>
      <c r="H4786" s="13">
        <f>IF($B4786="OUT",$D4786,0)</f>
      </c>
    </row>
    <row x14ac:dyDescent="0.25" r="4787" customHeight="1" ht="17.25">
      <c r="A4787" s="52"/>
      <c r="B4787" s="2"/>
      <c r="C4787" s="2"/>
      <c r="D4787" s="3"/>
      <c r="E4787" s="3"/>
      <c r="F4787" s="2"/>
      <c r="G4787" s="13">
        <f>IF($B4787="IN",$D4787,0)</f>
      </c>
      <c r="H4787" s="13">
        <f>IF($B4787="OUT",$D4787,0)</f>
      </c>
    </row>
    <row x14ac:dyDescent="0.25" r="4788" customHeight="1" ht="17.25">
      <c r="A4788" s="52"/>
      <c r="B4788" s="2"/>
      <c r="C4788" s="2"/>
      <c r="D4788" s="3"/>
      <c r="E4788" s="3"/>
      <c r="F4788" s="2"/>
      <c r="G4788" s="13">
        <f>IF($B4788="IN",$D4788,0)</f>
      </c>
      <c r="H4788" s="13">
        <f>IF($B4788="OUT",$D4788,0)</f>
      </c>
    </row>
    <row x14ac:dyDescent="0.25" r="4789" customHeight="1" ht="17.25">
      <c r="A4789" s="52"/>
      <c r="B4789" s="2"/>
      <c r="C4789" s="2"/>
      <c r="D4789" s="3"/>
      <c r="E4789" s="3"/>
      <c r="F4789" s="2"/>
      <c r="G4789" s="13">
        <f>IF($B4789="IN",$D4789,0)</f>
      </c>
      <c r="H4789" s="13">
        <f>IF($B4789="OUT",$D4789,0)</f>
      </c>
    </row>
    <row x14ac:dyDescent="0.25" r="4790" customHeight="1" ht="17.25">
      <c r="A4790" s="52"/>
      <c r="B4790" s="2"/>
      <c r="C4790" s="2"/>
      <c r="D4790" s="3"/>
      <c r="E4790" s="3"/>
      <c r="F4790" s="2"/>
      <c r="G4790" s="13">
        <f>IF($B4790="IN",$D4790,0)</f>
      </c>
      <c r="H4790" s="13">
        <f>IF($B4790="OUT",$D4790,0)</f>
      </c>
    </row>
    <row x14ac:dyDescent="0.25" r="4791" customHeight="1" ht="17.25">
      <c r="A4791" s="52"/>
      <c r="B4791" s="2"/>
      <c r="C4791" s="2"/>
      <c r="D4791" s="3"/>
      <c r="E4791" s="3"/>
      <c r="F4791" s="2"/>
      <c r="G4791" s="13">
        <f>IF($B4791="IN",$D4791,0)</f>
      </c>
      <c r="H4791" s="13">
        <f>IF($B4791="OUT",$D4791,0)</f>
      </c>
    </row>
    <row x14ac:dyDescent="0.25" r="4792" customHeight="1" ht="17.25">
      <c r="A4792" s="52"/>
      <c r="B4792" s="2"/>
      <c r="C4792" s="2"/>
      <c r="D4792" s="3"/>
      <c r="E4792" s="3"/>
      <c r="F4792" s="2"/>
      <c r="G4792" s="13">
        <f>IF($B4792="IN",$D4792,0)</f>
      </c>
      <c r="H4792" s="13">
        <f>IF($B4792="OUT",$D4792,0)</f>
      </c>
    </row>
    <row x14ac:dyDescent="0.25" r="4793" customHeight="1" ht="17.25">
      <c r="A4793" s="52"/>
      <c r="B4793" s="2"/>
      <c r="C4793" s="2"/>
      <c r="D4793" s="3"/>
      <c r="E4793" s="3"/>
      <c r="F4793" s="2"/>
      <c r="G4793" s="13">
        <f>IF($B4793="IN",$D4793,0)</f>
      </c>
      <c r="H4793" s="13">
        <f>IF($B4793="OUT",$D4793,0)</f>
      </c>
    </row>
    <row x14ac:dyDescent="0.25" r="4794" customHeight="1" ht="17.25">
      <c r="A4794" s="52"/>
      <c r="B4794" s="2"/>
      <c r="C4794" s="2"/>
      <c r="D4794" s="3"/>
      <c r="E4794" s="3"/>
      <c r="F4794" s="2"/>
      <c r="G4794" s="13">
        <f>IF($B4794="IN",$D4794,0)</f>
      </c>
      <c r="H4794" s="13">
        <f>IF($B4794="OUT",$D4794,0)</f>
      </c>
    </row>
    <row x14ac:dyDescent="0.25" r="4795" customHeight="1" ht="17.25">
      <c r="A4795" s="52"/>
      <c r="B4795" s="2"/>
      <c r="C4795" s="2"/>
      <c r="D4795" s="3"/>
      <c r="E4795" s="3"/>
      <c r="F4795" s="2"/>
      <c r="G4795" s="13">
        <f>IF($B4795="IN",$D4795,0)</f>
      </c>
      <c r="H4795" s="13">
        <f>IF($B4795="OUT",$D4795,0)</f>
      </c>
    </row>
    <row x14ac:dyDescent="0.25" r="4796" customHeight="1" ht="17.25">
      <c r="A4796" s="52"/>
      <c r="B4796" s="2"/>
      <c r="C4796" s="2"/>
      <c r="D4796" s="3"/>
      <c r="E4796" s="3"/>
      <c r="F4796" s="2"/>
      <c r="G4796" s="13">
        <f>IF($B4796="IN",$D4796,0)</f>
      </c>
      <c r="H4796" s="13">
        <f>IF($B4796="OUT",$D4796,0)</f>
      </c>
    </row>
    <row x14ac:dyDescent="0.25" r="4797" customHeight="1" ht="17.25">
      <c r="A4797" s="52"/>
      <c r="B4797" s="2"/>
      <c r="C4797" s="2"/>
      <c r="D4797" s="3"/>
      <c r="E4797" s="3"/>
      <c r="F4797" s="2"/>
      <c r="G4797" s="13">
        <f>IF($B4797="IN",$D4797,0)</f>
      </c>
      <c r="H4797" s="13">
        <f>IF($B4797="OUT",$D4797,0)</f>
      </c>
    </row>
    <row x14ac:dyDescent="0.25" r="4798" customHeight="1" ht="17.25">
      <c r="A4798" s="52"/>
      <c r="B4798" s="2"/>
      <c r="C4798" s="2"/>
      <c r="D4798" s="3"/>
      <c r="E4798" s="3"/>
      <c r="F4798" s="2"/>
      <c r="G4798" s="13">
        <f>IF($B4798="IN",$D4798,0)</f>
      </c>
      <c r="H4798" s="13">
        <f>IF($B4798="OUT",$D4798,0)</f>
      </c>
    </row>
    <row x14ac:dyDescent="0.25" r="4799" customHeight="1" ht="17.25">
      <c r="A4799" s="52"/>
      <c r="B4799" s="2"/>
      <c r="C4799" s="2"/>
      <c r="D4799" s="3"/>
      <c r="E4799" s="3"/>
      <c r="F4799" s="2"/>
      <c r="G4799" s="13">
        <f>IF($B4799="IN",$D4799,0)</f>
      </c>
      <c r="H4799" s="13">
        <f>IF($B4799="OUT",$D4799,0)</f>
      </c>
    </row>
    <row x14ac:dyDescent="0.25" r="4800" customHeight="1" ht="17.25">
      <c r="A4800" s="52"/>
      <c r="B4800" s="2"/>
      <c r="C4800" s="2"/>
      <c r="D4800" s="3"/>
      <c r="E4800" s="3"/>
      <c r="F4800" s="2"/>
      <c r="G4800" s="13">
        <f>IF($B4800="IN",$D4800,0)</f>
      </c>
      <c r="H4800" s="13">
        <f>IF($B4800="OUT",$D4800,0)</f>
      </c>
    </row>
    <row x14ac:dyDescent="0.25" r="4801" customHeight="1" ht="17.25">
      <c r="A4801" s="52"/>
      <c r="B4801" s="2"/>
      <c r="C4801" s="2"/>
      <c r="D4801" s="3"/>
      <c r="E4801" s="3"/>
      <c r="F4801" s="2"/>
      <c r="G4801" s="13">
        <f>IF($B4801="IN",$D4801,0)</f>
      </c>
      <c r="H4801" s="13">
        <f>IF($B4801="OUT",$D4801,0)</f>
      </c>
    </row>
    <row x14ac:dyDescent="0.25" r="4802" customHeight="1" ht="17.25">
      <c r="A4802" s="52"/>
      <c r="B4802" s="2"/>
      <c r="C4802" s="2"/>
      <c r="D4802" s="3"/>
      <c r="E4802" s="3"/>
      <c r="F4802" s="2"/>
      <c r="G4802" s="13">
        <f>IF($B4802="IN",$D4802,0)</f>
      </c>
      <c r="H4802" s="13">
        <f>IF($B4802="OUT",$D4802,0)</f>
      </c>
    </row>
    <row x14ac:dyDescent="0.25" r="4803" customHeight="1" ht="17.25">
      <c r="A4803" s="52"/>
      <c r="B4803" s="2"/>
      <c r="C4803" s="2"/>
      <c r="D4803" s="3"/>
      <c r="E4803" s="3"/>
      <c r="F4803" s="2"/>
      <c r="G4803" s="13">
        <f>IF($B4803="IN",$D4803,0)</f>
      </c>
      <c r="H4803" s="13">
        <f>IF($B4803="OUT",$D4803,0)</f>
      </c>
    </row>
    <row x14ac:dyDescent="0.25" r="4804" customHeight="1" ht="17.25">
      <c r="A4804" s="52"/>
      <c r="B4804" s="2"/>
      <c r="C4804" s="2"/>
      <c r="D4804" s="3"/>
      <c r="E4804" s="3"/>
      <c r="F4804" s="2"/>
      <c r="G4804" s="13">
        <f>IF($B4804="IN",$D4804,0)</f>
      </c>
      <c r="H4804" s="13">
        <f>IF($B4804="OUT",$D4804,0)</f>
      </c>
    </row>
    <row x14ac:dyDescent="0.25" r="4805" customHeight="1" ht="17.25">
      <c r="A4805" s="52"/>
      <c r="B4805" s="2"/>
      <c r="C4805" s="2"/>
      <c r="D4805" s="3"/>
      <c r="E4805" s="3"/>
      <c r="F4805" s="2"/>
      <c r="G4805" s="13">
        <f>IF($B4805="IN",$D4805,0)</f>
      </c>
      <c r="H4805" s="13">
        <f>IF($B4805="OUT",$D4805,0)</f>
      </c>
    </row>
    <row x14ac:dyDescent="0.25" r="4806" customHeight="1" ht="17.25">
      <c r="A4806" s="52"/>
      <c r="B4806" s="2"/>
      <c r="C4806" s="2"/>
      <c r="D4806" s="3"/>
      <c r="E4806" s="3"/>
      <c r="F4806" s="2"/>
      <c r="G4806" s="13">
        <f>IF($B4806="IN",$D4806,0)</f>
      </c>
      <c r="H4806" s="13">
        <f>IF($B4806="OUT",$D4806,0)</f>
      </c>
    </row>
    <row x14ac:dyDescent="0.25" r="4807" customHeight="1" ht="17.25">
      <c r="A4807" s="52"/>
      <c r="B4807" s="2"/>
      <c r="C4807" s="2"/>
      <c r="D4807" s="3"/>
      <c r="E4807" s="3"/>
      <c r="F4807" s="2"/>
      <c r="G4807" s="13">
        <f>IF($B4807="IN",$D4807,0)</f>
      </c>
      <c r="H4807" s="13">
        <f>IF($B4807="OUT",$D4807,0)</f>
      </c>
    </row>
    <row x14ac:dyDescent="0.25" r="4808" customHeight="1" ht="17.25">
      <c r="A4808" s="52"/>
      <c r="B4808" s="2"/>
      <c r="C4808" s="2"/>
      <c r="D4808" s="3"/>
      <c r="E4808" s="3"/>
      <c r="F4808" s="2"/>
      <c r="G4808" s="13">
        <f>IF($B4808="IN",$D4808,0)</f>
      </c>
      <c r="H4808" s="13">
        <f>IF($B4808="OUT",$D4808,0)</f>
      </c>
    </row>
    <row x14ac:dyDescent="0.25" r="4809" customHeight="1" ht="17.25">
      <c r="A4809" s="52"/>
      <c r="B4809" s="2"/>
      <c r="C4809" s="2"/>
      <c r="D4809" s="3"/>
      <c r="E4809" s="3"/>
      <c r="F4809" s="2"/>
      <c r="G4809" s="13">
        <f>IF($B4809="IN",$D4809,0)</f>
      </c>
      <c r="H4809" s="13">
        <f>IF($B4809="OUT",$D4809,0)</f>
      </c>
    </row>
    <row x14ac:dyDescent="0.25" r="4810" customHeight="1" ht="17.25">
      <c r="A4810" s="52"/>
      <c r="B4810" s="2"/>
      <c r="C4810" s="2"/>
      <c r="D4810" s="3"/>
      <c r="E4810" s="3"/>
      <c r="F4810" s="2"/>
      <c r="G4810" s="13">
        <f>IF($B4810="IN",$D4810,0)</f>
      </c>
      <c r="H4810" s="13">
        <f>IF($B4810="OUT",$D4810,0)</f>
      </c>
    </row>
    <row x14ac:dyDescent="0.25" r="4811" customHeight="1" ht="17.25">
      <c r="A4811" s="52"/>
      <c r="B4811" s="2"/>
      <c r="C4811" s="2"/>
      <c r="D4811" s="3"/>
      <c r="E4811" s="3"/>
      <c r="F4811" s="2"/>
      <c r="G4811" s="13">
        <f>IF($B4811="IN",$D4811,0)</f>
      </c>
      <c r="H4811" s="13">
        <f>IF($B4811="OUT",$D4811,0)</f>
      </c>
    </row>
    <row x14ac:dyDescent="0.25" r="4812" customHeight="1" ht="17.25">
      <c r="A4812" s="52"/>
      <c r="B4812" s="2"/>
      <c r="C4812" s="2"/>
      <c r="D4812" s="3"/>
      <c r="E4812" s="3"/>
      <c r="F4812" s="2"/>
      <c r="G4812" s="13">
        <f>IF($B4812="IN",$D4812,0)</f>
      </c>
      <c r="H4812" s="13">
        <f>IF($B4812="OUT",$D4812,0)</f>
      </c>
    </row>
    <row x14ac:dyDescent="0.25" r="4813" customHeight="1" ht="17.25">
      <c r="A4813" s="52"/>
      <c r="B4813" s="2"/>
      <c r="C4813" s="2"/>
      <c r="D4813" s="3"/>
      <c r="E4813" s="3"/>
      <c r="F4813" s="2"/>
      <c r="G4813" s="13">
        <f>IF($B4813="IN",$D4813,0)</f>
      </c>
      <c r="H4813" s="13">
        <f>IF($B4813="OUT",$D4813,0)</f>
      </c>
    </row>
    <row x14ac:dyDescent="0.25" r="4814" customHeight="1" ht="17.25">
      <c r="A4814" s="52"/>
      <c r="B4814" s="2"/>
      <c r="C4814" s="2"/>
      <c r="D4814" s="3"/>
      <c r="E4814" s="3"/>
      <c r="F4814" s="2"/>
      <c r="G4814" s="13">
        <f>IF($B4814="IN",$D4814,0)</f>
      </c>
      <c r="H4814" s="13">
        <f>IF($B4814="OUT",$D4814,0)</f>
      </c>
    </row>
    <row x14ac:dyDescent="0.25" r="4815" customHeight="1" ht="17.25">
      <c r="A4815" s="52"/>
      <c r="B4815" s="2"/>
      <c r="C4815" s="2"/>
      <c r="D4815" s="3"/>
      <c r="E4815" s="3"/>
      <c r="F4815" s="2"/>
      <c r="G4815" s="13">
        <f>IF($B4815="IN",$D4815,0)</f>
      </c>
      <c r="H4815" s="13">
        <f>IF($B4815="OUT",$D4815,0)</f>
      </c>
    </row>
    <row x14ac:dyDescent="0.25" r="4816" customHeight="1" ht="17.25">
      <c r="A4816" s="52"/>
      <c r="B4816" s="2"/>
      <c r="C4816" s="2"/>
      <c r="D4816" s="3"/>
      <c r="E4816" s="3"/>
      <c r="F4816" s="2"/>
      <c r="G4816" s="13">
        <f>IF($B4816="IN",$D4816,0)</f>
      </c>
      <c r="H4816" s="13">
        <f>IF($B4816="OUT",$D4816,0)</f>
      </c>
    </row>
    <row x14ac:dyDescent="0.25" r="4817" customHeight="1" ht="17.25">
      <c r="A4817" s="52"/>
      <c r="B4817" s="2"/>
      <c r="C4817" s="2"/>
      <c r="D4817" s="3"/>
      <c r="E4817" s="3"/>
      <c r="F4817" s="2"/>
      <c r="G4817" s="13">
        <f>IF($B4817="IN",$D4817,0)</f>
      </c>
      <c r="H4817" s="13">
        <f>IF($B4817="OUT",$D4817,0)</f>
      </c>
    </row>
    <row x14ac:dyDescent="0.25" r="4818" customHeight="1" ht="17.25">
      <c r="A4818" s="52"/>
      <c r="B4818" s="2"/>
      <c r="C4818" s="2"/>
      <c r="D4818" s="3"/>
      <c r="E4818" s="3"/>
      <c r="F4818" s="2"/>
      <c r="G4818" s="13">
        <f>IF($B4818="IN",$D4818,0)</f>
      </c>
      <c r="H4818" s="13">
        <f>IF($B4818="OUT",$D4818,0)</f>
      </c>
    </row>
    <row x14ac:dyDescent="0.25" r="4819" customHeight="1" ht="17.25">
      <c r="A4819" s="52"/>
      <c r="B4819" s="2"/>
      <c r="C4819" s="2"/>
      <c r="D4819" s="3"/>
      <c r="E4819" s="3"/>
      <c r="F4819" s="2"/>
      <c r="G4819" s="13">
        <f>IF($B4819="IN",$D4819,0)</f>
      </c>
      <c r="H4819" s="13">
        <f>IF($B4819="OUT",$D4819,0)</f>
      </c>
    </row>
    <row x14ac:dyDescent="0.25" r="4820" customHeight="1" ht="17.25">
      <c r="A4820" s="52"/>
      <c r="B4820" s="2"/>
      <c r="C4820" s="2"/>
      <c r="D4820" s="3"/>
      <c r="E4820" s="3"/>
      <c r="F4820" s="2"/>
      <c r="G4820" s="13">
        <f>IF($B4820="IN",$D4820,0)</f>
      </c>
      <c r="H4820" s="13">
        <f>IF($B4820="OUT",$D4820,0)</f>
      </c>
    </row>
    <row x14ac:dyDescent="0.25" r="4821" customHeight="1" ht="17.25">
      <c r="A4821" s="52"/>
      <c r="B4821" s="2"/>
      <c r="C4821" s="2"/>
      <c r="D4821" s="3"/>
      <c r="E4821" s="3"/>
      <c r="F4821" s="2"/>
      <c r="G4821" s="13">
        <f>IF($B4821="IN",$D4821,0)</f>
      </c>
      <c r="H4821" s="13">
        <f>IF($B4821="OUT",$D4821,0)</f>
      </c>
    </row>
    <row x14ac:dyDescent="0.25" r="4822" customHeight="1" ht="17.25">
      <c r="A4822" s="52"/>
      <c r="B4822" s="2"/>
      <c r="C4822" s="2"/>
      <c r="D4822" s="3"/>
      <c r="E4822" s="3"/>
      <c r="F4822" s="2"/>
      <c r="G4822" s="13">
        <f>IF($B4822="IN",$D4822,0)</f>
      </c>
      <c r="H4822" s="13">
        <f>IF($B4822="OUT",$D4822,0)</f>
      </c>
    </row>
    <row x14ac:dyDescent="0.25" r="4823" customHeight="1" ht="17.25">
      <c r="A4823" s="52"/>
      <c r="B4823" s="2"/>
      <c r="C4823" s="2"/>
      <c r="D4823" s="3"/>
      <c r="E4823" s="3"/>
      <c r="F4823" s="2"/>
      <c r="G4823" s="13">
        <f>IF($B4823="IN",$D4823,0)</f>
      </c>
      <c r="H4823" s="13">
        <f>IF($B4823="OUT",$D4823,0)</f>
      </c>
    </row>
    <row x14ac:dyDescent="0.25" r="4824" customHeight="1" ht="17.25">
      <c r="A4824" s="52"/>
      <c r="B4824" s="2"/>
      <c r="C4824" s="2"/>
      <c r="D4824" s="3"/>
      <c r="E4824" s="3"/>
      <c r="F4824" s="2"/>
      <c r="G4824" s="13">
        <f>IF($B4824="IN",$D4824,0)</f>
      </c>
      <c r="H4824" s="13">
        <f>IF($B4824="OUT",$D4824,0)</f>
      </c>
    </row>
    <row x14ac:dyDescent="0.25" r="4825" customHeight="1" ht="17.25">
      <c r="A4825" s="52"/>
      <c r="B4825" s="2"/>
      <c r="C4825" s="2"/>
      <c r="D4825" s="3"/>
      <c r="E4825" s="3"/>
      <c r="F4825" s="2"/>
      <c r="G4825" s="13">
        <f>IF($B4825="IN",$D4825,0)</f>
      </c>
      <c r="H4825" s="13">
        <f>IF($B4825="OUT",$D4825,0)</f>
      </c>
    </row>
    <row x14ac:dyDescent="0.25" r="4826" customHeight="1" ht="17.25">
      <c r="A4826" s="52"/>
      <c r="B4826" s="2"/>
      <c r="C4826" s="2"/>
      <c r="D4826" s="3"/>
      <c r="E4826" s="3"/>
      <c r="F4826" s="2"/>
      <c r="G4826" s="13">
        <f>IF($B4826="IN",$D4826,0)</f>
      </c>
      <c r="H4826" s="13">
        <f>IF($B4826="OUT",$D4826,0)</f>
      </c>
    </row>
    <row x14ac:dyDescent="0.25" r="4827" customHeight="1" ht="17.25">
      <c r="A4827" s="52"/>
      <c r="B4827" s="2"/>
      <c r="C4827" s="2"/>
      <c r="D4827" s="3"/>
      <c r="E4827" s="3"/>
      <c r="F4827" s="2"/>
      <c r="G4827" s="13">
        <f>IF($B4827="IN",$D4827,0)</f>
      </c>
      <c r="H4827" s="13">
        <f>IF($B4827="OUT",$D4827,0)</f>
      </c>
    </row>
    <row x14ac:dyDescent="0.25" r="4828" customHeight="1" ht="17.25">
      <c r="A4828" s="52"/>
      <c r="B4828" s="2"/>
      <c r="C4828" s="2"/>
      <c r="D4828" s="3"/>
      <c r="E4828" s="3"/>
      <c r="F4828" s="2"/>
      <c r="G4828" s="13">
        <f>IF($B4828="IN",$D4828,0)</f>
      </c>
      <c r="H4828" s="13">
        <f>IF($B4828="OUT",$D4828,0)</f>
      </c>
    </row>
    <row x14ac:dyDescent="0.25" r="4829" customHeight="1" ht="17.25">
      <c r="A4829" s="52"/>
      <c r="B4829" s="2"/>
      <c r="C4829" s="2"/>
      <c r="D4829" s="3"/>
      <c r="E4829" s="3"/>
      <c r="F4829" s="2"/>
      <c r="G4829" s="13">
        <f>IF($B4829="IN",$D4829,0)</f>
      </c>
      <c r="H4829" s="13">
        <f>IF($B4829="OUT",$D4829,0)</f>
      </c>
    </row>
    <row x14ac:dyDescent="0.25" r="4830" customHeight="1" ht="17.25">
      <c r="A4830" s="52"/>
      <c r="B4830" s="2"/>
      <c r="C4830" s="2"/>
      <c r="D4830" s="3"/>
      <c r="E4830" s="3"/>
      <c r="F4830" s="2"/>
      <c r="G4830" s="13">
        <f>IF($B4830="IN",$D4830,0)</f>
      </c>
      <c r="H4830" s="13">
        <f>IF($B4830="OUT",$D4830,0)</f>
      </c>
    </row>
    <row x14ac:dyDescent="0.25" r="4831" customHeight="1" ht="17.25">
      <c r="A4831" s="52"/>
      <c r="B4831" s="2"/>
      <c r="C4831" s="2"/>
      <c r="D4831" s="3"/>
      <c r="E4831" s="3"/>
      <c r="F4831" s="2"/>
      <c r="G4831" s="13">
        <f>IF($B4831="IN",$D4831,0)</f>
      </c>
      <c r="H4831" s="13">
        <f>IF($B4831="OUT",$D4831,0)</f>
      </c>
    </row>
    <row x14ac:dyDescent="0.25" r="4832" customHeight="1" ht="17.25">
      <c r="A4832" s="52"/>
      <c r="B4832" s="2"/>
      <c r="C4832" s="2"/>
      <c r="D4832" s="3"/>
      <c r="E4832" s="3"/>
      <c r="F4832" s="2"/>
      <c r="G4832" s="13">
        <f>IF($B4832="IN",$D4832,0)</f>
      </c>
      <c r="H4832" s="13">
        <f>IF($B4832="OUT",$D4832,0)</f>
      </c>
    </row>
    <row x14ac:dyDescent="0.25" r="4833" customHeight="1" ht="17.25">
      <c r="A4833" s="52"/>
      <c r="B4833" s="2"/>
      <c r="C4833" s="2"/>
      <c r="D4833" s="3"/>
      <c r="E4833" s="3"/>
      <c r="F4833" s="2"/>
      <c r="G4833" s="13">
        <f>IF($B4833="IN",$D4833,0)</f>
      </c>
      <c r="H4833" s="13">
        <f>IF($B4833="OUT",$D4833,0)</f>
      </c>
    </row>
    <row x14ac:dyDescent="0.25" r="4834" customHeight="1" ht="17.25">
      <c r="A4834" s="52"/>
      <c r="B4834" s="2"/>
      <c r="C4834" s="2"/>
      <c r="D4834" s="3"/>
      <c r="E4834" s="3"/>
      <c r="F4834" s="2"/>
      <c r="G4834" s="13">
        <f>IF($B4834="IN",$D4834,0)</f>
      </c>
      <c r="H4834" s="13">
        <f>IF($B4834="OUT",$D4834,0)</f>
      </c>
    </row>
    <row x14ac:dyDescent="0.25" r="4835" customHeight="1" ht="17.25">
      <c r="A4835" s="52"/>
      <c r="B4835" s="2"/>
      <c r="C4835" s="2"/>
      <c r="D4835" s="3"/>
      <c r="E4835" s="3"/>
      <c r="F4835" s="2"/>
      <c r="G4835" s="13">
        <f>IF($B4835="IN",$D4835,0)</f>
      </c>
      <c r="H4835" s="13">
        <f>IF($B4835="OUT",$D4835,0)</f>
      </c>
    </row>
    <row x14ac:dyDescent="0.25" r="4836" customHeight="1" ht="17.25">
      <c r="A4836" s="52"/>
      <c r="B4836" s="2"/>
      <c r="C4836" s="2"/>
      <c r="D4836" s="3"/>
      <c r="E4836" s="3"/>
      <c r="F4836" s="2"/>
      <c r="G4836" s="13">
        <f>IF($B4836="IN",$D4836,0)</f>
      </c>
      <c r="H4836" s="13">
        <f>IF($B4836="OUT",$D4836,0)</f>
      </c>
    </row>
    <row x14ac:dyDescent="0.25" r="4837" customHeight="1" ht="17.25">
      <c r="A4837" s="52"/>
      <c r="B4837" s="2"/>
      <c r="C4837" s="2"/>
      <c r="D4837" s="3"/>
      <c r="E4837" s="3"/>
      <c r="F4837" s="2"/>
      <c r="G4837" s="13">
        <f>IF($B4837="IN",$D4837,0)</f>
      </c>
      <c r="H4837" s="13">
        <f>IF($B4837="OUT",$D4837,0)</f>
      </c>
    </row>
    <row x14ac:dyDescent="0.25" r="4838" customHeight="1" ht="17.25">
      <c r="A4838" s="52"/>
      <c r="B4838" s="2"/>
      <c r="C4838" s="2"/>
      <c r="D4838" s="3"/>
      <c r="E4838" s="3"/>
      <c r="F4838" s="2"/>
      <c r="G4838" s="13">
        <f>IF($B4838="IN",$D4838,0)</f>
      </c>
      <c r="H4838" s="13">
        <f>IF($B4838="OUT",$D4838,0)</f>
      </c>
    </row>
    <row x14ac:dyDescent="0.25" r="4839" customHeight="1" ht="17.25">
      <c r="A4839" s="52"/>
      <c r="B4839" s="2"/>
      <c r="C4839" s="2"/>
      <c r="D4839" s="3"/>
      <c r="E4839" s="3"/>
      <c r="F4839" s="2"/>
      <c r="G4839" s="13">
        <f>IF($B4839="IN",$D4839,0)</f>
      </c>
      <c r="H4839" s="13">
        <f>IF($B4839="OUT",$D4839,0)</f>
      </c>
    </row>
    <row x14ac:dyDescent="0.25" r="4840" customHeight="1" ht="17.25">
      <c r="A4840" s="52"/>
      <c r="B4840" s="2"/>
      <c r="C4840" s="2"/>
      <c r="D4840" s="3"/>
      <c r="E4840" s="3"/>
      <c r="F4840" s="2"/>
      <c r="G4840" s="13">
        <f>IF($B4840="IN",$D4840,0)</f>
      </c>
      <c r="H4840" s="13">
        <f>IF($B4840="OUT",$D4840,0)</f>
      </c>
    </row>
    <row x14ac:dyDescent="0.25" r="4841" customHeight="1" ht="17.25">
      <c r="A4841" s="52"/>
      <c r="B4841" s="2"/>
      <c r="C4841" s="2"/>
      <c r="D4841" s="3"/>
      <c r="E4841" s="3"/>
      <c r="F4841" s="2"/>
      <c r="G4841" s="13">
        <f>IF($B4841="IN",$D4841,0)</f>
      </c>
      <c r="H4841" s="13">
        <f>IF($B4841="OUT",$D4841,0)</f>
      </c>
    </row>
    <row x14ac:dyDescent="0.25" r="4842" customHeight="1" ht="17.25">
      <c r="A4842" s="52"/>
      <c r="B4842" s="2"/>
      <c r="C4842" s="2"/>
      <c r="D4842" s="3"/>
      <c r="E4842" s="3"/>
      <c r="F4842" s="2"/>
      <c r="G4842" s="13">
        <f>IF($B4842="IN",$D4842,0)</f>
      </c>
      <c r="H4842" s="13">
        <f>IF($B4842="OUT",$D4842,0)</f>
      </c>
    </row>
    <row x14ac:dyDescent="0.25" r="4843" customHeight="1" ht="17.25">
      <c r="A4843" s="52"/>
      <c r="B4843" s="2"/>
      <c r="C4843" s="2"/>
      <c r="D4843" s="3"/>
      <c r="E4843" s="3"/>
      <c r="F4843" s="2"/>
      <c r="G4843" s="13">
        <f>IF($B4843="IN",$D4843,0)</f>
      </c>
      <c r="H4843" s="13">
        <f>IF($B4843="OUT",$D4843,0)</f>
      </c>
    </row>
    <row x14ac:dyDescent="0.25" r="4844" customHeight="1" ht="17.25">
      <c r="A4844" s="52"/>
      <c r="B4844" s="2"/>
      <c r="C4844" s="2"/>
      <c r="D4844" s="3"/>
      <c r="E4844" s="3"/>
      <c r="F4844" s="2"/>
      <c r="G4844" s="13">
        <f>IF($B4844="IN",$D4844,0)</f>
      </c>
      <c r="H4844" s="13">
        <f>IF($B4844="OUT",$D4844,0)</f>
      </c>
    </row>
    <row x14ac:dyDescent="0.25" r="4845" customHeight="1" ht="17.25">
      <c r="A4845" s="52"/>
      <c r="B4845" s="2"/>
      <c r="C4845" s="2"/>
      <c r="D4845" s="3"/>
      <c r="E4845" s="3"/>
      <c r="F4845" s="2"/>
      <c r="G4845" s="13">
        <f>IF($B4845="IN",$D4845,0)</f>
      </c>
      <c r="H4845" s="13">
        <f>IF($B4845="OUT",$D4845,0)</f>
      </c>
    </row>
    <row x14ac:dyDescent="0.25" r="4846" customHeight="1" ht="17.25">
      <c r="A4846" s="52"/>
      <c r="B4846" s="2"/>
      <c r="C4846" s="2"/>
      <c r="D4846" s="3"/>
      <c r="E4846" s="3"/>
      <c r="F4846" s="2"/>
      <c r="G4846" s="13">
        <f>IF($B4846="IN",$D4846,0)</f>
      </c>
      <c r="H4846" s="13">
        <f>IF($B4846="OUT",$D4846,0)</f>
      </c>
    </row>
    <row x14ac:dyDescent="0.25" r="4847" customHeight="1" ht="17.25">
      <c r="A4847" s="52"/>
      <c r="B4847" s="2"/>
      <c r="C4847" s="2"/>
      <c r="D4847" s="3"/>
      <c r="E4847" s="3"/>
      <c r="F4847" s="2"/>
      <c r="G4847" s="13">
        <f>IF($B4847="IN",$D4847,0)</f>
      </c>
      <c r="H4847" s="13">
        <f>IF($B4847="OUT",$D4847,0)</f>
      </c>
    </row>
    <row x14ac:dyDescent="0.25" r="4848" customHeight="1" ht="17.25">
      <c r="A4848" s="52"/>
      <c r="B4848" s="2"/>
      <c r="C4848" s="2"/>
      <c r="D4848" s="3"/>
      <c r="E4848" s="3"/>
      <c r="F4848" s="2"/>
      <c r="G4848" s="13">
        <f>IF($B4848="IN",$D4848,0)</f>
      </c>
      <c r="H4848" s="13">
        <f>IF($B4848="OUT",$D4848,0)</f>
      </c>
    </row>
    <row x14ac:dyDescent="0.25" r="4849" customHeight="1" ht="17.25">
      <c r="A4849" s="52"/>
      <c r="B4849" s="2"/>
      <c r="C4849" s="2"/>
      <c r="D4849" s="3"/>
      <c r="E4849" s="3"/>
      <c r="F4849" s="2"/>
      <c r="G4849" s="13">
        <f>IF($B4849="IN",$D4849,0)</f>
      </c>
      <c r="H4849" s="13">
        <f>IF($B4849="OUT",$D4849,0)</f>
      </c>
    </row>
    <row x14ac:dyDescent="0.25" r="4850" customHeight="1" ht="17.25">
      <c r="A4850" s="52"/>
      <c r="B4850" s="2"/>
      <c r="C4850" s="2"/>
      <c r="D4850" s="3"/>
      <c r="E4850" s="3"/>
      <c r="F4850" s="2"/>
      <c r="G4850" s="13">
        <f>IF($B4850="IN",$D4850,0)</f>
      </c>
      <c r="H4850" s="13">
        <f>IF($B4850="OUT",$D4850,0)</f>
      </c>
    </row>
    <row x14ac:dyDescent="0.25" r="4851" customHeight="1" ht="17.25">
      <c r="A4851" s="52"/>
      <c r="B4851" s="2"/>
      <c r="C4851" s="2"/>
      <c r="D4851" s="3"/>
      <c r="E4851" s="3"/>
      <c r="F4851" s="2"/>
      <c r="G4851" s="13">
        <f>IF($B4851="IN",$D4851,0)</f>
      </c>
      <c r="H4851" s="13">
        <f>IF($B4851="OUT",$D4851,0)</f>
      </c>
    </row>
    <row x14ac:dyDescent="0.25" r="4852" customHeight="1" ht="17.25">
      <c r="A4852" s="52"/>
      <c r="B4852" s="2"/>
      <c r="C4852" s="2"/>
      <c r="D4852" s="3"/>
      <c r="E4852" s="3"/>
      <c r="F4852" s="2"/>
      <c r="G4852" s="13">
        <f>IF($B4852="IN",$D4852,0)</f>
      </c>
      <c r="H4852" s="13">
        <f>IF($B4852="OUT",$D4852,0)</f>
      </c>
    </row>
    <row x14ac:dyDescent="0.25" r="4853" customHeight="1" ht="17.25">
      <c r="A4853" s="52"/>
      <c r="B4853" s="2"/>
      <c r="C4853" s="2"/>
      <c r="D4853" s="3"/>
      <c r="E4853" s="3"/>
      <c r="F4853" s="2"/>
      <c r="G4853" s="13">
        <f>IF($B4853="IN",$D4853,0)</f>
      </c>
      <c r="H4853" s="13">
        <f>IF($B4853="OUT",$D4853,0)</f>
      </c>
    </row>
    <row x14ac:dyDescent="0.25" r="4854" customHeight="1" ht="17.25">
      <c r="A4854" s="52"/>
      <c r="B4854" s="2"/>
      <c r="C4854" s="2"/>
      <c r="D4854" s="3"/>
      <c r="E4854" s="3"/>
      <c r="F4854" s="2"/>
      <c r="G4854" s="13">
        <f>IF($B4854="IN",$D4854,0)</f>
      </c>
      <c r="H4854" s="13">
        <f>IF($B4854="OUT",$D4854,0)</f>
      </c>
    </row>
    <row x14ac:dyDescent="0.25" r="4855" customHeight="1" ht="17.25">
      <c r="A4855" s="52"/>
      <c r="B4855" s="2"/>
      <c r="C4855" s="2"/>
      <c r="D4855" s="3"/>
      <c r="E4855" s="3"/>
      <c r="F4855" s="2"/>
      <c r="G4855" s="13">
        <f>IF($B4855="IN",$D4855,0)</f>
      </c>
      <c r="H4855" s="13">
        <f>IF($B4855="OUT",$D4855,0)</f>
      </c>
    </row>
    <row x14ac:dyDescent="0.25" r="4856" customHeight="1" ht="17.25">
      <c r="A4856" s="52"/>
      <c r="B4856" s="2"/>
      <c r="C4856" s="2"/>
      <c r="D4856" s="3"/>
      <c r="E4856" s="3"/>
      <c r="F4856" s="2"/>
      <c r="G4856" s="13">
        <f>IF($B4856="IN",$D4856,0)</f>
      </c>
      <c r="H4856" s="13">
        <f>IF($B4856="OUT",$D4856,0)</f>
      </c>
    </row>
    <row x14ac:dyDescent="0.25" r="4857" customHeight="1" ht="17.25">
      <c r="A4857" s="52"/>
      <c r="B4857" s="2"/>
      <c r="C4857" s="2"/>
      <c r="D4857" s="3"/>
      <c r="E4857" s="3"/>
      <c r="F4857" s="2"/>
      <c r="G4857" s="13">
        <f>IF($B4857="IN",$D4857,0)</f>
      </c>
      <c r="H4857" s="13">
        <f>IF($B4857="OUT",$D4857,0)</f>
      </c>
    </row>
    <row x14ac:dyDescent="0.25" r="4858" customHeight="1" ht="17.25">
      <c r="A4858" s="52"/>
      <c r="B4858" s="2"/>
      <c r="C4858" s="2"/>
      <c r="D4858" s="3"/>
      <c r="E4858" s="3"/>
      <c r="F4858" s="2"/>
      <c r="G4858" s="13">
        <f>IF($B4858="IN",$D4858,0)</f>
      </c>
      <c r="H4858" s="13">
        <f>IF($B4858="OUT",$D4858,0)</f>
      </c>
    </row>
    <row x14ac:dyDescent="0.25" r="4859" customHeight="1" ht="17.25">
      <c r="A4859" s="52"/>
      <c r="B4859" s="2"/>
      <c r="C4859" s="2"/>
      <c r="D4859" s="3"/>
      <c r="E4859" s="3"/>
      <c r="F4859" s="2"/>
      <c r="G4859" s="13">
        <f>IF($B4859="IN",$D4859,0)</f>
      </c>
      <c r="H4859" s="13">
        <f>IF($B4859="OUT",$D4859,0)</f>
      </c>
    </row>
    <row x14ac:dyDescent="0.25" r="4860" customHeight="1" ht="17.25">
      <c r="A4860" s="52"/>
      <c r="B4860" s="2"/>
      <c r="C4860" s="2"/>
      <c r="D4860" s="3"/>
      <c r="E4860" s="3"/>
      <c r="F4860" s="2"/>
      <c r="G4860" s="13">
        <f>IF($B4860="IN",$D4860,0)</f>
      </c>
      <c r="H4860" s="13">
        <f>IF($B4860="OUT",$D4860,0)</f>
      </c>
    </row>
    <row x14ac:dyDescent="0.25" r="4861" customHeight="1" ht="17.25">
      <c r="A4861" s="52"/>
      <c r="B4861" s="2"/>
      <c r="C4861" s="2"/>
      <c r="D4861" s="3"/>
      <c r="E4861" s="3"/>
      <c r="F4861" s="2"/>
      <c r="G4861" s="13">
        <f>IF($B4861="IN",$D4861,0)</f>
      </c>
      <c r="H4861" s="13">
        <f>IF($B4861="OUT",$D4861,0)</f>
      </c>
    </row>
    <row x14ac:dyDescent="0.25" r="4862" customHeight="1" ht="17.25">
      <c r="A4862" s="52"/>
      <c r="B4862" s="2"/>
      <c r="C4862" s="2"/>
      <c r="D4862" s="3"/>
      <c r="E4862" s="3"/>
      <c r="F4862" s="2"/>
      <c r="G4862" s="13">
        <f>IF($B4862="IN",$D4862,0)</f>
      </c>
      <c r="H4862" s="13">
        <f>IF($B4862="OUT",$D4862,0)</f>
      </c>
    </row>
    <row x14ac:dyDescent="0.25" r="4863" customHeight="1" ht="17.25">
      <c r="A4863" s="52"/>
      <c r="B4863" s="2"/>
      <c r="C4863" s="2"/>
      <c r="D4863" s="3"/>
      <c r="E4863" s="3"/>
      <c r="F4863" s="2"/>
      <c r="G4863" s="13">
        <f>IF($B4863="IN",$D4863,0)</f>
      </c>
      <c r="H4863" s="13">
        <f>IF($B4863="OUT",$D4863,0)</f>
      </c>
    </row>
    <row x14ac:dyDescent="0.25" r="4864" customHeight="1" ht="17.25">
      <c r="A4864" s="52"/>
      <c r="B4864" s="2"/>
      <c r="C4864" s="2"/>
      <c r="D4864" s="3"/>
      <c r="E4864" s="3"/>
      <c r="F4864" s="2"/>
      <c r="G4864" s="13">
        <f>IF($B4864="IN",$D4864,0)</f>
      </c>
      <c r="H4864" s="13">
        <f>IF($B4864="OUT",$D4864,0)</f>
      </c>
    </row>
    <row x14ac:dyDescent="0.25" r="4865" customHeight="1" ht="17.25">
      <c r="A4865" s="52"/>
      <c r="B4865" s="2"/>
      <c r="C4865" s="2"/>
      <c r="D4865" s="3"/>
      <c r="E4865" s="3"/>
      <c r="F4865" s="2"/>
      <c r="G4865" s="13">
        <f>IF($B4865="IN",$D4865,0)</f>
      </c>
      <c r="H4865" s="13">
        <f>IF($B4865="OUT",$D4865,0)</f>
      </c>
    </row>
    <row x14ac:dyDescent="0.25" r="4866" customHeight="1" ht="17.25">
      <c r="A4866" s="52"/>
      <c r="B4866" s="2"/>
      <c r="C4866" s="2"/>
      <c r="D4866" s="3"/>
      <c r="E4866" s="3"/>
      <c r="F4866" s="2"/>
      <c r="G4866" s="13">
        <f>IF($B4866="IN",$D4866,0)</f>
      </c>
      <c r="H4866" s="13">
        <f>IF($B4866="OUT",$D4866,0)</f>
      </c>
    </row>
    <row x14ac:dyDescent="0.25" r="4867" customHeight="1" ht="17.25">
      <c r="A4867" s="52"/>
      <c r="B4867" s="2"/>
      <c r="C4867" s="2"/>
      <c r="D4867" s="3"/>
      <c r="E4867" s="3"/>
      <c r="F4867" s="2"/>
      <c r="G4867" s="13">
        <f>IF($B4867="IN",$D4867,0)</f>
      </c>
      <c r="H4867" s="13">
        <f>IF($B4867="OUT",$D4867,0)</f>
      </c>
    </row>
    <row x14ac:dyDescent="0.25" r="4868" customHeight="1" ht="17.25">
      <c r="A4868" s="52"/>
      <c r="B4868" s="2"/>
      <c r="C4868" s="2"/>
      <c r="D4868" s="3"/>
      <c r="E4868" s="3"/>
      <c r="F4868" s="2"/>
      <c r="G4868" s="13">
        <f>IF($B4868="IN",$D4868,0)</f>
      </c>
      <c r="H4868" s="13">
        <f>IF($B4868="OUT",$D4868,0)</f>
      </c>
    </row>
    <row x14ac:dyDescent="0.25" r="4869" customHeight="1" ht="17.25">
      <c r="A4869" s="52"/>
      <c r="B4869" s="2"/>
      <c r="C4869" s="2"/>
      <c r="D4869" s="3"/>
      <c r="E4869" s="3"/>
      <c r="F4869" s="2"/>
      <c r="G4869" s="13">
        <f>IF($B4869="IN",$D4869,0)</f>
      </c>
      <c r="H4869" s="13">
        <f>IF($B4869="OUT",$D4869,0)</f>
      </c>
    </row>
    <row x14ac:dyDescent="0.25" r="4870" customHeight="1" ht="17.25">
      <c r="A4870" s="52"/>
      <c r="B4870" s="2"/>
      <c r="C4870" s="2"/>
      <c r="D4870" s="3"/>
      <c r="E4870" s="3"/>
      <c r="F4870" s="2"/>
      <c r="G4870" s="13">
        <f>IF($B4870="IN",$D4870,0)</f>
      </c>
      <c r="H4870" s="13">
        <f>IF($B4870="OUT",$D4870,0)</f>
      </c>
    </row>
    <row x14ac:dyDescent="0.25" r="4871" customHeight="1" ht="17.25">
      <c r="A4871" s="52"/>
      <c r="B4871" s="2"/>
      <c r="C4871" s="2"/>
      <c r="D4871" s="3"/>
      <c r="E4871" s="3"/>
      <c r="F4871" s="2"/>
      <c r="G4871" s="13">
        <f>IF($B4871="IN",$D4871,0)</f>
      </c>
      <c r="H4871" s="13">
        <f>IF($B4871="OUT",$D4871,0)</f>
      </c>
    </row>
    <row x14ac:dyDescent="0.25" r="4872" customHeight="1" ht="17.25">
      <c r="A4872" s="52"/>
      <c r="B4872" s="2"/>
      <c r="C4872" s="2"/>
      <c r="D4872" s="3"/>
      <c r="E4872" s="3"/>
      <c r="F4872" s="2"/>
      <c r="G4872" s="13">
        <f>IF($B4872="IN",$D4872,0)</f>
      </c>
      <c r="H4872" s="13">
        <f>IF($B4872="OUT",$D4872,0)</f>
      </c>
    </row>
    <row x14ac:dyDescent="0.25" r="4873" customHeight="1" ht="17.25">
      <c r="A4873" s="52"/>
      <c r="B4873" s="2"/>
      <c r="C4873" s="2"/>
      <c r="D4873" s="3"/>
      <c r="E4873" s="3"/>
      <c r="F4873" s="2"/>
      <c r="G4873" s="13">
        <f>IF($B4873="IN",$D4873,0)</f>
      </c>
      <c r="H4873" s="13">
        <f>IF($B4873="OUT",$D4873,0)</f>
      </c>
    </row>
    <row x14ac:dyDescent="0.25" r="4874" customHeight="1" ht="17.25">
      <c r="A4874" s="52"/>
      <c r="B4874" s="2"/>
      <c r="C4874" s="2"/>
      <c r="D4874" s="3"/>
      <c r="E4874" s="3"/>
      <c r="F4874" s="2"/>
      <c r="G4874" s="13">
        <f>IF($B4874="IN",$D4874,0)</f>
      </c>
      <c r="H4874" s="13">
        <f>IF($B4874="OUT",$D4874,0)</f>
      </c>
    </row>
    <row x14ac:dyDescent="0.25" r="4875" customHeight="1" ht="17.25">
      <c r="A4875" s="52"/>
      <c r="B4875" s="2"/>
      <c r="C4875" s="2"/>
      <c r="D4875" s="3"/>
      <c r="E4875" s="3"/>
      <c r="F4875" s="2"/>
      <c r="G4875" s="13">
        <f>IF($B4875="IN",$D4875,0)</f>
      </c>
      <c r="H4875" s="13">
        <f>IF($B4875="OUT",$D4875,0)</f>
      </c>
    </row>
    <row x14ac:dyDescent="0.25" r="4876" customHeight="1" ht="17.25">
      <c r="A4876" s="52"/>
      <c r="B4876" s="2"/>
      <c r="C4876" s="2"/>
      <c r="D4876" s="3"/>
      <c r="E4876" s="3"/>
      <c r="F4876" s="2"/>
      <c r="G4876" s="13">
        <f>IF($B4876="IN",$D4876,0)</f>
      </c>
      <c r="H4876" s="13">
        <f>IF($B4876="OUT",$D4876,0)</f>
      </c>
    </row>
    <row x14ac:dyDescent="0.25" r="4877" customHeight="1" ht="17.25">
      <c r="A4877" s="52"/>
      <c r="B4877" s="2"/>
      <c r="C4877" s="2"/>
      <c r="D4877" s="3"/>
      <c r="E4877" s="3"/>
      <c r="F4877" s="2"/>
      <c r="G4877" s="13">
        <f>IF($B4877="IN",$D4877,0)</f>
      </c>
      <c r="H4877" s="13">
        <f>IF($B4877="OUT",$D4877,0)</f>
      </c>
    </row>
    <row x14ac:dyDescent="0.25" r="4878" customHeight="1" ht="17.25">
      <c r="A4878" s="52"/>
      <c r="B4878" s="2"/>
      <c r="C4878" s="2"/>
      <c r="D4878" s="3"/>
      <c r="E4878" s="3"/>
      <c r="F4878" s="2"/>
      <c r="G4878" s="13">
        <f>IF($B4878="IN",$D4878,0)</f>
      </c>
      <c r="H4878" s="13">
        <f>IF($B4878="OUT",$D4878,0)</f>
      </c>
    </row>
    <row x14ac:dyDescent="0.25" r="4879" customHeight="1" ht="17.25">
      <c r="A4879" s="52"/>
      <c r="B4879" s="2"/>
      <c r="C4879" s="2"/>
      <c r="D4879" s="3"/>
      <c r="E4879" s="3"/>
      <c r="F4879" s="2"/>
      <c r="G4879" s="13">
        <f>IF($B4879="IN",$D4879,0)</f>
      </c>
      <c r="H4879" s="13">
        <f>IF($B4879="OUT",$D4879,0)</f>
      </c>
    </row>
    <row x14ac:dyDescent="0.25" r="4880" customHeight="1" ht="17.25">
      <c r="A4880" s="52"/>
      <c r="B4880" s="2"/>
      <c r="C4880" s="2"/>
      <c r="D4880" s="3"/>
      <c r="E4880" s="3"/>
      <c r="F4880" s="2"/>
      <c r="G4880" s="13">
        <f>IF($B4880="IN",$D4880,0)</f>
      </c>
      <c r="H4880" s="13">
        <f>IF($B4880="OUT",$D4880,0)</f>
      </c>
    </row>
    <row x14ac:dyDescent="0.25" r="4881" customHeight="1" ht="17.25">
      <c r="A4881" s="52"/>
      <c r="B4881" s="2"/>
      <c r="C4881" s="2"/>
      <c r="D4881" s="3"/>
      <c r="E4881" s="3"/>
      <c r="F4881" s="2"/>
      <c r="G4881" s="13">
        <f>IF($B4881="IN",$D4881,0)</f>
      </c>
      <c r="H4881" s="13">
        <f>IF($B4881="OUT",$D4881,0)</f>
      </c>
    </row>
    <row x14ac:dyDescent="0.25" r="4882" customHeight="1" ht="17.25">
      <c r="A4882" s="52"/>
      <c r="B4882" s="2"/>
      <c r="C4882" s="2"/>
      <c r="D4882" s="3"/>
      <c r="E4882" s="3"/>
      <c r="F4882" s="2"/>
      <c r="G4882" s="13">
        <f>IF($B4882="IN",$D4882,0)</f>
      </c>
      <c r="H4882" s="13">
        <f>IF($B4882="OUT",$D4882,0)</f>
      </c>
    </row>
    <row x14ac:dyDescent="0.25" r="4883" customHeight="1" ht="17.25">
      <c r="A4883" s="52"/>
      <c r="B4883" s="2"/>
      <c r="C4883" s="2"/>
      <c r="D4883" s="3"/>
      <c r="E4883" s="3"/>
      <c r="F4883" s="2"/>
      <c r="G4883" s="13">
        <f>IF($B4883="IN",$D4883,0)</f>
      </c>
      <c r="H4883" s="13">
        <f>IF($B4883="OUT",$D4883,0)</f>
      </c>
    </row>
    <row x14ac:dyDescent="0.25" r="4884" customHeight="1" ht="17.25">
      <c r="A4884" s="52"/>
      <c r="B4884" s="2"/>
      <c r="C4884" s="2"/>
      <c r="D4884" s="3"/>
      <c r="E4884" s="3"/>
      <c r="F4884" s="2"/>
      <c r="G4884" s="13">
        <f>IF($B4884="IN",$D4884,0)</f>
      </c>
      <c r="H4884" s="13">
        <f>IF($B4884="OUT",$D4884,0)</f>
      </c>
    </row>
    <row x14ac:dyDescent="0.25" r="4885" customHeight="1" ht="17.25">
      <c r="A4885" s="52"/>
      <c r="B4885" s="2"/>
      <c r="C4885" s="2"/>
      <c r="D4885" s="3"/>
      <c r="E4885" s="3"/>
      <c r="F4885" s="2"/>
      <c r="G4885" s="13">
        <f>IF($B4885="IN",$D4885,0)</f>
      </c>
      <c r="H4885" s="13">
        <f>IF($B4885="OUT",$D4885,0)</f>
      </c>
    </row>
    <row x14ac:dyDescent="0.25" r="4886" customHeight="1" ht="17.25">
      <c r="A4886" s="52"/>
      <c r="B4886" s="2"/>
      <c r="C4886" s="2"/>
      <c r="D4886" s="3"/>
      <c r="E4886" s="3"/>
      <c r="F4886" s="2"/>
      <c r="G4886" s="13">
        <f>IF($B4886="IN",$D4886,0)</f>
      </c>
      <c r="H4886" s="13">
        <f>IF($B4886="OUT",$D4886,0)</f>
      </c>
    </row>
    <row x14ac:dyDescent="0.25" r="4887" customHeight="1" ht="17.25">
      <c r="A4887" s="52"/>
      <c r="B4887" s="2"/>
      <c r="C4887" s="2"/>
      <c r="D4887" s="3"/>
      <c r="E4887" s="3"/>
      <c r="F4887" s="2"/>
      <c r="G4887" s="13">
        <f>IF($B4887="IN",$D4887,0)</f>
      </c>
      <c r="H4887" s="13">
        <f>IF($B4887="OUT",$D4887,0)</f>
      </c>
    </row>
    <row x14ac:dyDescent="0.25" r="4888" customHeight="1" ht="17.25">
      <c r="A4888" s="52"/>
      <c r="B4888" s="2"/>
      <c r="C4888" s="2"/>
      <c r="D4888" s="3"/>
      <c r="E4888" s="3"/>
      <c r="F4888" s="2"/>
      <c r="G4888" s="13">
        <f>IF($B4888="IN",$D4888,0)</f>
      </c>
      <c r="H4888" s="13">
        <f>IF($B4888="OUT",$D4888,0)</f>
      </c>
    </row>
    <row x14ac:dyDescent="0.25" r="4889" customHeight="1" ht="17.25">
      <c r="A4889" s="52"/>
      <c r="B4889" s="2"/>
      <c r="C4889" s="2"/>
      <c r="D4889" s="3"/>
      <c r="E4889" s="3"/>
      <c r="F4889" s="2"/>
      <c r="G4889" s="13">
        <f>IF($B4889="IN",$D4889,0)</f>
      </c>
      <c r="H4889" s="13">
        <f>IF($B4889="OUT",$D4889,0)</f>
      </c>
    </row>
    <row x14ac:dyDescent="0.25" r="4890" customHeight="1" ht="17.25">
      <c r="A4890" s="52"/>
      <c r="B4890" s="2"/>
      <c r="C4890" s="2"/>
      <c r="D4890" s="3"/>
      <c r="E4890" s="3"/>
      <c r="F4890" s="2"/>
      <c r="G4890" s="13">
        <f>IF($B4890="IN",$D4890,0)</f>
      </c>
      <c r="H4890" s="13">
        <f>IF($B4890="OUT",$D4890,0)</f>
      </c>
    </row>
    <row x14ac:dyDescent="0.25" r="4891" customHeight="1" ht="17.25">
      <c r="A4891" s="52"/>
      <c r="B4891" s="2"/>
      <c r="C4891" s="2"/>
      <c r="D4891" s="3"/>
      <c r="E4891" s="3"/>
      <c r="F4891" s="2"/>
      <c r="G4891" s="13">
        <f>IF($B4891="IN",$D4891,0)</f>
      </c>
      <c r="H4891" s="13">
        <f>IF($B4891="OUT",$D4891,0)</f>
      </c>
    </row>
    <row x14ac:dyDescent="0.25" r="4892" customHeight="1" ht="17.25">
      <c r="A4892" s="52"/>
      <c r="B4892" s="2"/>
      <c r="C4892" s="2"/>
      <c r="D4892" s="3"/>
      <c r="E4892" s="3"/>
      <c r="F4892" s="2"/>
      <c r="G4892" s="13">
        <f>IF($B4892="IN",$D4892,0)</f>
      </c>
      <c r="H4892" s="13">
        <f>IF($B4892="OUT",$D4892,0)</f>
      </c>
    </row>
    <row x14ac:dyDescent="0.25" r="4893" customHeight="1" ht="17.25">
      <c r="A4893" s="52"/>
      <c r="B4893" s="2"/>
      <c r="C4893" s="2"/>
      <c r="D4893" s="3"/>
      <c r="E4893" s="3"/>
      <c r="F4893" s="2"/>
      <c r="G4893" s="13">
        <f>IF($B4893="IN",$D4893,0)</f>
      </c>
      <c r="H4893" s="13">
        <f>IF($B4893="OUT",$D4893,0)</f>
      </c>
    </row>
    <row x14ac:dyDescent="0.25" r="4894" customHeight="1" ht="17.25">
      <c r="A4894" s="52"/>
      <c r="B4894" s="2"/>
      <c r="C4894" s="2"/>
      <c r="D4894" s="3"/>
      <c r="E4894" s="3"/>
      <c r="F4894" s="2"/>
      <c r="G4894" s="13">
        <f>IF($B4894="IN",$D4894,0)</f>
      </c>
      <c r="H4894" s="13">
        <f>IF($B4894="OUT",$D4894,0)</f>
      </c>
    </row>
    <row x14ac:dyDescent="0.25" r="4895" customHeight="1" ht="17.25">
      <c r="A4895" s="52"/>
      <c r="B4895" s="2"/>
      <c r="C4895" s="2"/>
      <c r="D4895" s="3"/>
      <c r="E4895" s="3"/>
      <c r="F4895" s="2"/>
      <c r="G4895" s="13">
        <f>IF($B4895="IN",$D4895,0)</f>
      </c>
      <c r="H4895" s="13">
        <f>IF($B4895="OUT",$D4895,0)</f>
      </c>
    </row>
    <row x14ac:dyDescent="0.25" r="4896" customHeight="1" ht="17.25">
      <c r="A4896" s="52"/>
      <c r="B4896" s="2"/>
      <c r="C4896" s="2"/>
      <c r="D4896" s="3"/>
      <c r="E4896" s="3"/>
      <c r="F4896" s="2"/>
      <c r="G4896" s="13">
        <f>IF($B4896="IN",$D4896,0)</f>
      </c>
      <c r="H4896" s="13">
        <f>IF($B4896="OUT",$D4896,0)</f>
      </c>
    </row>
    <row x14ac:dyDescent="0.25" r="4897" customHeight="1" ht="17.25">
      <c r="A4897" s="52"/>
      <c r="B4897" s="2"/>
      <c r="C4897" s="2"/>
      <c r="D4897" s="3"/>
      <c r="E4897" s="3"/>
      <c r="F4897" s="2"/>
      <c r="G4897" s="13">
        <f>IF($B4897="IN",$D4897,0)</f>
      </c>
      <c r="H4897" s="13">
        <f>IF($B4897="OUT",$D4897,0)</f>
      </c>
    </row>
    <row x14ac:dyDescent="0.25" r="4898" customHeight="1" ht="17.25">
      <c r="A4898" s="52"/>
      <c r="B4898" s="2"/>
      <c r="C4898" s="2"/>
      <c r="D4898" s="3"/>
      <c r="E4898" s="3"/>
      <c r="F4898" s="2"/>
      <c r="G4898" s="13">
        <f>IF($B4898="IN",$D4898,0)</f>
      </c>
      <c r="H4898" s="13">
        <f>IF($B4898="OUT",$D4898,0)</f>
      </c>
    </row>
    <row x14ac:dyDescent="0.25" r="4899" customHeight="1" ht="17.25">
      <c r="A4899" s="52"/>
      <c r="B4899" s="2"/>
      <c r="C4899" s="2"/>
      <c r="D4899" s="3"/>
      <c r="E4899" s="3"/>
      <c r="F4899" s="2"/>
      <c r="G4899" s="13">
        <f>IF($B4899="IN",$D4899,0)</f>
      </c>
      <c r="H4899" s="13">
        <f>IF($B4899="OUT",$D4899,0)</f>
      </c>
    </row>
    <row x14ac:dyDescent="0.25" r="4900" customHeight="1" ht="17.25">
      <c r="A4900" s="52"/>
      <c r="B4900" s="2"/>
      <c r="C4900" s="2"/>
      <c r="D4900" s="3"/>
      <c r="E4900" s="3"/>
      <c r="F4900" s="2"/>
      <c r="G4900" s="13">
        <f>IF($B4900="IN",$D4900,0)</f>
      </c>
      <c r="H4900" s="13">
        <f>IF($B4900="OUT",$D4900,0)</f>
      </c>
    </row>
    <row x14ac:dyDescent="0.25" r="4901" customHeight="1" ht="17.25">
      <c r="A4901" s="52"/>
      <c r="B4901" s="2"/>
      <c r="C4901" s="2"/>
      <c r="D4901" s="3"/>
      <c r="E4901" s="3"/>
      <c r="F4901" s="2"/>
      <c r="G4901" s="13">
        <f>IF($B4901="IN",$D4901,0)</f>
      </c>
      <c r="H4901" s="13">
        <f>IF($B4901="OUT",$D4901,0)</f>
      </c>
    </row>
    <row x14ac:dyDescent="0.25" r="4902" customHeight="1" ht="17.25">
      <c r="A4902" s="52"/>
      <c r="B4902" s="2"/>
      <c r="C4902" s="2"/>
      <c r="D4902" s="3"/>
      <c r="E4902" s="3"/>
      <c r="F4902" s="2"/>
      <c r="G4902" s="13">
        <f>IF($B4902="IN",$D4902,0)</f>
      </c>
      <c r="H4902" s="13">
        <f>IF($B4902="OUT",$D4902,0)</f>
      </c>
    </row>
    <row x14ac:dyDescent="0.25" r="4903" customHeight="1" ht="17.25">
      <c r="A4903" s="52"/>
      <c r="B4903" s="2"/>
      <c r="C4903" s="2"/>
      <c r="D4903" s="3"/>
      <c r="E4903" s="3"/>
      <c r="F4903" s="2"/>
      <c r="G4903" s="13">
        <f>IF($B4903="IN",$D4903,0)</f>
      </c>
      <c r="H4903" s="13">
        <f>IF($B4903="OUT",$D4903,0)</f>
      </c>
    </row>
    <row x14ac:dyDescent="0.25" r="4904" customHeight="1" ht="17.25">
      <c r="A4904" s="52"/>
      <c r="B4904" s="2"/>
      <c r="C4904" s="2"/>
      <c r="D4904" s="3"/>
      <c r="E4904" s="3"/>
      <c r="F4904" s="2"/>
      <c r="G4904" s="13">
        <f>IF($B4904="IN",$D4904,0)</f>
      </c>
      <c r="H4904" s="13">
        <f>IF($B4904="OUT",$D4904,0)</f>
      </c>
    </row>
    <row x14ac:dyDescent="0.25" r="4905" customHeight="1" ht="17.25">
      <c r="A4905" s="52"/>
      <c r="B4905" s="2"/>
      <c r="C4905" s="2"/>
      <c r="D4905" s="3"/>
      <c r="E4905" s="3"/>
      <c r="F4905" s="2"/>
      <c r="G4905" s="13">
        <f>IF($B4905="IN",$D4905,0)</f>
      </c>
      <c r="H4905" s="13">
        <f>IF($B4905="OUT",$D4905,0)</f>
      </c>
    </row>
    <row x14ac:dyDescent="0.25" r="4906" customHeight="1" ht="17.25">
      <c r="A4906" s="52"/>
      <c r="B4906" s="2"/>
      <c r="C4906" s="2"/>
      <c r="D4906" s="3"/>
      <c r="E4906" s="3"/>
      <c r="F4906" s="2"/>
      <c r="G4906" s="13">
        <f>IF($B4906="IN",$D4906,0)</f>
      </c>
      <c r="H4906" s="13">
        <f>IF($B4906="OUT",$D4906,0)</f>
      </c>
    </row>
    <row x14ac:dyDescent="0.25" r="4907" customHeight="1" ht="17.25">
      <c r="A4907" s="52"/>
      <c r="B4907" s="2"/>
      <c r="C4907" s="2"/>
      <c r="D4907" s="3"/>
      <c r="E4907" s="3"/>
      <c r="F4907" s="2"/>
      <c r="G4907" s="13">
        <f>IF($B4907="IN",$D4907,0)</f>
      </c>
      <c r="H4907" s="13">
        <f>IF($B4907="OUT",$D4907,0)</f>
      </c>
    </row>
    <row x14ac:dyDescent="0.25" r="4908" customHeight="1" ht="17.25">
      <c r="A4908" s="52"/>
      <c r="B4908" s="2"/>
      <c r="C4908" s="2"/>
      <c r="D4908" s="3"/>
      <c r="E4908" s="3"/>
      <c r="F4908" s="2"/>
      <c r="G4908" s="13">
        <f>IF($B4908="IN",$D4908,0)</f>
      </c>
      <c r="H4908" s="13">
        <f>IF($B4908="OUT",$D4908,0)</f>
      </c>
    </row>
    <row x14ac:dyDescent="0.25" r="4909" customHeight="1" ht="17.25">
      <c r="A4909" s="52"/>
      <c r="B4909" s="2"/>
      <c r="C4909" s="2"/>
      <c r="D4909" s="3"/>
      <c r="E4909" s="3"/>
      <c r="F4909" s="2"/>
      <c r="G4909" s="13">
        <f>IF($B4909="IN",$D4909,0)</f>
      </c>
      <c r="H4909" s="13">
        <f>IF($B4909="OUT",$D4909,0)</f>
      </c>
    </row>
    <row x14ac:dyDescent="0.25" r="4910" customHeight="1" ht="17.25">
      <c r="A4910" s="52"/>
      <c r="B4910" s="2"/>
      <c r="C4910" s="2"/>
      <c r="D4910" s="3"/>
      <c r="E4910" s="3"/>
      <c r="F4910" s="2"/>
      <c r="G4910" s="13">
        <f>IF($B4910="IN",$D4910,0)</f>
      </c>
      <c r="H4910" s="13">
        <f>IF($B4910="OUT",$D4910,0)</f>
      </c>
    </row>
    <row x14ac:dyDescent="0.25" r="4911" customHeight="1" ht="17.25">
      <c r="A4911" s="52"/>
      <c r="B4911" s="2"/>
      <c r="C4911" s="2"/>
      <c r="D4911" s="3"/>
      <c r="E4911" s="3"/>
      <c r="F4911" s="2"/>
      <c r="G4911" s="13">
        <f>IF($B4911="IN",$D4911,0)</f>
      </c>
      <c r="H4911" s="13">
        <f>IF($B4911="OUT",$D4911,0)</f>
      </c>
    </row>
    <row x14ac:dyDescent="0.25" r="4912" customHeight="1" ht="17.25">
      <c r="A4912" s="52"/>
      <c r="B4912" s="2"/>
      <c r="C4912" s="2"/>
      <c r="D4912" s="3"/>
      <c r="E4912" s="3"/>
      <c r="F4912" s="2"/>
      <c r="G4912" s="13">
        <f>IF($B4912="IN",$D4912,0)</f>
      </c>
      <c r="H4912" s="13">
        <f>IF($B4912="OUT",$D4912,0)</f>
      </c>
    </row>
    <row x14ac:dyDescent="0.25" r="4913" customHeight="1" ht="17.25">
      <c r="A4913" s="52"/>
      <c r="B4913" s="2"/>
      <c r="C4913" s="2"/>
      <c r="D4913" s="3"/>
      <c r="E4913" s="3"/>
      <c r="F4913" s="2"/>
      <c r="G4913" s="13">
        <f>IF($B4913="IN",$D4913,0)</f>
      </c>
      <c r="H4913" s="13">
        <f>IF($B4913="OUT",$D4913,0)</f>
      </c>
    </row>
    <row x14ac:dyDescent="0.25" r="4914" customHeight="1" ht="17.25">
      <c r="A4914" s="52"/>
      <c r="B4914" s="2"/>
      <c r="C4914" s="2"/>
      <c r="D4914" s="3"/>
      <c r="E4914" s="3"/>
      <c r="F4914" s="2"/>
      <c r="G4914" s="13">
        <f>IF($B4914="IN",$D4914,0)</f>
      </c>
      <c r="H4914" s="13">
        <f>IF($B4914="OUT",$D4914,0)</f>
      </c>
    </row>
    <row x14ac:dyDescent="0.25" r="4915" customHeight="1" ht="17.25">
      <c r="A4915" s="52"/>
      <c r="B4915" s="2"/>
      <c r="C4915" s="2"/>
      <c r="D4915" s="3"/>
      <c r="E4915" s="3"/>
      <c r="F4915" s="2"/>
      <c r="G4915" s="13">
        <f>IF($B4915="IN",$D4915,0)</f>
      </c>
      <c r="H4915" s="13">
        <f>IF($B4915="OUT",$D4915,0)</f>
      </c>
    </row>
    <row x14ac:dyDescent="0.25" r="4916" customHeight="1" ht="17.25">
      <c r="A4916" s="52"/>
      <c r="B4916" s="2"/>
      <c r="C4916" s="2"/>
      <c r="D4916" s="3"/>
      <c r="E4916" s="3"/>
      <c r="F4916" s="2"/>
      <c r="G4916" s="13">
        <f>IF($B4916="IN",$D4916,0)</f>
      </c>
      <c r="H4916" s="13">
        <f>IF($B4916="OUT",$D4916,0)</f>
      </c>
    </row>
    <row x14ac:dyDescent="0.25" r="4917" customHeight="1" ht="17.25">
      <c r="A4917" s="52"/>
      <c r="B4917" s="2"/>
      <c r="C4917" s="2"/>
      <c r="D4917" s="3"/>
      <c r="E4917" s="3"/>
      <c r="F4917" s="2"/>
      <c r="G4917" s="13">
        <f>IF($B4917="IN",$D4917,0)</f>
      </c>
      <c r="H4917" s="13">
        <f>IF($B4917="OUT",$D4917,0)</f>
      </c>
    </row>
    <row x14ac:dyDescent="0.25" r="4918" customHeight="1" ht="17.25">
      <c r="A4918" s="52"/>
      <c r="B4918" s="2"/>
      <c r="C4918" s="2"/>
      <c r="D4918" s="3"/>
      <c r="E4918" s="3"/>
      <c r="F4918" s="2"/>
      <c r="G4918" s="13">
        <f>IF($B4918="IN",$D4918,0)</f>
      </c>
      <c r="H4918" s="13">
        <f>IF($B4918="OUT",$D4918,0)</f>
      </c>
    </row>
    <row x14ac:dyDescent="0.25" r="4919" customHeight="1" ht="17.25">
      <c r="A4919" s="52"/>
      <c r="B4919" s="2"/>
      <c r="C4919" s="2"/>
      <c r="D4919" s="3"/>
      <c r="E4919" s="3"/>
      <c r="F4919" s="2"/>
      <c r="G4919" s="13">
        <f>IF($B4919="IN",$D4919,0)</f>
      </c>
      <c r="H4919" s="13">
        <f>IF($B4919="OUT",$D4919,0)</f>
      </c>
    </row>
    <row x14ac:dyDescent="0.25" r="4920" customHeight="1" ht="17.25">
      <c r="A4920" s="52"/>
      <c r="B4920" s="2"/>
      <c r="C4920" s="2"/>
      <c r="D4920" s="3"/>
      <c r="E4920" s="3"/>
      <c r="F4920" s="2"/>
      <c r="G4920" s="13">
        <f>IF($B4920="IN",$D4920,0)</f>
      </c>
      <c r="H4920" s="13">
        <f>IF($B4920="OUT",$D4920,0)</f>
      </c>
    </row>
    <row x14ac:dyDescent="0.25" r="4921" customHeight="1" ht="17.25">
      <c r="A4921" s="52"/>
      <c r="B4921" s="2"/>
      <c r="C4921" s="2"/>
      <c r="D4921" s="3"/>
      <c r="E4921" s="3"/>
      <c r="F4921" s="2"/>
      <c r="G4921" s="13">
        <f>IF($B4921="IN",$D4921,0)</f>
      </c>
      <c r="H4921" s="13">
        <f>IF($B4921="OUT",$D4921,0)</f>
      </c>
    </row>
    <row x14ac:dyDescent="0.25" r="4922" customHeight="1" ht="17.25">
      <c r="A4922" s="52"/>
      <c r="B4922" s="2"/>
      <c r="C4922" s="2"/>
      <c r="D4922" s="3"/>
      <c r="E4922" s="3"/>
      <c r="F4922" s="2"/>
      <c r="G4922" s="13">
        <f>IF($B4922="IN",$D4922,0)</f>
      </c>
      <c r="H4922" s="13">
        <f>IF($B4922="OUT",$D4922,0)</f>
      </c>
    </row>
    <row x14ac:dyDescent="0.25" r="4923" customHeight="1" ht="17.25">
      <c r="A4923" s="52"/>
      <c r="B4923" s="2"/>
      <c r="C4923" s="2"/>
      <c r="D4923" s="3"/>
      <c r="E4923" s="3"/>
      <c r="F4923" s="2"/>
      <c r="G4923" s="13">
        <f>IF($B4923="IN",$D4923,0)</f>
      </c>
      <c r="H4923" s="13">
        <f>IF($B4923="OUT",$D4923,0)</f>
      </c>
    </row>
    <row x14ac:dyDescent="0.25" r="4924" customHeight="1" ht="17.25">
      <c r="A4924" s="52"/>
      <c r="B4924" s="2"/>
      <c r="C4924" s="2"/>
      <c r="D4924" s="3"/>
      <c r="E4924" s="3"/>
      <c r="F4924" s="2"/>
      <c r="G4924" s="13">
        <f>IF($B4924="IN",$D4924,0)</f>
      </c>
      <c r="H4924" s="13">
        <f>IF($B4924="OUT",$D4924,0)</f>
      </c>
    </row>
    <row x14ac:dyDescent="0.25" r="4925" customHeight="1" ht="17.25">
      <c r="A4925" s="52"/>
      <c r="B4925" s="2"/>
      <c r="C4925" s="2"/>
      <c r="D4925" s="3"/>
      <c r="E4925" s="3"/>
      <c r="F4925" s="2"/>
      <c r="G4925" s="13">
        <f>IF($B4925="IN",$D4925,0)</f>
      </c>
      <c r="H4925" s="13">
        <f>IF($B4925="OUT",$D4925,0)</f>
      </c>
    </row>
    <row x14ac:dyDescent="0.25" r="4926" customHeight="1" ht="17.25">
      <c r="A4926" s="52"/>
      <c r="B4926" s="2"/>
      <c r="C4926" s="2"/>
      <c r="D4926" s="3"/>
      <c r="E4926" s="3"/>
      <c r="F4926" s="2"/>
      <c r="G4926" s="13">
        <f>IF($B4926="IN",$D4926,0)</f>
      </c>
      <c r="H4926" s="13">
        <f>IF($B4926="OUT",$D4926,0)</f>
      </c>
    </row>
    <row x14ac:dyDescent="0.25" r="4927" customHeight="1" ht="17.25">
      <c r="A4927" s="52"/>
      <c r="B4927" s="2"/>
      <c r="C4927" s="2"/>
      <c r="D4927" s="3"/>
      <c r="E4927" s="3"/>
      <c r="F4927" s="2"/>
      <c r="G4927" s="13">
        <f>IF($B4927="IN",$D4927,0)</f>
      </c>
      <c r="H4927" s="13">
        <f>IF($B4927="OUT",$D4927,0)</f>
      </c>
    </row>
    <row x14ac:dyDescent="0.25" r="4928" customHeight="1" ht="17.25">
      <c r="A4928" s="52"/>
      <c r="B4928" s="2"/>
      <c r="C4928" s="2"/>
      <c r="D4928" s="3"/>
      <c r="E4928" s="3"/>
      <c r="F4928" s="2"/>
      <c r="G4928" s="13">
        <f>IF($B4928="IN",$D4928,0)</f>
      </c>
      <c r="H4928" s="13">
        <f>IF($B4928="OUT",$D4928,0)</f>
      </c>
    </row>
    <row x14ac:dyDescent="0.25" r="4929" customHeight="1" ht="17.25">
      <c r="A4929" s="52"/>
      <c r="B4929" s="2"/>
      <c r="C4929" s="2"/>
      <c r="D4929" s="3"/>
      <c r="E4929" s="3"/>
      <c r="F4929" s="2"/>
      <c r="G4929" s="13">
        <f>IF($B4929="IN",$D4929,0)</f>
      </c>
      <c r="H4929" s="13">
        <f>IF($B4929="OUT",$D4929,0)</f>
      </c>
    </row>
    <row x14ac:dyDescent="0.25" r="4930" customHeight="1" ht="17.25">
      <c r="A4930" s="52"/>
      <c r="B4930" s="2"/>
      <c r="C4930" s="2"/>
      <c r="D4930" s="3"/>
      <c r="E4930" s="3"/>
      <c r="F4930" s="2"/>
      <c r="G4930" s="13">
        <f>IF($B4930="IN",$D4930,0)</f>
      </c>
      <c r="H4930" s="13">
        <f>IF($B4930="OUT",$D4930,0)</f>
      </c>
    </row>
    <row x14ac:dyDescent="0.25" r="4931" customHeight="1" ht="17.25">
      <c r="A4931" s="52"/>
      <c r="B4931" s="2"/>
      <c r="C4931" s="2"/>
      <c r="D4931" s="3"/>
      <c r="E4931" s="3"/>
      <c r="F4931" s="2"/>
      <c r="G4931" s="13">
        <f>IF($B4931="IN",$D4931,0)</f>
      </c>
      <c r="H4931" s="13">
        <f>IF($B4931="OUT",$D4931,0)</f>
      </c>
    </row>
    <row x14ac:dyDescent="0.25" r="4932" customHeight="1" ht="17.25">
      <c r="A4932" s="52"/>
      <c r="B4932" s="2"/>
      <c r="C4932" s="2"/>
      <c r="D4932" s="3"/>
      <c r="E4932" s="3"/>
      <c r="F4932" s="2"/>
      <c r="G4932" s="13">
        <f>IF($B4932="IN",$D4932,0)</f>
      </c>
      <c r="H4932" s="13">
        <f>IF($B4932="OUT",$D4932,0)</f>
      </c>
    </row>
    <row x14ac:dyDescent="0.25" r="4933" customHeight="1" ht="17.25">
      <c r="A4933" s="52"/>
      <c r="B4933" s="2"/>
      <c r="C4933" s="2"/>
      <c r="D4933" s="3"/>
      <c r="E4933" s="3"/>
      <c r="F4933" s="2"/>
      <c r="G4933" s="13">
        <f>IF($B4933="IN",$D4933,0)</f>
      </c>
      <c r="H4933" s="13">
        <f>IF($B4933="OUT",$D4933,0)</f>
      </c>
    </row>
    <row x14ac:dyDescent="0.25" r="4934" customHeight="1" ht="17.25">
      <c r="A4934" s="52"/>
      <c r="B4934" s="2"/>
      <c r="C4934" s="2"/>
      <c r="D4934" s="3"/>
      <c r="E4934" s="3"/>
      <c r="F4934" s="2"/>
      <c r="G4934" s="13">
        <f>IF($B4934="IN",$D4934,0)</f>
      </c>
      <c r="H4934" s="13">
        <f>IF($B4934="OUT",$D4934,0)</f>
      </c>
    </row>
    <row x14ac:dyDescent="0.25" r="4935" customHeight="1" ht="17.25">
      <c r="A4935" s="52"/>
      <c r="B4935" s="2"/>
      <c r="C4935" s="2"/>
      <c r="D4935" s="3"/>
      <c r="E4935" s="3"/>
      <c r="F4935" s="2"/>
      <c r="G4935" s="13">
        <f>IF($B4935="IN",$D4935,0)</f>
      </c>
      <c r="H4935" s="13">
        <f>IF($B4935="OUT",$D4935,0)</f>
      </c>
    </row>
    <row x14ac:dyDescent="0.25" r="4936" customHeight="1" ht="17.25">
      <c r="A4936" s="52"/>
      <c r="B4936" s="2"/>
      <c r="C4936" s="2"/>
      <c r="D4936" s="3"/>
      <c r="E4936" s="3"/>
      <c r="F4936" s="2"/>
      <c r="G4936" s="13">
        <f>IF($B4936="IN",$D4936,0)</f>
      </c>
      <c r="H4936" s="13">
        <f>IF($B4936="OUT",$D4936,0)</f>
      </c>
    </row>
    <row x14ac:dyDescent="0.25" r="4937" customHeight="1" ht="17.25">
      <c r="A4937" s="52"/>
      <c r="B4937" s="2"/>
      <c r="C4937" s="2"/>
      <c r="D4937" s="3"/>
      <c r="E4937" s="3"/>
      <c r="F4937" s="2"/>
      <c r="G4937" s="13">
        <f>IF($B4937="IN",$D4937,0)</f>
      </c>
      <c r="H4937" s="13">
        <f>IF($B4937="OUT",$D4937,0)</f>
      </c>
    </row>
    <row x14ac:dyDescent="0.25" r="4938" customHeight="1" ht="17.25">
      <c r="A4938" s="52"/>
      <c r="B4938" s="2"/>
      <c r="C4938" s="2"/>
      <c r="D4938" s="3"/>
      <c r="E4938" s="3"/>
      <c r="F4938" s="2"/>
      <c r="G4938" s="13">
        <f>IF($B4938="IN",$D4938,0)</f>
      </c>
      <c r="H4938" s="13">
        <f>IF($B4938="OUT",$D4938,0)</f>
      </c>
    </row>
    <row x14ac:dyDescent="0.25" r="4939" customHeight="1" ht="17.25">
      <c r="A4939" s="52"/>
      <c r="B4939" s="2"/>
      <c r="C4939" s="2"/>
      <c r="D4939" s="3"/>
      <c r="E4939" s="3"/>
      <c r="F4939" s="2"/>
      <c r="G4939" s="13">
        <f>IF($B4939="IN",$D4939,0)</f>
      </c>
      <c r="H4939" s="13">
        <f>IF($B4939="OUT",$D4939,0)</f>
      </c>
    </row>
    <row x14ac:dyDescent="0.25" r="4940" customHeight="1" ht="17.25">
      <c r="A4940" s="52"/>
      <c r="B4940" s="2"/>
      <c r="C4940" s="2"/>
      <c r="D4940" s="3"/>
      <c r="E4940" s="3"/>
      <c r="F4940" s="2"/>
      <c r="G4940" s="13">
        <f>IF($B4940="IN",$D4940,0)</f>
      </c>
      <c r="H4940" s="13">
        <f>IF($B4940="OUT",$D4940,0)</f>
      </c>
    </row>
    <row x14ac:dyDescent="0.25" r="4941" customHeight="1" ht="17.25">
      <c r="A4941" s="52"/>
      <c r="B4941" s="2"/>
      <c r="C4941" s="2"/>
      <c r="D4941" s="3"/>
      <c r="E4941" s="3"/>
      <c r="F4941" s="2"/>
      <c r="G4941" s="13">
        <f>IF($B4941="IN",$D4941,0)</f>
      </c>
      <c r="H4941" s="13">
        <f>IF($B4941="OUT",$D4941,0)</f>
      </c>
    </row>
    <row x14ac:dyDescent="0.25" r="4942" customHeight="1" ht="17.25">
      <c r="A4942" s="52"/>
      <c r="B4942" s="2"/>
      <c r="C4942" s="2"/>
      <c r="D4942" s="3"/>
      <c r="E4942" s="3"/>
      <c r="F4942" s="2"/>
      <c r="G4942" s="13">
        <f>IF($B4942="IN",$D4942,0)</f>
      </c>
      <c r="H4942" s="13">
        <f>IF($B4942="OUT",$D4942,0)</f>
      </c>
    </row>
    <row x14ac:dyDescent="0.25" r="4943" customHeight="1" ht="17.25">
      <c r="A4943" s="52"/>
      <c r="B4943" s="2"/>
      <c r="C4943" s="2"/>
      <c r="D4943" s="3"/>
      <c r="E4943" s="3"/>
      <c r="F4943" s="2"/>
      <c r="G4943" s="13">
        <f>IF($B4943="IN",$D4943,0)</f>
      </c>
      <c r="H4943" s="13">
        <f>IF($B4943="OUT",$D4943,0)</f>
      </c>
    </row>
    <row x14ac:dyDescent="0.25" r="4944" customHeight="1" ht="17.25">
      <c r="A4944" s="52"/>
      <c r="B4944" s="2"/>
      <c r="C4944" s="2"/>
      <c r="D4944" s="3"/>
      <c r="E4944" s="3"/>
      <c r="F4944" s="2"/>
      <c r="G4944" s="13">
        <f>IF($B4944="IN",$D4944,0)</f>
      </c>
      <c r="H4944" s="13">
        <f>IF($B4944="OUT",$D4944,0)</f>
      </c>
    </row>
    <row x14ac:dyDescent="0.25" r="4945" customHeight="1" ht="17.25">
      <c r="A4945" s="52"/>
      <c r="B4945" s="2"/>
      <c r="C4945" s="2"/>
      <c r="D4945" s="3"/>
      <c r="E4945" s="3"/>
      <c r="F4945" s="2"/>
      <c r="G4945" s="13">
        <f>IF($B4945="IN",$D4945,0)</f>
      </c>
      <c r="H4945" s="13">
        <f>IF($B4945="OUT",$D4945,0)</f>
      </c>
    </row>
    <row x14ac:dyDescent="0.25" r="4946" customHeight="1" ht="17.25">
      <c r="A4946" s="52"/>
      <c r="B4946" s="2"/>
      <c r="C4946" s="2"/>
      <c r="D4946" s="3"/>
      <c r="E4946" s="3"/>
      <c r="F4946" s="2"/>
      <c r="G4946" s="13">
        <f>IF($B4946="IN",$D4946,0)</f>
      </c>
      <c r="H4946" s="13">
        <f>IF($B4946="OUT",$D4946,0)</f>
      </c>
    </row>
    <row x14ac:dyDescent="0.25" r="4947" customHeight="1" ht="17.25">
      <c r="A4947" s="52"/>
      <c r="B4947" s="2"/>
      <c r="C4947" s="2"/>
      <c r="D4947" s="3"/>
      <c r="E4947" s="3"/>
      <c r="F4947" s="2"/>
      <c r="G4947" s="13">
        <f>IF($B4947="IN",$D4947,0)</f>
      </c>
      <c r="H4947" s="13">
        <f>IF($B4947="OUT",$D4947,0)</f>
      </c>
    </row>
    <row x14ac:dyDescent="0.25" r="4948" customHeight="1" ht="17.25">
      <c r="A4948" s="52"/>
      <c r="B4948" s="2"/>
      <c r="C4948" s="2"/>
      <c r="D4948" s="3"/>
      <c r="E4948" s="3"/>
      <c r="F4948" s="2"/>
      <c r="G4948" s="13">
        <f>IF($B4948="IN",$D4948,0)</f>
      </c>
      <c r="H4948" s="13">
        <f>IF($B4948="OUT",$D4948,0)</f>
      </c>
    </row>
    <row x14ac:dyDescent="0.25" r="4949" customHeight="1" ht="17.25">
      <c r="A4949" s="52"/>
      <c r="B4949" s="2"/>
      <c r="C4949" s="2"/>
      <c r="D4949" s="3"/>
      <c r="E4949" s="3"/>
      <c r="F4949" s="2"/>
      <c r="G4949" s="13">
        <f>IF($B4949="IN",$D4949,0)</f>
      </c>
      <c r="H4949" s="13">
        <f>IF($B4949="OUT",$D4949,0)</f>
      </c>
    </row>
    <row x14ac:dyDescent="0.25" r="4950" customHeight="1" ht="17.25">
      <c r="A4950" s="52"/>
      <c r="B4950" s="2"/>
      <c r="C4950" s="2"/>
      <c r="D4950" s="3"/>
      <c r="E4950" s="3"/>
      <c r="F4950" s="2"/>
      <c r="G4950" s="13">
        <f>IF($B4950="IN",$D4950,0)</f>
      </c>
      <c r="H4950" s="13">
        <f>IF($B4950="OUT",$D4950,0)</f>
      </c>
    </row>
    <row x14ac:dyDescent="0.25" r="4951" customHeight="1" ht="17.25">
      <c r="A4951" s="52"/>
      <c r="B4951" s="2"/>
      <c r="C4951" s="2"/>
      <c r="D4951" s="3"/>
      <c r="E4951" s="3"/>
      <c r="F4951" s="2"/>
      <c r="G4951" s="13">
        <f>IF($B4951="IN",$D4951,0)</f>
      </c>
      <c r="H4951" s="13">
        <f>IF($B4951="OUT",$D4951,0)</f>
      </c>
    </row>
    <row x14ac:dyDescent="0.25" r="4952" customHeight="1" ht="17.25">
      <c r="A4952" s="52"/>
      <c r="B4952" s="2"/>
      <c r="C4952" s="2"/>
      <c r="D4952" s="3"/>
      <c r="E4952" s="3"/>
      <c r="F4952" s="2"/>
      <c r="G4952" s="13">
        <f>IF($B4952="IN",$D4952,0)</f>
      </c>
      <c r="H4952" s="13">
        <f>IF($B4952="OUT",$D4952,0)</f>
      </c>
    </row>
    <row x14ac:dyDescent="0.25" r="4953" customHeight="1" ht="17.25">
      <c r="A4953" s="52"/>
      <c r="B4953" s="2"/>
      <c r="C4953" s="2"/>
      <c r="D4953" s="3"/>
      <c r="E4953" s="3"/>
      <c r="F4953" s="2"/>
      <c r="G4953" s="13">
        <f>IF($B4953="IN",$D4953,0)</f>
      </c>
      <c r="H4953" s="13">
        <f>IF($B4953="OUT",$D4953,0)</f>
      </c>
    </row>
    <row x14ac:dyDescent="0.25" r="4954" customHeight="1" ht="17.25">
      <c r="A4954" s="52"/>
      <c r="B4954" s="2"/>
      <c r="C4954" s="2"/>
      <c r="D4954" s="3"/>
      <c r="E4954" s="3"/>
      <c r="F4954" s="2"/>
      <c r="G4954" s="13">
        <f>IF($B4954="IN",$D4954,0)</f>
      </c>
      <c r="H4954" s="13">
        <f>IF($B4954="OUT",$D4954,0)</f>
      </c>
    </row>
    <row x14ac:dyDescent="0.25" r="4955" customHeight="1" ht="17.25">
      <c r="A4955" s="52"/>
      <c r="B4955" s="2"/>
      <c r="C4955" s="2"/>
      <c r="D4955" s="3"/>
      <c r="E4955" s="3"/>
      <c r="F4955" s="2"/>
      <c r="G4955" s="13">
        <f>IF($B4955="IN",$D4955,0)</f>
      </c>
      <c r="H4955" s="13">
        <f>IF($B4955="OUT",$D4955,0)</f>
      </c>
    </row>
    <row x14ac:dyDescent="0.25" r="4956" customHeight="1" ht="17.25">
      <c r="A4956" s="52"/>
      <c r="B4956" s="2"/>
      <c r="C4956" s="2"/>
      <c r="D4956" s="3"/>
      <c r="E4956" s="3"/>
      <c r="F4956" s="2"/>
      <c r="G4956" s="13">
        <f>IF($B4956="IN",$D4956,0)</f>
      </c>
      <c r="H4956" s="13">
        <f>IF($B4956="OUT",$D4956,0)</f>
      </c>
    </row>
    <row x14ac:dyDescent="0.25" r="4957" customHeight="1" ht="17.25">
      <c r="A4957" s="52"/>
      <c r="B4957" s="2"/>
      <c r="C4957" s="2"/>
      <c r="D4957" s="3"/>
      <c r="E4957" s="3"/>
      <c r="F4957" s="2"/>
      <c r="G4957" s="13">
        <f>IF($B4957="IN",$D4957,0)</f>
      </c>
      <c r="H4957" s="13">
        <f>IF($B4957="OUT",$D4957,0)</f>
      </c>
    </row>
    <row x14ac:dyDescent="0.25" r="4958" customHeight="1" ht="17.25">
      <c r="A4958" s="52"/>
      <c r="B4958" s="2"/>
      <c r="C4958" s="2"/>
      <c r="D4958" s="3"/>
      <c r="E4958" s="3"/>
      <c r="F4958" s="2"/>
      <c r="G4958" s="13">
        <f>IF($B4958="IN",$D4958,0)</f>
      </c>
      <c r="H4958" s="13">
        <f>IF($B4958="OUT",$D4958,0)</f>
      </c>
    </row>
    <row x14ac:dyDescent="0.25" r="4959" customHeight="1" ht="17.25">
      <c r="A4959" s="52"/>
      <c r="B4959" s="2"/>
      <c r="C4959" s="2"/>
      <c r="D4959" s="3"/>
      <c r="E4959" s="3"/>
      <c r="F4959" s="2"/>
      <c r="G4959" s="13">
        <f>IF($B4959="IN",$D4959,0)</f>
      </c>
      <c r="H4959" s="13">
        <f>IF($B4959="OUT",$D4959,0)</f>
      </c>
    </row>
    <row x14ac:dyDescent="0.25" r="4960" customHeight="1" ht="17.25">
      <c r="A4960" s="52"/>
      <c r="B4960" s="2"/>
      <c r="C4960" s="2"/>
      <c r="D4960" s="3"/>
      <c r="E4960" s="3"/>
      <c r="F4960" s="2"/>
      <c r="G4960" s="13">
        <f>IF($B4960="IN",$D4960,0)</f>
      </c>
      <c r="H4960" s="13">
        <f>IF($B4960="OUT",$D4960,0)</f>
      </c>
    </row>
    <row x14ac:dyDescent="0.25" r="4961" customHeight="1" ht="17.25">
      <c r="A4961" s="52"/>
      <c r="B4961" s="2"/>
      <c r="C4961" s="2"/>
      <c r="D4961" s="3"/>
      <c r="E4961" s="3"/>
      <c r="F4961" s="2"/>
      <c r="G4961" s="13">
        <f>IF($B4961="IN",$D4961,0)</f>
      </c>
      <c r="H4961" s="13">
        <f>IF($B4961="OUT",$D4961,0)</f>
      </c>
    </row>
    <row x14ac:dyDescent="0.25" r="4962" customHeight="1" ht="17.25">
      <c r="A4962" s="52"/>
      <c r="B4962" s="2"/>
      <c r="C4962" s="2"/>
      <c r="D4962" s="3"/>
      <c r="E4962" s="3"/>
      <c r="F4962" s="2"/>
      <c r="G4962" s="13">
        <f>IF($B4962="IN",$D4962,0)</f>
      </c>
      <c r="H4962" s="13">
        <f>IF($B4962="OUT",$D4962,0)</f>
      </c>
    </row>
    <row x14ac:dyDescent="0.25" r="4963" customHeight="1" ht="17.25">
      <c r="A4963" s="52"/>
      <c r="B4963" s="2"/>
      <c r="C4963" s="2"/>
      <c r="D4963" s="3"/>
      <c r="E4963" s="3"/>
      <c r="F4963" s="2"/>
      <c r="G4963" s="13">
        <f>IF($B4963="IN",$D4963,0)</f>
      </c>
      <c r="H4963" s="13">
        <f>IF($B4963="OUT",$D4963,0)</f>
      </c>
    </row>
    <row x14ac:dyDescent="0.25" r="4964" customHeight="1" ht="17.25">
      <c r="A4964" s="52"/>
      <c r="B4964" s="2"/>
      <c r="C4964" s="2"/>
      <c r="D4964" s="3"/>
      <c r="E4964" s="3"/>
      <c r="F4964" s="2"/>
      <c r="G4964" s="13">
        <f>IF($B4964="IN",$D4964,0)</f>
      </c>
      <c r="H4964" s="13">
        <f>IF($B4964="OUT",$D4964,0)</f>
      </c>
    </row>
    <row x14ac:dyDescent="0.25" r="4965" customHeight="1" ht="17.25">
      <c r="A4965" s="52"/>
      <c r="B4965" s="2"/>
      <c r="C4965" s="2"/>
      <c r="D4965" s="3"/>
      <c r="E4965" s="3"/>
      <c r="F4965" s="2"/>
      <c r="G4965" s="13">
        <f>IF($B4965="IN",$D4965,0)</f>
      </c>
      <c r="H4965" s="13">
        <f>IF($B4965="OUT",$D4965,0)</f>
      </c>
    </row>
    <row x14ac:dyDescent="0.25" r="4966" customHeight="1" ht="17.25">
      <c r="A4966" s="52"/>
      <c r="B4966" s="2"/>
      <c r="C4966" s="2"/>
      <c r="D4966" s="3"/>
      <c r="E4966" s="3"/>
      <c r="F4966" s="2"/>
      <c r="G4966" s="13">
        <f>IF($B4966="IN",$D4966,0)</f>
      </c>
      <c r="H4966" s="13">
        <f>IF($B4966="OUT",$D4966,0)</f>
      </c>
    </row>
    <row x14ac:dyDescent="0.25" r="4967" customHeight="1" ht="17.25">
      <c r="A4967" s="52"/>
      <c r="B4967" s="2"/>
      <c r="C4967" s="2"/>
      <c r="D4967" s="3"/>
      <c r="E4967" s="3"/>
      <c r="F4967" s="2"/>
      <c r="G4967" s="13">
        <f>IF($B4967="IN",$D4967,0)</f>
      </c>
      <c r="H4967" s="13">
        <f>IF($B4967="OUT",$D4967,0)</f>
      </c>
    </row>
    <row x14ac:dyDescent="0.25" r="4968" customHeight="1" ht="17.25">
      <c r="A4968" s="52"/>
      <c r="B4968" s="2"/>
      <c r="C4968" s="2"/>
      <c r="D4968" s="3"/>
      <c r="E4968" s="3"/>
      <c r="F4968" s="2"/>
      <c r="G4968" s="13">
        <f>IF($B4968="IN",$D4968,0)</f>
      </c>
      <c r="H4968" s="13">
        <f>IF($B4968="OUT",$D4968,0)</f>
      </c>
    </row>
    <row x14ac:dyDescent="0.25" r="4969" customHeight="1" ht="17.25">
      <c r="A4969" s="52"/>
      <c r="B4969" s="2"/>
      <c r="C4969" s="2"/>
      <c r="D4969" s="3"/>
      <c r="E4969" s="3"/>
      <c r="F4969" s="2"/>
      <c r="G4969" s="13">
        <f>IF($B4969="IN",$D4969,0)</f>
      </c>
      <c r="H4969" s="13">
        <f>IF($B4969="OUT",$D4969,0)</f>
      </c>
    </row>
    <row x14ac:dyDescent="0.25" r="4970" customHeight="1" ht="17.25">
      <c r="A4970" s="52"/>
      <c r="B4970" s="2"/>
      <c r="C4970" s="2"/>
      <c r="D4970" s="3"/>
      <c r="E4970" s="3"/>
      <c r="F4970" s="2"/>
      <c r="G4970" s="13">
        <f>IF($B4970="IN",$D4970,0)</f>
      </c>
      <c r="H4970" s="13">
        <f>IF($B4970="OUT",$D4970,0)</f>
      </c>
    </row>
    <row x14ac:dyDescent="0.25" r="4971" customHeight="1" ht="17.25">
      <c r="A4971" s="52"/>
      <c r="B4971" s="2"/>
      <c r="C4971" s="2"/>
      <c r="D4971" s="3"/>
      <c r="E4971" s="3"/>
      <c r="F4971" s="2"/>
      <c r="G4971" s="13">
        <f>IF($B4971="IN",$D4971,0)</f>
      </c>
      <c r="H4971" s="13">
        <f>IF($B4971="OUT",$D4971,0)</f>
      </c>
    </row>
    <row x14ac:dyDescent="0.25" r="4972" customHeight="1" ht="17.25">
      <c r="A4972" s="52"/>
      <c r="B4972" s="2"/>
      <c r="C4972" s="2"/>
      <c r="D4972" s="3"/>
      <c r="E4972" s="3"/>
      <c r="F4972" s="2"/>
      <c r="G4972" s="13">
        <f>IF($B4972="IN",$D4972,0)</f>
      </c>
      <c r="H4972" s="13">
        <f>IF($B4972="OUT",$D4972,0)</f>
      </c>
    </row>
    <row x14ac:dyDescent="0.25" r="4973" customHeight="1" ht="17.25">
      <c r="A4973" s="52"/>
      <c r="B4973" s="2"/>
      <c r="C4973" s="2"/>
      <c r="D4973" s="3"/>
      <c r="E4973" s="3"/>
      <c r="F4973" s="2"/>
      <c r="G4973" s="13">
        <f>IF($B4973="IN",$D4973,0)</f>
      </c>
      <c r="H4973" s="13">
        <f>IF($B4973="OUT",$D4973,0)</f>
      </c>
    </row>
    <row x14ac:dyDescent="0.25" r="4974" customHeight="1" ht="17.25">
      <c r="A4974" s="52"/>
      <c r="B4974" s="2"/>
      <c r="C4974" s="2"/>
      <c r="D4974" s="3"/>
      <c r="E4974" s="3"/>
      <c r="F4974" s="2"/>
      <c r="G4974" s="13">
        <f>IF($B4974="IN",$D4974,0)</f>
      </c>
      <c r="H4974" s="13">
        <f>IF($B4974="OUT",$D4974,0)</f>
      </c>
    </row>
    <row x14ac:dyDescent="0.25" r="4975" customHeight="1" ht="17.25">
      <c r="A4975" s="52"/>
      <c r="B4975" s="2"/>
      <c r="C4975" s="2"/>
      <c r="D4975" s="3"/>
      <c r="E4975" s="3"/>
      <c r="F4975" s="2"/>
      <c r="G4975" s="13">
        <f>IF($B4975="IN",$D4975,0)</f>
      </c>
      <c r="H4975" s="13">
        <f>IF($B4975="OUT",$D4975,0)</f>
      </c>
    </row>
    <row x14ac:dyDescent="0.25" r="4976" customHeight="1" ht="17.25">
      <c r="A4976" s="52"/>
      <c r="B4976" s="2"/>
      <c r="C4976" s="2"/>
      <c r="D4976" s="3"/>
      <c r="E4976" s="3"/>
      <c r="F4976" s="2"/>
      <c r="G4976" s="13">
        <f>IF($B4976="IN",$D4976,0)</f>
      </c>
      <c r="H4976" s="13">
        <f>IF($B4976="OUT",$D4976,0)</f>
      </c>
    </row>
    <row x14ac:dyDescent="0.25" r="4977" customHeight="1" ht="17.25">
      <c r="A4977" s="52"/>
      <c r="B4977" s="2"/>
      <c r="C4977" s="2"/>
      <c r="D4977" s="3"/>
      <c r="E4977" s="3"/>
      <c r="F4977" s="2"/>
      <c r="G4977" s="13">
        <f>IF($B4977="IN",$D4977,0)</f>
      </c>
      <c r="H4977" s="13">
        <f>IF($B4977="OUT",$D4977,0)</f>
      </c>
    </row>
    <row x14ac:dyDescent="0.25" r="4978" customHeight="1" ht="17.25">
      <c r="A4978" s="52"/>
      <c r="B4978" s="2"/>
      <c r="C4978" s="2"/>
      <c r="D4978" s="3"/>
      <c r="E4978" s="3"/>
      <c r="F4978" s="2"/>
      <c r="G4978" s="13">
        <f>IF($B4978="IN",$D4978,0)</f>
      </c>
      <c r="H4978" s="13">
        <f>IF($B4978="OUT",$D4978,0)</f>
      </c>
    </row>
    <row x14ac:dyDescent="0.25" r="4979" customHeight="1" ht="17.25">
      <c r="A4979" s="52"/>
      <c r="B4979" s="2"/>
      <c r="C4979" s="2"/>
      <c r="D4979" s="3"/>
      <c r="E4979" s="3"/>
      <c r="F4979" s="2"/>
      <c r="G4979" s="13">
        <f>IF($B4979="IN",$D4979,0)</f>
      </c>
      <c r="H4979" s="13">
        <f>IF($B4979="OUT",$D4979,0)</f>
      </c>
    </row>
    <row x14ac:dyDescent="0.25" r="4980" customHeight="1" ht="17.25">
      <c r="A4980" s="52"/>
      <c r="B4980" s="2"/>
      <c r="C4980" s="2"/>
      <c r="D4980" s="3"/>
      <c r="E4980" s="3"/>
      <c r="F4980" s="2"/>
      <c r="G4980" s="13">
        <f>IF($B4980="IN",$D4980,0)</f>
      </c>
      <c r="H4980" s="13">
        <f>IF($B4980="OUT",$D4980,0)</f>
      </c>
    </row>
    <row x14ac:dyDescent="0.25" r="4981" customHeight="1" ht="17.25">
      <c r="A4981" s="52"/>
      <c r="B4981" s="2"/>
      <c r="C4981" s="2"/>
      <c r="D4981" s="3"/>
      <c r="E4981" s="3"/>
      <c r="F4981" s="2"/>
      <c r="G4981" s="13">
        <f>IF($B4981="IN",$D4981,0)</f>
      </c>
      <c r="H4981" s="13">
        <f>IF($B4981="OUT",$D4981,0)</f>
      </c>
    </row>
    <row x14ac:dyDescent="0.25" r="4982" customHeight="1" ht="17.25">
      <c r="A4982" s="52"/>
      <c r="B4982" s="2"/>
      <c r="C4982" s="2"/>
      <c r="D4982" s="3"/>
      <c r="E4982" s="3"/>
      <c r="F4982" s="2"/>
      <c r="G4982" s="13">
        <f>IF($B4982="IN",$D4982,0)</f>
      </c>
      <c r="H4982" s="13">
        <f>IF($B4982="OUT",$D4982,0)</f>
      </c>
    </row>
    <row x14ac:dyDescent="0.25" r="4983" customHeight="1" ht="17.25">
      <c r="A4983" s="52"/>
      <c r="B4983" s="2"/>
      <c r="C4983" s="2"/>
      <c r="D4983" s="3"/>
      <c r="E4983" s="3"/>
      <c r="F4983" s="2"/>
      <c r="G4983" s="13">
        <f>IF($B4983="IN",$D4983,0)</f>
      </c>
      <c r="H4983" s="13">
        <f>IF($B4983="OUT",$D4983,0)</f>
      </c>
    </row>
    <row x14ac:dyDescent="0.25" r="4984" customHeight="1" ht="17.25">
      <c r="A4984" s="52"/>
      <c r="B4984" s="2"/>
      <c r="C4984" s="2"/>
      <c r="D4984" s="3"/>
      <c r="E4984" s="3"/>
      <c r="F4984" s="2"/>
      <c r="G4984" s="13">
        <f>IF($B4984="IN",$D4984,0)</f>
      </c>
      <c r="H4984" s="13">
        <f>IF($B4984="OUT",$D4984,0)</f>
      </c>
    </row>
    <row x14ac:dyDescent="0.25" r="4985" customHeight="1" ht="17.25">
      <c r="A4985" s="52"/>
      <c r="B4985" s="2"/>
      <c r="C4985" s="2"/>
      <c r="D4985" s="3"/>
      <c r="E4985" s="3"/>
      <c r="F4985" s="2"/>
      <c r="G4985" s="13">
        <f>IF($B4985="IN",$D4985,0)</f>
      </c>
      <c r="H4985" s="13">
        <f>IF($B4985="OUT",$D4985,0)</f>
      </c>
    </row>
    <row x14ac:dyDescent="0.25" r="4986" customHeight="1" ht="17.25">
      <c r="A4986" s="52"/>
      <c r="B4986" s="2"/>
      <c r="C4986" s="2"/>
      <c r="D4986" s="3"/>
      <c r="E4986" s="3"/>
      <c r="F4986" s="2"/>
      <c r="G4986" s="13">
        <f>IF($B4986="IN",$D4986,0)</f>
      </c>
      <c r="H4986" s="13">
        <f>IF($B4986="OUT",$D4986,0)</f>
      </c>
    </row>
    <row x14ac:dyDescent="0.25" r="4987" customHeight="1" ht="17.25">
      <c r="A4987" s="52"/>
      <c r="B4987" s="2"/>
      <c r="C4987" s="2"/>
      <c r="D4987" s="3"/>
      <c r="E4987" s="3"/>
      <c r="F4987" s="2"/>
      <c r="G4987" s="13">
        <f>IF($B4987="IN",$D4987,0)</f>
      </c>
      <c r="H4987" s="13">
        <f>IF($B4987="OUT",$D4987,0)</f>
      </c>
    </row>
    <row x14ac:dyDescent="0.25" r="4988" customHeight="1" ht="17.25">
      <c r="A4988" s="52"/>
      <c r="B4988" s="2"/>
      <c r="C4988" s="2"/>
      <c r="D4988" s="3"/>
      <c r="E4988" s="3"/>
      <c r="F4988" s="2"/>
      <c r="G4988" s="13">
        <f>IF($B4988="IN",$D4988,0)</f>
      </c>
      <c r="H4988" s="13">
        <f>IF($B4988="OUT",$D4988,0)</f>
      </c>
    </row>
    <row x14ac:dyDescent="0.25" r="4989" customHeight="1" ht="17.25">
      <c r="A4989" s="52"/>
      <c r="B4989" s="2"/>
      <c r="C4989" s="2"/>
      <c r="D4989" s="3"/>
      <c r="E4989" s="3"/>
      <c r="F4989" s="2"/>
      <c r="G4989" s="13">
        <f>IF($B4989="IN",$D4989,0)</f>
      </c>
      <c r="H4989" s="13">
        <f>IF($B4989="OUT",$D4989,0)</f>
      </c>
    </row>
    <row x14ac:dyDescent="0.25" r="4990" customHeight="1" ht="17.25">
      <c r="A4990" s="52"/>
      <c r="B4990" s="2"/>
      <c r="C4990" s="2"/>
      <c r="D4990" s="3"/>
      <c r="E4990" s="3"/>
      <c r="F4990" s="2"/>
      <c r="G4990" s="13">
        <f>IF($B4990="IN",$D4990,0)</f>
      </c>
      <c r="H4990" s="13">
        <f>IF($B4990="OUT",$D4990,0)</f>
      </c>
    </row>
    <row x14ac:dyDescent="0.25" r="4991" customHeight="1" ht="17.25">
      <c r="A4991" s="52"/>
      <c r="B4991" s="2"/>
      <c r="C4991" s="2"/>
      <c r="D4991" s="3"/>
      <c r="E4991" s="3"/>
      <c r="F4991" s="2"/>
      <c r="G4991" s="13">
        <f>IF($B4991="IN",$D4991,0)</f>
      </c>
      <c r="H4991" s="13">
        <f>IF($B4991="OUT",$D4991,0)</f>
      </c>
    </row>
    <row x14ac:dyDescent="0.25" r="4992" customHeight="1" ht="17.25">
      <c r="A4992" s="52"/>
      <c r="B4992" s="2"/>
      <c r="C4992" s="2"/>
      <c r="D4992" s="3"/>
      <c r="E4992" s="3"/>
      <c r="F4992" s="2"/>
      <c r="G4992" s="13">
        <f>IF($B4992="IN",$D4992,0)</f>
      </c>
      <c r="H4992" s="13">
        <f>IF($B4992="OUT",$D4992,0)</f>
      </c>
    </row>
    <row x14ac:dyDescent="0.25" r="4993" customHeight="1" ht="17.25">
      <c r="A4993" s="52"/>
      <c r="B4993" s="2"/>
      <c r="C4993" s="2"/>
      <c r="D4993" s="3"/>
      <c r="E4993" s="3"/>
      <c r="F4993" s="2"/>
      <c r="G4993" s="13">
        <f>IF($B4993="IN",$D4993,0)</f>
      </c>
      <c r="H4993" s="13">
        <f>IF($B4993="OUT",$D4993,0)</f>
      </c>
    </row>
    <row x14ac:dyDescent="0.25" r="4994" customHeight="1" ht="17.25">
      <c r="A4994" s="52"/>
      <c r="B4994" s="2"/>
      <c r="C4994" s="2"/>
      <c r="D4994" s="3"/>
      <c r="E4994" s="3"/>
      <c r="F4994" s="2"/>
      <c r="G4994" s="13">
        <f>IF($B4994="IN",$D4994,0)</f>
      </c>
      <c r="H4994" s="13">
        <f>IF($B4994="OUT",$D4994,0)</f>
      </c>
    </row>
    <row x14ac:dyDescent="0.25" r="4995" customHeight="1" ht="17.25">
      <c r="A4995" s="52"/>
      <c r="B4995" s="2"/>
      <c r="C4995" s="2"/>
      <c r="D4995" s="3"/>
      <c r="E4995" s="3"/>
      <c r="F4995" s="2"/>
      <c r="G4995" s="13">
        <f>IF($B4995="IN",$D4995,0)</f>
      </c>
      <c r="H4995" s="13">
        <f>IF($B4995="OUT",$D4995,0)</f>
      </c>
    </row>
    <row x14ac:dyDescent="0.25" r="4996" customHeight="1" ht="17.25">
      <c r="A4996" s="52"/>
      <c r="B4996" s="2"/>
      <c r="C4996" s="2"/>
      <c r="D4996" s="3"/>
      <c r="E4996" s="3"/>
      <c r="F4996" s="2"/>
      <c r="G4996" s="13">
        <f>IF($B4996="IN",$D4996,0)</f>
      </c>
      <c r="H4996" s="13">
        <f>IF($B4996="OUT",$D4996,0)</f>
      </c>
    </row>
    <row x14ac:dyDescent="0.25" r="4997" customHeight="1" ht="17.25">
      <c r="A4997" s="52"/>
      <c r="B4997" s="2"/>
      <c r="C4997" s="2"/>
      <c r="D4997" s="3"/>
      <c r="E4997" s="3"/>
      <c r="F4997" s="2"/>
      <c r="G4997" s="13">
        <f>IF($B4997="IN",$D4997,0)</f>
      </c>
      <c r="H4997" s="13">
        <f>IF($B4997="OUT",$D4997,0)</f>
      </c>
    </row>
    <row x14ac:dyDescent="0.25" r="4998" customHeight="1" ht="17.25">
      <c r="A4998" s="52"/>
      <c r="B4998" s="2"/>
      <c r="C4998" s="2"/>
      <c r="D4998" s="3"/>
      <c r="E4998" s="3"/>
      <c r="F4998" s="2"/>
      <c r="G4998" s="13">
        <f>IF($B4998="IN",$D4998,0)</f>
      </c>
      <c r="H4998" s="13">
        <f>IF($B4998="OUT",$D4998,0)</f>
      </c>
    </row>
    <row x14ac:dyDescent="0.25" r="4999" customHeight="1" ht="17.25">
      <c r="A4999" s="52"/>
      <c r="B4999" s="2"/>
      <c r="C4999" s="2"/>
      <c r="D4999" s="3"/>
      <c r="E4999" s="3"/>
      <c r="F4999" s="2"/>
      <c r="G4999" s="13">
        <f>IF($B4999="IN",$D4999,0)</f>
      </c>
      <c r="H4999" s="13">
        <f>IF($B4999="OUT",$D4999,0)</f>
      </c>
    </row>
    <row x14ac:dyDescent="0.25" r="5000" customHeight="1" ht="17.25">
      <c r="A5000" s="52"/>
      <c r="B5000" s="2"/>
      <c r="C5000" s="2"/>
      <c r="D5000" s="3"/>
      <c r="E5000" s="3"/>
      <c r="F5000" s="2"/>
      <c r="G5000" s="13">
        <f>IF($B5000="IN",$D5000,0)</f>
      </c>
      <c r="H5000" s="13">
        <f>IF($B5000="OUT",$D5000,0)</f>
      </c>
    </row>
    <row x14ac:dyDescent="0.25" r="5001" customHeight="1" ht="17.25">
      <c r="A5001" s="52"/>
      <c r="B5001" s="2"/>
      <c r="C5001" s="2"/>
      <c r="D5001" s="3"/>
      <c r="E5001" s="3"/>
      <c r="F5001" s="2"/>
      <c r="G5001" s="13">
        <f>IF($B5001="IN",$D5001,0)</f>
      </c>
      <c r="H5001" s="13">
        <f>IF($B5001="OUT",$D5001,0)</f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201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29" width="14.005" customWidth="1" bestFit="1"/>
    <col min="2" max="2" style="29" width="32.005" customWidth="1" bestFit="1"/>
    <col min="3" max="3" style="29" width="16.005" customWidth="1" bestFit="1"/>
    <col min="4" max="4" style="30" width="14.005" customWidth="1" bestFit="1"/>
    <col min="5" max="5" style="30" width="14.005" customWidth="1" bestFit="1"/>
    <col min="6" max="6" style="30" width="14.005" customWidth="1" bestFit="1"/>
    <col min="7" max="7" style="30" width="14.005" customWidth="1" bestFit="1"/>
    <col min="8" max="8" style="30" width="14.005" customWidth="1" bestFit="1"/>
    <col min="9" max="9" style="42" width="10.005" customWidth="1" bestFit="1"/>
    <col min="10" max="10" style="30" width="12.005" customWidth="1" bestFit="1"/>
    <col min="11" max="11" style="30" width="12.005" customWidth="1" bestFit="1"/>
    <col min="12" max="12" style="30" width="16.005" customWidth="1" bestFit="1"/>
    <col min="13" max="13" style="30" width="16.005" customWidth="1" bestFit="1"/>
    <col min="14" max="14" style="30" width="12.005" customWidth="1" bestFit="1"/>
  </cols>
  <sheetData>
    <row x14ac:dyDescent="0.25" r="1" customHeight="1" ht="28" customFormat="1" s="8">
      <c r="A1" s="28" t="s">
        <v>8</v>
      </c>
      <c r="B1" s="28" t="s">
        <v>9</v>
      </c>
      <c r="C1" s="28" t="s">
        <v>22</v>
      </c>
      <c r="D1" s="28" t="s">
        <v>33</v>
      </c>
      <c r="E1" s="28" t="s">
        <v>34</v>
      </c>
      <c r="F1" s="28" t="s">
        <v>35</v>
      </c>
      <c r="G1" s="28" t="s">
        <v>11</v>
      </c>
      <c r="H1" s="28" t="s">
        <v>24</v>
      </c>
      <c r="I1" s="28" t="s">
        <v>36</v>
      </c>
      <c r="J1" s="28" t="s">
        <v>29</v>
      </c>
      <c r="K1" s="28" t="s">
        <v>30</v>
      </c>
      <c r="L1" s="28" t="s">
        <v>37</v>
      </c>
      <c r="M1" s="28" t="s">
        <v>38</v>
      </c>
      <c r="N1" s="28" t="s">
        <v>10</v>
      </c>
    </row>
    <row x14ac:dyDescent="0.25" r="2" customHeight="1" ht="17.25">
      <c r="A2" s="15">
        <f>IF(ROW()-1&lt;=COUNTA(Items_Master!$A$2:$A$2001),INDEX(Items_Master!$A$2:$A$2001,ROW()-1),"")</f>
      </c>
      <c r="B2" s="15">
        <f>IF($A2="","",VLOOKUP($A2,Items_Master!$A$2:$L$2001,2,FALSE))</f>
      </c>
      <c r="C2" s="15">
        <f>IF($A2="","",VLOOKUP($A2,Items_Master!$A$2:$L$2001,3,FALSE))</f>
      </c>
      <c r="D2" s="16">
        <f>IF($A2="","",SUMIFS(Transactions!$G$2:$G$5001,Transactions!$C$2:$C$5001,$A2,Transactions!$E$2:$E$5001,1)-SUMIFS(Transactions!$H$2:$H$5001,Transactions!$C$2:$C$5001,$A2,Transactions!$E$2:$E$5001,1))</f>
      </c>
      <c r="E2" s="16">
        <f>IF($A2="","",SUMIFS(Transactions!$G$2:$G$5001,Transactions!$C$2:$C$5001,$A2,Transactions!$E$2:$E$5001,2)-SUMIFS(Transactions!$H$2:$H$5001,Transactions!$C$2:$C$5001,$A2,Transactions!$E$2:$E$5001,2))</f>
      </c>
      <c r="F2" s="16">
        <f>IF($A2="","",SUMIFS(Transactions!$G$2:$G$5001,Transactions!$C$2:$C$5001,$A2,Transactions!$E$2:$E$5001,3)-SUMIFS(Transactions!$H$2:$H$5001,Transactions!$C$2:$C$5001,$A2,Transactions!$E$2:$E$5001,3))</f>
      </c>
      <c r="G2" s="16">
        <f>IF($A2="","",SUM($D2:$F2))</f>
      </c>
      <c r="H2" s="16">
        <f>IF($A2="","",VLOOKUP($A2,Items_Master!$A$2:$L$2001,6,FALSE))</f>
      </c>
      <c r="I2" s="38">
        <f>IF($A2="","",IF($G2&lt;=$H2,"LOW","OK"))</f>
      </c>
      <c r="J2" s="39">
        <f>IF($A2="","",VLOOKUP($A2,Items_Master!$A$2:$L$2001,4,FALSE))</f>
      </c>
      <c r="K2" s="39">
        <f>IF($A2="","",VLOOKUP($A2,Items_Master!$A$2:$L$2001,5,FALSE))</f>
      </c>
      <c r="L2" s="39">
        <f>IF($A2="","",$G2*$J2)</f>
      </c>
      <c r="M2" s="39">
        <f>IF($A2="","",$G2*$K2)</f>
      </c>
      <c r="N2" s="16">
        <f>IF($A2="","",COUNTIF(Transactions!$C$2:$C$5001,$A2))</f>
      </c>
    </row>
    <row x14ac:dyDescent="0.25" r="3" customHeight="1" ht="17.25">
      <c r="A3" s="12">
        <f>IF(ROW()-1&lt;=COUNTA(Items_Master!$A$2:$A$2001),INDEX(Items_Master!$A$2:$A$2001,ROW()-1),"")</f>
      </c>
      <c r="B3" s="12">
        <f>IF($A3="","",VLOOKUP($A3,Items_Master!$A$2:$L$2001,2,FALSE))</f>
      </c>
      <c r="C3" s="12">
        <f>IF($A3="","",VLOOKUP($A3,Items_Master!$A$2:$L$2001,3,FALSE))</f>
      </c>
      <c r="D3" s="13">
        <f>IF($A3="","",SUMIFS(Transactions!$G$2:$G$5001,Transactions!$C$2:$C$5001,$A3,Transactions!$E$2:$E$5001,1)-SUMIFS(Transactions!$H$2:$H$5001,Transactions!$C$2:$C$5001,$A3,Transactions!$E$2:$E$5001,1))</f>
      </c>
      <c r="E3" s="13">
        <f>IF($A3="","",SUMIFS(Transactions!$G$2:$G$5001,Transactions!$C$2:$C$5001,$A3,Transactions!$E$2:$E$5001,2)-SUMIFS(Transactions!$H$2:$H$5001,Transactions!$C$2:$C$5001,$A3,Transactions!$E$2:$E$5001,2))</f>
      </c>
      <c r="F3" s="13">
        <f>IF($A3="","",SUMIFS(Transactions!$G$2:$G$5001,Transactions!$C$2:$C$5001,$A3,Transactions!$E$2:$E$5001,3)-SUMIFS(Transactions!$H$2:$H$5001,Transactions!$C$2:$C$5001,$A3,Transactions!$E$2:$E$5001,3))</f>
      </c>
      <c r="G3" s="13">
        <f>IF($A3="","",SUM($D3:$F3))</f>
      </c>
      <c r="H3" s="13">
        <f>IF($A3="","",VLOOKUP($A3,Items_Master!$A$2:$L$2001,6,FALSE))</f>
      </c>
      <c r="I3" s="40">
        <f>IF($A3="","",IF($G3&lt;=$H3,"LOW","OK"))</f>
      </c>
      <c r="J3" s="41">
        <f>IF($A3="","",VLOOKUP($A3,Items_Master!$A$2:$L$2001,4,FALSE))</f>
      </c>
      <c r="K3" s="41">
        <f>IF($A3="","",VLOOKUP($A3,Items_Master!$A$2:$L$2001,5,FALSE))</f>
      </c>
      <c r="L3" s="41">
        <f>IF($A3="","",$G3*$J3)</f>
      </c>
      <c r="M3" s="41">
        <f>IF($A3="","",$G3*$K3)</f>
      </c>
      <c r="N3" s="13">
        <f>IF($A3="","",COUNTIF(Transactions!$C$2:$C$5001,$A3))</f>
      </c>
    </row>
    <row x14ac:dyDescent="0.25" r="4" customHeight="1" ht="17.25">
      <c r="A4" s="15">
        <f>IF(ROW()-1&lt;=COUNTA(Items_Master!$A$2:$A$2001),INDEX(Items_Master!$A$2:$A$2001,ROW()-1),"")</f>
      </c>
      <c r="B4" s="15">
        <f>IF($A4="","",VLOOKUP($A4,Items_Master!$A$2:$L$2001,2,FALSE))</f>
      </c>
      <c r="C4" s="15">
        <f>IF($A4="","",VLOOKUP($A4,Items_Master!$A$2:$L$2001,3,FALSE))</f>
      </c>
      <c r="D4" s="16">
        <f>IF($A4="","",SUMIFS(Transactions!$G$2:$G$5001,Transactions!$C$2:$C$5001,$A4,Transactions!$E$2:$E$5001,1)-SUMIFS(Transactions!$H$2:$H$5001,Transactions!$C$2:$C$5001,$A4,Transactions!$E$2:$E$5001,1))</f>
      </c>
      <c r="E4" s="16">
        <f>IF($A4="","",SUMIFS(Transactions!$G$2:$G$5001,Transactions!$C$2:$C$5001,$A4,Transactions!$E$2:$E$5001,2)-SUMIFS(Transactions!$H$2:$H$5001,Transactions!$C$2:$C$5001,$A4,Transactions!$E$2:$E$5001,2))</f>
      </c>
      <c r="F4" s="16">
        <f>IF($A4="","",SUMIFS(Transactions!$G$2:$G$5001,Transactions!$C$2:$C$5001,$A4,Transactions!$E$2:$E$5001,3)-SUMIFS(Transactions!$H$2:$H$5001,Transactions!$C$2:$C$5001,$A4,Transactions!$E$2:$E$5001,3))</f>
      </c>
      <c r="G4" s="16">
        <f>IF($A4="","",SUM($D4:$F4))</f>
      </c>
      <c r="H4" s="16">
        <f>IF($A4="","",VLOOKUP($A4,Items_Master!$A$2:$L$2001,6,FALSE))</f>
      </c>
      <c r="I4" s="38">
        <f>IF($A4="","",IF($G4&lt;=$H4,"LOW","OK"))</f>
      </c>
      <c r="J4" s="39">
        <f>IF($A4="","",VLOOKUP($A4,Items_Master!$A$2:$L$2001,4,FALSE))</f>
      </c>
      <c r="K4" s="39">
        <f>IF($A4="","",VLOOKUP($A4,Items_Master!$A$2:$L$2001,5,FALSE))</f>
      </c>
      <c r="L4" s="39">
        <f>IF($A4="","",$G4*$J4)</f>
      </c>
      <c r="M4" s="39">
        <f>IF($A4="","",$G4*$K4)</f>
      </c>
      <c r="N4" s="16">
        <f>IF($A4="","",COUNTIF(Transactions!$C$2:$C$5001,$A4))</f>
      </c>
    </row>
    <row x14ac:dyDescent="0.25" r="5" customHeight="1" ht="17.25">
      <c r="A5" s="12">
        <f>IF(ROW()-1&lt;=COUNTA(Items_Master!$A$2:$A$2001),INDEX(Items_Master!$A$2:$A$2001,ROW()-1),"")</f>
      </c>
      <c r="B5" s="12">
        <f>IF($A5="","",VLOOKUP($A5,Items_Master!$A$2:$L$2001,2,FALSE))</f>
      </c>
      <c r="C5" s="12">
        <f>IF($A5="","",VLOOKUP($A5,Items_Master!$A$2:$L$2001,3,FALSE))</f>
      </c>
      <c r="D5" s="13">
        <f>IF($A5="","",SUMIFS(Transactions!$G$2:$G$5001,Transactions!$C$2:$C$5001,$A5,Transactions!$E$2:$E$5001,1)-SUMIFS(Transactions!$H$2:$H$5001,Transactions!$C$2:$C$5001,$A5,Transactions!$E$2:$E$5001,1))</f>
      </c>
      <c r="E5" s="13">
        <f>IF($A5="","",SUMIFS(Transactions!$G$2:$G$5001,Transactions!$C$2:$C$5001,$A5,Transactions!$E$2:$E$5001,2)-SUMIFS(Transactions!$H$2:$H$5001,Transactions!$C$2:$C$5001,$A5,Transactions!$E$2:$E$5001,2))</f>
      </c>
      <c r="F5" s="13">
        <f>IF($A5="","",SUMIFS(Transactions!$G$2:$G$5001,Transactions!$C$2:$C$5001,$A5,Transactions!$E$2:$E$5001,3)-SUMIFS(Transactions!$H$2:$H$5001,Transactions!$C$2:$C$5001,$A5,Transactions!$E$2:$E$5001,3))</f>
      </c>
      <c r="G5" s="13">
        <f>IF($A5="","",SUM($D5:$F5))</f>
      </c>
      <c r="H5" s="13">
        <f>IF($A5="","",VLOOKUP($A5,Items_Master!$A$2:$L$2001,6,FALSE))</f>
      </c>
      <c r="I5" s="40">
        <f>IF($A5="","",IF($G5&lt;=$H5,"LOW","OK"))</f>
      </c>
      <c r="J5" s="41">
        <f>IF($A5="","",VLOOKUP($A5,Items_Master!$A$2:$L$2001,4,FALSE))</f>
      </c>
      <c r="K5" s="41">
        <f>IF($A5="","",VLOOKUP($A5,Items_Master!$A$2:$L$2001,5,FALSE))</f>
      </c>
      <c r="L5" s="41">
        <f>IF($A5="","",$G5*$J5)</f>
      </c>
      <c r="M5" s="41">
        <f>IF($A5="","",$G5*$K5)</f>
      </c>
      <c r="N5" s="13">
        <f>IF($A5="","",COUNTIF(Transactions!$C$2:$C$5001,$A5))</f>
      </c>
    </row>
    <row x14ac:dyDescent="0.25" r="6" customHeight="1" ht="17.25">
      <c r="A6" s="15">
        <f>IF(ROW()-1&lt;=COUNTA(Items_Master!$A$2:$A$2001),INDEX(Items_Master!$A$2:$A$2001,ROW()-1),"")</f>
      </c>
      <c r="B6" s="15">
        <f>IF($A6="","",VLOOKUP($A6,Items_Master!$A$2:$L$2001,2,FALSE))</f>
      </c>
      <c r="C6" s="15">
        <f>IF($A6="","",VLOOKUP($A6,Items_Master!$A$2:$L$2001,3,FALSE))</f>
      </c>
      <c r="D6" s="16">
        <f>IF($A6="","",SUMIFS(Transactions!$G$2:$G$5001,Transactions!$C$2:$C$5001,$A6,Transactions!$E$2:$E$5001,1)-SUMIFS(Transactions!$H$2:$H$5001,Transactions!$C$2:$C$5001,$A6,Transactions!$E$2:$E$5001,1))</f>
      </c>
      <c r="E6" s="16">
        <f>IF($A6="","",SUMIFS(Transactions!$G$2:$G$5001,Transactions!$C$2:$C$5001,$A6,Transactions!$E$2:$E$5001,2)-SUMIFS(Transactions!$H$2:$H$5001,Transactions!$C$2:$C$5001,$A6,Transactions!$E$2:$E$5001,2))</f>
      </c>
      <c r="F6" s="16">
        <f>IF($A6="","",SUMIFS(Transactions!$G$2:$G$5001,Transactions!$C$2:$C$5001,$A6,Transactions!$E$2:$E$5001,3)-SUMIFS(Transactions!$H$2:$H$5001,Transactions!$C$2:$C$5001,$A6,Transactions!$E$2:$E$5001,3))</f>
      </c>
      <c r="G6" s="16">
        <f>IF($A6="","",SUM($D6:$F6))</f>
      </c>
      <c r="H6" s="16">
        <f>IF($A6="","",VLOOKUP($A6,Items_Master!$A$2:$L$2001,6,FALSE))</f>
      </c>
      <c r="I6" s="38">
        <f>IF($A6="","",IF($G6&lt;=$H6,"LOW","OK"))</f>
      </c>
      <c r="J6" s="39">
        <f>IF($A6="","",VLOOKUP($A6,Items_Master!$A$2:$L$2001,4,FALSE))</f>
      </c>
      <c r="K6" s="39">
        <f>IF($A6="","",VLOOKUP($A6,Items_Master!$A$2:$L$2001,5,FALSE))</f>
      </c>
      <c r="L6" s="39">
        <f>IF($A6="","",$G6*$J6)</f>
      </c>
      <c r="M6" s="39">
        <f>IF($A6="","",$G6*$K6)</f>
      </c>
      <c r="N6" s="16">
        <f>IF($A6="","",COUNTIF(Transactions!$C$2:$C$5001,$A6))</f>
      </c>
    </row>
    <row x14ac:dyDescent="0.25" r="7" customHeight="1" ht="17.25">
      <c r="A7" s="12">
        <f>IF(ROW()-1&lt;=COUNTA(Items_Master!$A$2:$A$2001),INDEX(Items_Master!$A$2:$A$2001,ROW()-1),"")</f>
      </c>
      <c r="B7" s="12">
        <f>IF($A7="","",VLOOKUP($A7,Items_Master!$A$2:$L$2001,2,FALSE))</f>
      </c>
      <c r="C7" s="12">
        <f>IF($A7="","",VLOOKUP($A7,Items_Master!$A$2:$L$2001,3,FALSE))</f>
      </c>
      <c r="D7" s="13">
        <f>IF($A7="","",SUMIFS(Transactions!$G$2:$G$5001,Transactions!$C$2:$C$5001,$A7,Transactions!$E$2:$E$5001,1)-SUMIFS(Transactions!$H$2:$H$5001,Transactions!$C$2:$C$5001,$A7,Transactions!$E$2:$E$5001,1))</f>
      </c>
      <c r="E7" s="13">
        <f>IF($A7="","",SUMIFS(Transactions!$G$2:$G$5001,Transactions!$C$2:$C$5001,$A7,Transactions!$E$2:$E$5001,2)-SUMIFS(Transactions!$H$2:$H$5001,Transactions!$C$2:$C$5001,$A7,Transactions!$E$2:$E$5001,2))</f>
      </c>
      <c r="F7" s="13">
        <f>IF($A7="","",SUMIFS(Transactions!$G$2:$G$5001,Transactions!$C$2:$C$5001,$A7,Transactions!$E$2:$E$5001,3)-SUMIFS(Transactions!$H$2:$H$5001,Transactions!$C$2:$C$5001,$A7,Transactions!$E$2:$E$5001,3))</f>
      </c>
      <c r="G7" s="13">
        <f>IF($A7="","",SUM($D7:$F7))</f>
      </c>
      <c r="H7" s="13">
        <f>IF($A7="","",VLOOKUP($A7,Items_Master!$A$2:$L$2001,6,FALSE))</f>
      </c>
      <c r="I7" s="40">
        <f>IF($A7="","",IF($G7&lt;=$H7,"LOW","OK"))</f>
      </c>
      <c r="J7" s="41">
        <f>IF($A7="","",VLOOKUP($A7,Items_Master!$A$2:$L$2001,4,FALSE))</f>
      </c>
      <c r="K7" s="41">
        <f>IF($A7="","",VLOOKUP($A7,Items_Master!$A$2:$L$2001,5,FALSE))</f>
      </c>
      <c r="L7" s="41">
        <f>IF($A7="","",$G7*$J7)</f>
      </c>
      <c r="M7" s="41">
        <f>IF($A7="","",$G7*$K7)</f>
      </c>
      <c r="N7" s="13">
        <f>IF($A7="","",COUNTIF(Transactions!$C$2:$C$5001,$A7))</f>
      </c>
    </row>
    <row x14ac:dyDescent="0.25" r="8" customHeight="1" ht="17.25">
      <c r="A8" s="15">
        <f>IF(ROW()-1&lt;=COUNTA(Items_Master!$A$2:$A$2001),INDEX(Items_Master!$A$2:$A$2001,ROW()-1),"")</f>
      </c>
      <c r="B8" s="15">
        <f>IF($A8="","",VLOOKUP($A8,Items_Master!$A$2:$L$2001,2,FALSE))</f>
      </c>
      <c r="C8" s="15">
        <f>IF($A8="","",VLOOKUP($A8,Items_Master!$A$2:$L$2001,3,FALSE))</f>
      </c>
      <c r="D8" s="16">
        <f>IF($A8="","",SUMIFS(Transactions!$G$2:$G$5001,Transactions!$C$2:$C$5001,$A8,Transactions!$E$2:$E$5001,1)-SUMIFS(Transactions!$H$2:$H$5001,Transactions!$C$2:$C$5001,$A8,Transactions!$E$2:$E$5001,1))</f>
      </c>
      <c r="E8" s="16">
        <f>IF($A8="","",SUMIFS(Transactions!$G$2:$G$5001,Transactions!$C$2:$C$5001,$A8,Transactions!$E$2:$E$5001,2)-SUMIFS(Transactions!$H$2:$H$5001,Transactions!$C$2:$C$5001,$A8,Transactions!$E$2:$E$5001,2))</f>
      </c>
      <c r="F8" s="16">
        <f>IF($A8="","",SUMIFS(Transactions!$G$2:$G$5001,Transactions!$C$2:$C$5001,$A8,Transactions!$E$2:$E$5001,3)-SUMIFS(Transactions!$H$2:$H$5001,Transactions!$C$2:$C$5001,$A8,Transactions!$E$2:$E$5001,3))</f>
      </c>
      <c r="G8" s="16">
        <f>IF($A8="","",SUM($D8:$F8))</f>
      </c>
      <c r="H8" s="16">
        <f>IF($A8="","",VLOOKUP($A8,Items_Master!$A$2:$L$2001,6,FALSE))</f>
      </c>
      <c r="I8" s="38">
        <f>IF($A8="","",IF($G8&lt;=$H8,"LOW","OK"))</f>
      </c>
      <c r="J8" s="39">
        <f>IF($A8="","",VLOOKUP($A8,Items_Master!$A$2:$L$2001,4,FALSE))</f>
      </c>
      <c r="K8" s="39">
        <f>IF($A8="","",VLOOKUP($A8,Items_Master!$A$2:$L$2001,5,FALSE))</f>
      </c>
      <c r="L8" s="39">
        <f>IF($A8="","",$G8*$J8)</f>
      </c>
      <c r="M8" s="39">
        <f>IF($A8="","",$G8*$K8)</f>
      </c>
      <c r="N8" s="16">
        <f>IF($A8="","",COUNTIF(Transactions!$C$2:$C$5001,$A8))</f>
      </c>
    </row>
    <row x14ac:dyDescent="0.25" r="9" customHeight="1" ht="17.25">
      <c r="A9" s="12">
        <f>IF(ROW()-1&lt;=COUNTA(Items_Master!$A$2:$A$2001),INDEX(Items_Master!$A$2:$A$2001,ROW()-1),"")</f>
      </c>
      <c r="B9" s="12">
        <f>IF($A9="","",VLOOKUP($A9,Items_Master!$A$2:$L$2001,2,FALSE))</f>
      </c>
      <c r="C9" s="12">
        <f>IF($A9="","",VLOOKUP($A9,Items_Master!$A$2:$L$2001,3,FALSE))</f>
      </c>
      <c r="D9" s="13">
        <f>IF($A9="","",SUMIFS(Transactions!$G$2:$G$5001,Transactions!$C$2:$C$5001,$A9,Transactions!$E$2:$E$5001,1)-SUMIFS(Transactions!$H$2:$H$5001,Transactions!$C$2:$C$5001,$A9,Transactions!$E$2:$E$5001,1))</f>
      </c>
      <c r="E9" s="13">
        <f>IF($A9="","",SUMIFS(Transactions!$G$2:$G$5001,Transactions!$C$2:$C$5001,$A9,Transactions!$E$2:$E$5001,2)-SUMIFS(Transactions!$H$2:$H$5001,Transactions!$C$2:$C$5001,$A9,Transactions!$E$2:$E$5001,2))</f>
      </c>
      <c r="F9" s="13">
        <f>IF($A9="","",SUMIFS(Transactions!$G$2:$G$5001,Transactions!$C$2:$C$5001,$A9,Transactions!$E$2:$E$5001,3)-SUMIFS(Transactions!$H$2:$H$5001,Transactions!$C$2:$C$5001,$A9,Transactions!$E$2:$E$5001,3))</f>
      </c>
      <c r="G9" s="13">
        <f>IF($A9="","",SUM($D9:$F9))</f>
      </c>
      <c r="H9" s="13">
        <f>IF($A9="","",VLOOKUP($A9,Items_Master!$A$2:$L$2001,6,FALSE))</f>
      </c>
      <c r="I9" s="40">
        <f>IF($A9="","",IF($G9&lt;=$H9,"LOW","OK"))</f>
      </c>
      <c r="J9" s="41">
        <f>IF($A9="","",VLOOKUP($A9,Items_Master!$A$2:$L$2001,4,FALSE))</f>
      </c>
      <c r="K9" s="41">
        <f>IF($A9="","",VLOOKUP($A9,Items_Master!$A$2:$L$2001,5,FALSE))</f>
      </c>
      <c r="L9" s="41">
        <f>IF($A9="","",$G9*$J9)</f>
      </c>
      <c r="M9" s="41">
        <f>IF($A9="","",$G9*$K9)</f>
      </c>
      <c r="N9" s="13">
        <f>IF($A9="","",COUNTIF(Transactions!$C$2:$C$5001,$A9))</f>
      </c>
    </row>
    <row x14ac:dyDescent="0.25" r="10" customHeight="1" ht="17.25">
      <c r="A10" s="15">
        <f>IF(ROW()-1&lt;=COUNTA(Items_Master!$A$2:$A$2001),INDEX(Items_Master!$A$2:$A$2001,ROW()-1),"")</f>
      </c>
      <c r="B10" s="15">
        <f>IF($A10="","",VLOOKUP($A10,Items_Master!$A$2:$L$2001,2,FALSE))</f>
      </c>
      <c r="C10" s="15">
        <f>IF($A10="","",VLOOKUP($A10,Items_Master!$A$2:$L$2001,3,FALSE))</f>
      </c>
      <c r="D10" s="16">
        <f>IF($A10="","",SUMIFS(Transactions!$G$2:$G$5001,Transactions!$C$2:$C$5001,$A10,Transactions!$E$2:$E$5001,1)-SUMIFS(Transactions!$H$2:$H$5001,Transactions!$C$2:$C$5001,$A10,Transactions!$E$2:$E$5001,1))</f>
      </c>
      <c r="E10" s="16">
        <f>IF($A10="","",SUMIFS(Transactions!$G$2:$G$5001,Transactions!$C$2:$C$5001,$A10,Transactions!$E$2:$E$5001,2)-SUMIFS(Transactions!$H$2:$H$5001,Transactions!$C$2:$C$5001,$A10,Transactions!$E$2:$E$5001,2))</f>
      </c>
      <c r="F10" s="16">
        <f>IF($A10="","",SUMIFS(Transactions!$G$2:$G$5001,Transactions!$C$2:$C$5001,$A10,Transactions!$E$2:$E$5001,3)-SUMIFS(Transactions!$H$2:$H$5001,Transactions!$C$2:$C$5001,$A10,Transactions!$E$2:$E$5001,3))</f>
      </c>
      <c r="G10" s="16">
        <f>IF($A10="","",SUM($D10:$F10))</f>
      </c>
      <c r="H10" s="16">
        <f>IF($A10="","",VLOOKUP($A10,Items_Master!$A$2:$L$2001,6,FALSE))</f>
      </c>
      <c r="I10" s="38">
        <f>IF($A10="","",IF($G10&lt;=$H10,"LOW","OK"))</f>
      </c>
      <c r="J10" s="39">
        <f>IF($A10="","",VLOOKUP($A10,Items_Master!$A$2:$L$2001,4,FALSE))</f>
      </c>
      <c r="K10" s="39">
        <f>IF($A10="","",VLOOKUP($A10,Items_Master!$A$2:$L$2001,5,FALSE))</f>
      </c>
      <c r="L10" s="39">
        <f>IF($A10="","",$G10*$J10)</f>
      </c>
      <c r="M10" s="39">
        <f>IF($A10="","",$G10*$K10)</f>
      </c>
      <c r="N10" s="16">
        <f>IF($A10="","",COUNTIF(Transactions!$C$2:$C$5001,$A10))</f>
      </c>
    </row>
    <row x14ac:dyDescent="0.25" r="11" customHeight="1" ht="17.25">
      <c r="A11" s="12">
        <f>IF(ROW()-1&lt;=COUNTA(Items_Master!$A$2:$A$2001),INDEX(Items_Master!$A$2:$A$2001,ROW()-1),"")</f>
      </c>
      <c r="B11" s="12">
        <f>IF($A11="","",VLOOKUP($A11,Items_Master!$A$2:$L$2001,2,FALSE))</f>
      </c>
      <c r="C11" s="12">
        <f>IF($A11="","",VLOOKUP($A11,Items_Master!$A$2:$L$2001,3,FALSE))</f>
      </c>
      <c r="D11" s="13">
        <f>IF($A11="","",SUMIFS(Transactions!$G$2:$G$5001,Transactions!$C$2:$C$5001,$A11,Transactions!$E$2:$E$5001,1)-SUMIFS(Transactions!$H$2:$H$5001,Transactions!$C$2:$C$5001,$A11,Transactions!$E$2:$E$5001,1))</f>
      </c>
      <c r="E11" s="13">
        <f>IF($A11="","",SUMIFS(Transactions!$G$2:$G$5001,Transactions!$C$2:$C$5001,$A11,Transactions!$E$2:$E$5001,2)-SUMIFS(Transactions!$H$2:$H$5001,Transactions!$C$2:$C$5001,$A11,Transactions!$E$2:$E$5001,2))</f>
      </c>
      <c r="F11" s="13">
        <f>IF($A11="","",SUMIFS(Transactions!$G$2:$G$5001,Transactions!$C$2:$C$5001,$A11,Transactions!$E$2:$E$5001,3)-SUMIFS(Transactions!$H$2:$H$5001,Transactions!$C$2:$C$5001,$A11,Transactions!$E$2:$E$5001,3))</f>
      </c>
      <c r="G11" s="13">
        <f>IF($A11="","",SUM($D11:$F11))</f>
      </c>
      <c r="H11" s="13">
        <f>IF($A11="","",VLOOKUP($A11,Items_Master!$A$2:$L$2001,6,FALSE))</f>
      </c>
      <c r="I11" s="40">
        <f>IF($A11="","",IF($G11&lt;=$H11,"LOW","OK"))</f>
      </c>
      <c r="J11" s="41">
        <f>IF($A11="","",VLOOKUP($A11,Items_Master!$A$2:$L$2001,4,FALSE))</f>
      </c>
      <c r="K11" s="41">
        <f>IF($A11="","",VLOOKUP($A11,Items_Master!$A$2:$L$2001,5,FALSE))</f>
      </c>
      <c r="L11" s="41">
        <f>IF($A11="","",$G11*$J11)</f>
      </c>
      <c r="M11" s="41">
        <f>IF($A11="","",$G11*$K11)</f>
      </c>
      <c r="N11" s="13">
        <f>IF($A11="","",COUNTIF(Transactions!$C$2:$C$5001,$A11))</f>
      </c>
    </row>
    <row x14ac:dyDescent="0.25" r="12" customHeight="1" ht="17.25">
      <c r="A12" s="15">
        <f>IF(ROW()-1&lt;=COUNTA(Items_Master!$A$2:$A$2001),INDEX(Items_Master!$A$2:$A$2001,ROW()-1),"")</f>
      </c>
      <c r="B12" s="15">
        <f>IF($A12="","",VLOOKUP($A12,Items_Master!$A$2:$L$2001,2,FALSE))</f>
      </c>
      <c r="C12" s="15">
        <f>IF($A12="","",VLOOKUP($A12,Items_Master!$A$2:$L$2001,3,FALSE))</f>
      </c>
      <c r="D12" s="16">
        <f>IF($A12="","",SUMIFS(Transactions!$G$2:$G$5001,Transactions!$C$2:$C$5001,$A12,Transactions!$E$2:$E$5001,1)-SUMIFS(Transactions!$H$2:$H$5001,Transactions!$C$2:$C$5001,$A12,Transactions!$E$2:$E$5001,1))</f>
      </c>
      <c r="E12" s="16">
        <f>IF($A12="","",SUMIFS(Transactions!$G$2:$G$5001,Transactions!$C$2:$C$5001,$A12,Transactions!$E$2:$E$5001,2)-SUMIFS(Transactions!$H$2:$H$5001,Transactions!$C$2:$C$5001,$A12,Transactions!$E$2:$E$5001,2))</f>
      </c>
      <c r="F12" s="16">
        <f>IF($A12="","",SUMIFS(Transactions!$G$2:$G$5001,Transactions!$C$2:$C$5001,$A12,Transactions!$E$2:$E$5001,3)-SUMIFS(Transactions!$H$2:$H$5001,Transactions!$C$2:$C$5001,$A12,Transactions!$E$2:$E$5001,3))</f>
      </c>
      <c r="G12" s="16">
        <f>IF($A12="","",SUM($D12:$F12))</f>
      </c>
      <c r="H12" s="16">
        <f>IF($A12="","",VLOOKUP($A12,Items_Master!$A$2:$L$2001,6,FALSE))</f>
      </c>
      <c r="I12" s="38">
        <f>IF($A12="","",IF($G12&lt;=$H12,"LOW","OK"))</f>
      </c>
      <c r="J12" s="39">
        <f>IF($A12="","",VLOOKUP($A12,Items_Master!$A$2:$L$2001,4,FALSE))</f>
      </c>
      <c r="K12" s="39">
        <f>IF($A12="","",VLOOKUP($A12,Items_Master!$A$2:$L$2001,5,FALSE))</f>
      </c>
      <c r="L12" s="39">
        <f>IF($A12="","",$G12*$J12)</f>
      </c>
      <c r="M12" s="39">
        <f>IF($A12="","",$G12*$K12)</f>
      </c>
      <c r="N12" s="16">
        <f>IF($A12="","",COUNTIF(Transactions!$C$2:$C$5001,$A12))</f>
      </c>
    </row>
    <row x14ac:dyDescent="0.25" r="13" customHeight="1" ht="17.25">
      <c r="A13" s="12">
        <f>IF(ROW()-1&lt;=COUNTA(Items_Master!$A$2:$A$2001),INDEX(Items_Master!$A$2:$A$2001,ROW()-1),"")</f>
      </c>
      <c r="B13" s="12">
        <f>IF($A13="","",VLOOKUP($A13,Items_Master!$A$2:$L$2001,2,FALSE))</f>
      </c>
      <c r="C13" s="12">
        <f>IF($A13="","",VLOOKUP($A13,Items_Master!$A$2:$L$2001,3,FALSE))</f>
      </c>
      <c r="D13" s="13">
        <f>IF($A13="","",SUMIFS(Transactions!$G$2:$G$5001,Transactions!$C$2:$C$5001,$A13,Transactions!$E$2:$E$5001,1)-SUMIFS(Transactions!$H$2:$H$5001,Transactions!$C$2:$C$5001,$A13,Transactions!$E$2:$E$5001,1))</f>
      </c>
      <c r="E13" s="13">
        <f>IF($A13="","",SUMIFS(Transactions!$G$2:$G$5001,Transactions!$C$2:$C$5001,$A13,Transactions!$E$2:$E$5001,2)-SUMIFS(Transactions!$H$2:$H$5001,Transactions!$C$2:$C$5001,$A13,Transactions!$E$2:$E$5001,2))</f>
      </c>
      <c r="F13" s="13">
        <f>IF($A13="","",SUMIFS(Transactions!$G$2:$G$5001,Transactions!$C$2:$C$5001,$A13,Transactions!$E$2:$E$5001,3)-SUMIFS(Transactions!$H$2:$H$5001,Transactions!$C$2:$C$5001,$A13,Transactions!$E$2:$E$5001,3))</f>
      </c>
      <c r="G13" s="13">
        <f>IF($A13="","",SUM($D13:$F13))</f>
      </c>
      <c r="H13" s="13">
        <f>IF($A13="","",VLOOKUP($A13,Items_Master!$A$2:$L$2001,6,FALSE))</f>
      </c>
      <c r="I13" s="40">
        <f>IF($A13="","",IF($G13&lt;=$H13,"LOW","OK"))</f>
      </c>
      <c r="J13" s="41">
        <f>IF($A13="","",VLOOKUP($A13,Items_Master!$A$2:$L$2001,4,FALSE))</f>
      </c>
      <c r="K13" s="41">
        <f>IF($A13="","",VLOOKUP($A13,Items_Master!$A$2:$L$2001,5,FALSE))</f>
      </c>
      <c r="L13" s="41">
        <f>IF($A13="","",$G13*$J13)</f>
      </c>
      <c r="M13" s="41">
        <f>IF($A13="","",$G13*$K13)</f>
      </c>
      <c r="N13" s="13">
        <f>IF($A13="","",COUNTIF(Transactions!$C$2:$C$5001,$A13))</f>
      </c>
    </row>
    <row x14ac:dyDescent="0.25" r="14" customHeight="1" ht="17.25">
      <c r="A14" s="15">
        <f>IF(ROW()-1&lt;=COUNTA(Items_Master!$A$2:$A$2001),INDEX(Items_Master!$A$2:$A$2001,ROW()-1),"")</f>
      </c>
      <c r="B14" s="15">
        <f>IF($A14="","",VLOOKUP($A14,Items_Master!$A$2:$L$2001,2,FALSE))</f>
      </c>
      <c r="C14" s="15">
        <f>IF($A14="","",VLOOKUP($A14,Items_Master!$A$2:$L$2001,3,FALSE))</f>
      </c>
      <c r="D14" s="16">
        <f>IF($A14="","",SUMIFS(Transactions!$G$2:$G$5001,Transactions!$C$2:$C$5001,$A14,Transactions!$E$2:$E$5001,1)-SUMIFS(Transactions!$H$2:$H$5001,Transactions!$C$2:$C$5001,$A14,Transactions!$E$2:$E$5001,1))</f>
      </c>
      <c r="E14" s="16">
        <f>IF($A14="","",SUMIFS(Transactions!$G$2:$G$5001,Transactions!$C$2:$C$5001,$A14,Transactions!$E$2:$E$5001,2)-SUMIFS(Transactions!$H$2:$H$5001,Transactions!$C$2:$C$5001,$A14,Transactions!$E$2:$E$5001,2))</f>
      </c>
      <c r="F14" s="16">
        <f>IF($A14="","",SUMIFS(Transactions!$G$2:$G$5001,Transactions!$C$2:$C$5001,$A14,Transactions!$E$2:$E$5001,3)-SUMIFS(Transactions!$H$2:$H$5001,Transactions!$C$2:$C$5001,$A14,Transactions!$E$2:$E$5001,3))</f>
      </c>
      <c r="G14" s="16">
        <f>IF($A14="","",SUM($D14:$F14))</f>
      </c>
      <c r="H14" s="16">
        <f>IF($A14="","",VLOOKUP($A14,Items_Master!$A$2:$L$2001,6,FALSE))</f>
      </c>
      <c r="I14" s="38">
        <f>IF($A14="","",IF($G14&lt;=$H14,"LOW","OK"))</f>
      </c>
      <c r="J14" s="39">
        <f>IF($A14="","",VLOOKUP($A14,Items_Master!$A$2:$L$2001,4,FALSE))</f>
      </c>
      <c r="K14" s="39">
        <f>IF($A14="","",VLOOKUP($A14,Items_Master!$A$2:$L$2001,5,FALSE))</f>
      </c>
      <c r="L14" s="39">
        <f>IF($A14="","",$G14*$J14)</f>
      </c>
      <c r="M14" s="39">
        <f>IF($A14="","",$G14*$K14)</f>
      </c>
      <c r="N14" s="16">
        <f>IF($A14="","",COUNTIF(Transactions!$C$2:$C$5001,$A14))</f>
      </c>
    </row>
    <row x14ac:dyDescent="0.25" r="15" customHeight="1" ht="17.25">
      <c r="A15" s="12">
        <f>IF(ROW()-1&lt;=COUNTA(Items_Master!$A$2:$A$2001),INDEX(Items_Master!$A$2:$A$2001,ROW()-1),"")</f>
      </c>
      <c r="B15" s="12">
        <f>IF($A15="","",VLOOKUP($A15,Items_Master!$A$2:$L$2001,2,FALSE))</f>
      </c>
      <c r="C15" s="12">
        <f>IF($A15="","",VLOOKUP($A15,Items_Master!$A$2:$L$2001,3,FALSE))</f>
      </c>
      <c r="D15" s="13">
        <f>IF($A15="","",SUMIFS(Transactions!$G$2:$G$5001,Transactions!$C$2:$C$5001,$A15,Transactions!$E$2:$E$5001,1)-SUMIFS(Transactions!$H$2:$H$5001,Transactions!$C$2:$C$5001,$A15,Transactions!$E$2:$E$5001,1))</f>
      </c>
      <c r="E15" s="13">
        <f>IF($A15="","",SUMIFS(Transactions!$G$2:$G$5001,Transactions!$C$2:$C$5001,$A15,Transactions!$E$2:$E$5001,2)-SUMIFS(Transactions!$H$2:$H$5001,Transactions!$C$2:$C$5001,$A15,Transactions!$E$2:$E$5001,2))</f>
      </c>
      <c r="F15" s="13">
        <f>IF($A15="","",SUMIFS(Transactions!$G$2:$G$5001,Transactions!$C$2:$C$5001,$A15,Transactions!$E$2:$E$5001,3)-SUMIFS(Transactions!$H$2:$H$5001,Transactions!$C$2:$C$5001,$A15,Transactions!$E$2:$E$5001,3))</f>
      </c>
      <c r="G15" s="13">
        <f>IF($A15="","",SUM($D15:$F15))</f>
      </c>
      <c r="H15" s="13">
        <f>IF($A15="","",VLOOKUP($A15,Items_Master!$A$2:$L$2001,6,FALSE))</f>
      </c>
      <c r="I15" s="40">
        <f>IF($A15="","",IF($G15&lt;=$H15,"LOW","OK"))</f>
      </c>
      <c r="J15" s="41">
        <f>IF($A15="","",VLOOKUP($A15,Items_Master!$A$2:$L$2001,4,FALSE))</f>
      </c>
      <c r="K15" s="41">
        <f>IF($A15="","",VLOOKUP($A15,Items_Master!$A$2:$L$2001,5,FALSE))</f>
      </c>
      <c r="L15" s="41">
        <f>IF($A15="","",$G15*$J15)</f>
      </c>
      <c r="M15" s="41">
        <f>IF($A15="","",$G15*$K15)</f>
      </c>
      <c r="N15" s="13">
        <f>IF($A15="","",COUNTIF(Transactions!$C$2:$C$5001,$A15))</f>
      </c>
    </row>
    <row x14ac:dyDescent="0.25" r="16" customHeight="1" ht="17.25">
      <c r="A16" s="15">
        <f>IF(ROW()-1&lt;=COUNTA(Items_Master!$A$2:$A$2001),INDEX(Items_Master!$A$2:$A$2001,ROW()-1),"")</f>
      </c>
      <c r="B16" s="15">
        <f>IF($A16="","",VLOOKUP($A16,Items_Master!$A$2:$L$2001,2,FALSE))</f>
      </c>
      <c r="C16" s="15">
        <f>IF($A16="","",VLOOKUP($A16,Items_Master!$A$2:$L$2001,3,FALSE))</f>
      </c>
      <c r="D16" s="16">
        <f>IF($A16="","",SUMIFS(Transactions!$G$2:$G$5001,Transactions!$C$2:$C$5001,$A16,Transactions!$E$2:$E$5001,1)-SUMIFS(Transactions!$H$2:$H$5001,Transactions!$C$2:$C$5001,$A16,Transactions!$E$2:$E$5001,1))</f>
      </c>
      <c r="E16" s="16">
        <f>IF($A16="","",SUMIFS(Transactions!$G$2:$G$5001,Transactions!$C$2:$C$5001,$A16,Transactions!$E$2:$E$5001,2)-SUMIFS(Transactions!$H$2:$H$5001,Transactions!$C$2:$C$5001,$A16,Transactions!$E$2:$E$5001,2))</f>
      </c>
      <c r="F16" s="16">
        <f>IF($A16="","",SUMIFS(Transactions!$G$2:$G$5001,Transactions!$C$2:$C$5001,$A16,Transactions!$E$2:$E$5001,3)-SUMIFS(Transactions!$H$2:$H$5001,Transactions!$C$2:$C$5001,$A16,Transactions!$E$2:$E$5001,3))</f>
      </c>
      <c r="G16" s="16">
        <f>IF($A16="","",SUM($D16:$F16))</f>
      </c>
      <c r="H16" s="16">
        <f>IF($A16="","",VLOOKUP($A16,Items_Master!$A$2:$L$2001,6,FALSE))</f>
      </c>
      <c r="I16" s="38">
        <f>IF($A16="","",IF($G16&lt;=$H16,"LOW","OK"))</f>
      </c>
      <c r="J16" s="39">
        <f>IF($A16="","",VLOOKUP($A16,Items_Master!$A$2:$L$2001,4,FALSE))</f>
      </c>
      <c r="K16" s="39">
        <f>IF($A16="","",VLOOKUP($A16,Items_Master!$A$2:$L$2001,5,FALSE))</f>
      </c>
      <c r="L16" s="39">
        <f>IF($A16="","",$G16*$J16)</f>
      </c>
      <c r="M16" s="39">
        <f>IF($A16="","",$G16*$K16)</f>
      </c>
      <c r="N16" s="16">
        <f>IF($A16="","",COUNTIF(Transactions!$C$2:$C$5001,$A16))</f>
      </c>
    </row>
    <row x14ac:dyDescent="0.25" r="17" customHeight="1" ht="17.25">
      <c r="A17" s="12">
        <f>IF(ROW()-1&lt;=COUNTA(Items_Master!$A$2:$A$2001),INDEX(Items_Master!$A$2:$A$2001,ROW()-1),"")</f>
      </c>
      <c r="B17" s="12">
        <f>IF($A17="","",VLOOKUP($A17,Items_Master!$A$2:$L$2001,2,FALSE))</f>
      </c>
      <c r="C17" s="12">
        <f>IF($A17="","",VLOOKUP($A17,Items_Master!$A$2:$L$2001,3,FALSE))</f>
      </c>
      <c r="D17" s="13">
        <f>IF($A17="","",SUMIFS(Transactions!$G$2:$G$5001,Transactions!$C$2:$C$5001,$A17,Transactions!$E$2:$E$5001,1)-SUMIFS(Transactions!$H$2:$H$5001,Transactions!$C$2:$C$5001,$A17,Transactions!$E$2:$E$5001,1))</f>
      </c>
      <c r="E17" s="13">
        <f>IF($A17="","",SUMIFS(Transactions!$G$2:$G$5001,Transactions!$C$2:$C$5001,$A17,Transactions!$E$2:$E$5001,2)-SUMIFS(Transactions!$H$2:$H$5001,Transactions!$C$2:$C$5001,$A17,Transactions!$E$2:$E$5001,2))</f>
      </c>
      <c r="F17" s="13">
        <f>IF($A17="","",SUMIFS(Transactions!$G$2:$G$5001,Transactions!$C$2:$C$5001,$A17,Transactions!$E$2:$E$5001,3)-SUMIFS(Transactions!$H$2:$H$5001,Transactions!$C$2:$C$5001,$A17,Transactions!$E$2:$E$5001,3))</f>
      </c>
      <c r="G17" s="13">
        <f>IF($A17="","",SUM($D17:$F17))</f>
      </c>
      <c r="H17" s="13">
        <f>IF($A17="","",VLOOKUP($A17,Items_Master!$A$2:$L$2001,6,FALSE))</f>
      </c>
      <c r="I17" s="40">
        <f>IF($A17="","",IF($G17&lt;=$H17,"LOW","OK"))</f>
      </c>
      <c r="J17" s="41">
        <f>IF($A17="","",VLOOKUP($A17,Items_Master!$A$2:$L$2001,4,FALSE))</f>
      </c>
      <c r="K17" s="41">
        <f>IF($A17="","",VLOOKUP($A17,Items_Master!$A$2:$L$2001,5,FALSE))</f>
      </c>
      <c r="L17" s="41">
        <f>IF($A17="","",$G17*$J17)</f>
      </c>
      <c r="M17" s="41">
        <f>IF($A17="","",$G17*$K17)</f>
      </c>
      <c r="N17" s="13">
        <f>IF($A17="","",COUNTIF(Transactions!$C$2:$C$5001,$A17))</f>
      </c>
    </row>
    <row x14ac:dyDescent="0.25" r="18" customHeight="1" ht="17.25">
      <c r="A18" s="15">
        <f>IF(ROW()-1&lt;=COUNTA(Items_Master!$A$2:$A$2001),INDEX(Items_Master!$A$2:$A$2001,ROW()-1),"")</f>
      </c>
      <c r="B18" s="15">
        <f>IF($A18="","",VLOOKUP($A18,Items_Master!$A$2:$L$2001,2,FALSE))</f>
      </c>
      <c r="C18" s="15">
        <f>IF($A18="","",VLOOKUP($A18,Items_Master!$A$2:$L$2001,3,FALSE))</f>
      </c>
      <c r="D18" s="16">
        <f>IF($A18="","",SUMIFS(Transactions!$G$2:$G$5001,Transactions!$C$2:$C$5001,$A18,Transactions!$E$2:$E$5001,1)-SUMIFS(Transactions!$H$2:$H$5001,Transactions!$C$2:$C$5001,$A18,Transactions!$E$2:$E$5001,1))</f>
      </c>
      <c r="E18" s="16">
        <f>IF($A18="","",SUMIFS(Transactions!$G$2:$G$5001,Transactions!$C$2:$C$5001,$A18,Transactions!$E$2:$E$5001,2)-SUMIFS(Transactions!$H$2:$H$5001,Transactions!$C$2:$C$5001,$A18,Transactions!$E$2:$E$5001,2))</f>
      </c>
      <c r="F18" s="16">
        <f>IF($A18="","",SUMIFS(Transactions!$G$2:$G$5001,Transactions!$C$2:$C$5001,$A18,Transactions!$E$2:$E$5001,3)-SUMIFS(Transactions!$H$2:$H$5001,Transactions!$C$2:$C$5001,$A18,Transactions!$E$2:$E$5001,3))</f>
      </c>
      <c r="G18" s="16">
        <f>IF($A18="","",SUM($D18:$F18))</f>
      </c>
      <c r="H18" s="16">
        <f>IF($A18="","",VLOOKUP($A18,Items_Master!$A$2:$L$2001,6,FALSE))</f>
      </c>
      <c r="I18" s="38">
        <f>IF($A18="","",IF($G18&lt;=$H18,"LOW","OK"))</f>
      </c>
      <c r="J18" s="39">
        <f>IF($A18="","",VLOOKUP($A18,Items_Master!$A$2:$L$2001,4,FALSE))</f>
      </c>
      <c r="K18" s="39">
        <f>IF($A18="","",VLOOKUP($A18,Items_Master!$A$2:$L$2001,5,FALSE))</f>
      </c>
      <c r="L18" s="39">
        <f>IF($A18="","",$G18*$J18)</f>
      </c>
      <c r="M18" s="39">
        <f>IF($A18="","",$G18*$K18)</f>
      </c>
      <c r="N18" s="16">
        <f>IF($A18="","",COUNTIF(Transactions!$C$2:$C$5001,$A18))</f>
      </c>
    </row>
    <row x14ac:dyDescent="0.25" r="19" customHeight="1" ht="17.25">
      <c r="A19" s="12">
        <f>IF(ROW()-1&lt;=COUNTA(Items_Master!$A$2:$A$2001),INDEX(Items_Master!$A$2:$A$2001,ROW()-1),"")</f>
      </c>
      <c r="B19" s="12">
        <f>IF($A19="","",VLOOKUP($A19,Items_Master!$A$2:$L$2001,2,FALSE))</f>
      </c>
      <c r="C19" s="12">
        <f>IF($A19="","",VLOOKUP($A19,Items_Master!$A$2:$L$2001,3,FALSE))</f>
      </c>
      <c r="D19" s="13">
        <f>IF($A19="","",SUMIFS(Transactions!$G$2:$G$5001,Transactions!$C$2:$C$5001,$A19,Transactions!$E$2:$E$5001,1)-SUMIFS(Transactions!$H$2:$H$5001,Transactions!$C$2:$C$5001,$A19,Transactions!$E$2:$E$5001,1))</f>
      </c>
      <c r="E19" s="13">
        <f>IF($A19="","",SUMIFS(Transactions!$G$2:$G$5001,Transactions!$C$2:$C$5001,$A19,Transactions!$E$2:$E$5001,2)-SUMIFS(Transactions!$H$2:$H$5001,Transactions!$C$2:$C$5001,$A19,Transactions!$E$2:$E$5001,2))</f>
      </c>
      <c r="F19" s="13">
        <f>IF($A19="","",SUMIFS(Transactions!$G$2:$G$5001,Transactions!$C$2:$C$5001,$A19,Transactions!$E$2:$E$5001,3)-SUMIFS(Transactions!$H$2:$H$5001,Transactions!$C$2:$C$5001,$A19,Transactions!$E$2:$E$5001,3))</f>
      </c>
      <c r="G19" s="13">
        <f>IF($A19="","",SUM($D19:$F19))</f>
      </c>
      <c r="H19" s="13">
        <f>IF($A19="","",VLOOKUP($A19,Items_Master!$A$2:$L$2001,6,FALSE))</f>
      </c>
      <c r="I19" s="40">
        <f>IF($A19="","",IF($G19&lt;=$H19,"LOW","OK"))</f>
      </c>
      <c r="J19" s="41">
        <f>IF($A19="","",VLOOKUP($A19,Items_Master!$A$2:$L$2001,4,FALSE))</f>
      </c>
      <c r="K19" s="41">
        <f>IF($A19="","",VLOOKUP($A19,Items_Master!$A$2:$L$2001,5,FALSE))</f>
      </c>
      <c r="L19" s="41">
        <f>IF($A19="","",$G19*$J19)</f>
      </c>
      <c r="M19" s="41">
        <f>IF($A19="","",$G19*$K19)</f>
      </c>
      <c r="N19" s="13">
        <f>IF($A19="","",COUNTIF(Transactions!$C$2:$C$5001,$A19))</f>
      </c>
    </row>
    <row x14ac:dyDescent="0.25" r="20" customHeight="1" ht="17.25">
      <c r="A20" s="15">
        <f>IF(ROW()-1&lt;=COUNTA(Items_Master!$A$2:$A$2001),INDEX(Items_Master!$A$2:$A$2001,ROW()-1),"")</f>
      </c>
      <c r="B20" s="15">
        <f>IF($A20="","",VLOOKUP($A20,Items_Master!$A$2:$L$2001,2,FALSE))</f>
      </c>
      <c r="C20" s="15">
        <f>IF($A20="","",VLOOKUP($A20,Items_Master!$A$2:$L$2001,3,FALSE))</f>
      </c>
      <c r="D20" s="16">
        <f>IF($A20="","",SUMIFS(Transactions!$G$2:$G$5001,Transactions!$C$2:$C$5001,$A20,Transactions!$E$2:$E$5001,1)-SUMIFS(Transactions!$H$2:$H$5001,Transactions!$C$2:$C$5001,$A20,Transactions!$E$2:$E$5001,1))</f>
      </c>
      <c r="E20" s="16">
        <f>IF($A20="","",SUMIFS(Transactions!$G$2:$G$5001,Transactions!$C$2:$C$5001,$A20,Transactions!$E$2:$E$5001,2)-SUMIFS(Transactions!$H$2:$H$5001,Transactions!$C$2:$C$5001,$A20,Transactions!$E$2:$E$5001,2))</f>
      </c>
      <c r="F20" s="16">
        <f>IF($A20="","",SUMIFS(Transactions!$G$2:$G$5001,Transactions!$C$2:$C$5001,$A20,Transactions!$E$2:$E$5001,3)-SUMIFS(Transactions!$H$2:$H$5001,Transactions!$C$2:$C$5001,$A20,Transactions!$E$2:$E$5001,3))</f>
      </c>
      <c r="G20" s="16">
        <f>IF($A20="","",SUM($D20:$F20))</f>
      </c>
      <c r="H20" s="16">
        <f>IF($A20="","",VLOOKUP($A20,Items_Master!$A$2:$L$2001,6,FALSE))</f>
      </c>
      <c r="I20" s="38">
        <f>IF($A20="","",IF($G20&lt;=$H20,"LOW","OK"))</f>
      </c>
      <c r="J20" s="39">
        <f>IF($A20="","",VLOOKUP($A20,Items_Master!$A$2:$L$2001,4,FALSE))</f>
      </c>
      <c r="K20" s="39">
        <f>IF($A20="","",VLOOKUP($A20,Items_Master!$A$2:$L$2001,5,FALSE))</f>
      </c>
      <c r="L20" s="39">
        <f>IF($A20="","",$G20*$J20)</f>
      </c>
      <c r="M20" s="39">
        <f>IF($A20="","",$G20*$K20)</f>
      </c>
      <c r="N20" s="16">
        <f>IF($A20="","",COUNTIF(Transactions!$C$2:$C$5001,$A20))</f>
      </c>
    </row>
    <row x14ac:dyDescent="0.25" r="21" customHeight="1" ht="17.25">
      <c r="A21" s="12">
        <f>IF(ROW()-1&lt;=COUNTA(Items_Master!$A$2:$A$2001),INDEX(Items_Master!$A$2:$A$2001,ROW()-1),"")</f>
      </c>
      <c r="B21" s="12">
        <f>IF($A21="","",VLOOKUP($A21,Items_Master!$A$2:$L$2001,2,FALSE))</f>
      </c>
      <c r="C21" s="12">
        <f>IF($A21="","",VLOOKUP($A21,Items_Master!$A$2:$L$2001,3,FALSE))</f>
      </c>
      <c r="D21" s="13">
        <f>IF($A21="","",SUMIFS(Transactions!$G$2:$G$5001,Transactions!$C$2:$C$5001,$A21,Transactions!$E$2:$E$5001,1)-SUMIFS(Transactions!$H$2:$H$5001,Transactions!$C$2:$C$5001,$A21,Transactions!$E$2:$E$5001,1))</f>
      </c>
      <c r="E21" s="13">
        <f>IF($A21="","",SUMIFS(Transactions!$G$2:$G$5001,Transactions!$C$2:$C$5001,$A21,Transactions!$E$2:$E$5001,2)-SUMIFS(Transactions!$H$2:$H$5001,Transactions!$C$2:$C$5001,$A21,Transactions!$E$2:$E$5001,2))</f>
      </c>
      <c r="F21" s="13">
        <f>IF($A21="","",SUMIFS(Transactions!$G$2:$G$5001,Transactions!$C$2:$C$5001,$A21,Transactions!$E$2:$E$5001,3)-SUMIFS(Transactions!$H$2:$H$5001,Transactions!$C$2:$C$5001,$A21,Transactions!$E$2:$E$5001,3))</f>
      </c>
      <c r="G21" s="13">
        <f>IF($A21="","",SUM($D21:$F21))</f>
      </c>
      <c r="H21" s="13">
        <f>IF($A21="","",VLOOKUP($A21,Items_Master!$A$2:$L$2001,6,FALSE))</f>
      </c>
      <c r="I21" s="40">
        <f>IF($A21="","",IF($G21&lt;=$H21,"LOW","OK"))</f>
      </c>
      <c r="J21" s="41">
        <f>IF($A21="","",VLOOKUP($A21,Items_Master!$A$2:$L$2001,4,FALSE))</f>
      </c>
      <c r="K21" s="41">
        <f>IF($A21="","",VLOOKUP($A21,Items_Master!$A$2:$L$2001,5,FALSE))</f>
      </c>
      <c r="L21" s="41">
        <f>IF($A21="","",$G21*$J21)</f>
      </c>
      <c r="M21" s="41">
        <f>IF($A21="","",$G21*$K21)</f>
      </c>
      <c r="N21" s="13">
        <f>IF($A21="","",COUNTIF(Transactions!$C$2:$C$5001,$A21))</f>
      </c>
    </row>
    <row x14ac:dyDescent="0.25" r="22" customHeight="1" ht="17.25">
      <c r="A22" s="15">
        <f>IF(ROW()-1&lt;=COUNTA(Items_Master!$A$2:$A$2001),INDEX(Items_Master!$A$2:$A$2001,ROW()-1),"")</f>
      </c>
      <c r="B22" s="15">
        <f>IF($A22="","",VLOOKUP($A22,Items_Master!$A$2:$L$2001,2,FALSE))</f>
      </c>
      <c r="C22" s="15">
        <f>IF($A22="","",VLOOKUP($A22,Items_Master!$A$2:$L$2001,3,FALSE))</f>
      </c>
      <c r="D22" s="16">
        <f>IF($A22="","",SUMIFS(Transactions!$G$2:$G$5001,Transactions!$C$2:$C$5001,$A22,Transactions!$E$2:$E$5001,1)-SUMIFS(Transactions!$H$2:$H$5001,Transactions!$C$2:$C$5001,$A22,Transactions!$E$2:$E$5001,1))</f>
      </c>
      <c r="E22" s="16">
        <f>IF($A22="","",SUMIFS(Transactions!$G$2:$G$5001,Transactions!$C$2:$C$5001,$A22,Transactions!$E$2:$E$5001,2)-SUMIFS(Transactions!$H$2:$H$5001,Transactions!$C$2:$C$5001,$A22,Transactions!$E$2:$E$5001,2))</f>
      </c>
      <c r="F22" s="16">
        <f>IF($A22="","",SUMIFS(Transactions!$G$2:$G$5001,Transactions!$C$2:$C$5001,$A22,Transactions!$E$2:$E$5001,3)-SUMIFS(Transactions!$H$2:$H$5001,Transactions!$C$2:$C$5001,$A22,Transactions!$E$2:$E$5001,3))</f>
      </c>
      <c r="G22" s="16">
        <f>IF($A22="","",SUM($D22:$F22))</f>
      </c>
      <c r="H22" s="16">
        <f>IF($A22="","",VLOOKUP($A22,Items_Master!$A$2:$L$2001,6,FALSE))</f>
      </c>
      <c r="I22" s="38">
        <f>IF($A22="","",IF($G22&lt;=$H22,"LOW","OK"))</f>
      </c>
      <c r="J22" s="39">
        <f>IF($A22="","",VLOOKUP($A22,Items_Master!$A$2:$L$2001,4,FALSE))</f>
      </c>
      <c r="K22" s="39">
        <f>IF($A22="","",VLOOKUP($A22,Items_Master!$A$2:$L$2001,5,FALSE))</f>
      </c>
      <c r="L22" s="39">
        <f>IF($A22="","",$G22*$J22)</f>
      </c>
      <c r="M22" s="39">
        <f>IF($A22="","",$G22*$K22)</f>
      </c>
      <c r="N22" s="16">
        <f>IF($A22="","",COUNTIF(Transactions!$C$2:$C$5001,$A22))</f>
      </c>
    </row>
    <row x14ac:dyDescent="0.25" r="23" customHeight="1" ht="17.25">
      <c r="A23" s="12">
        <f>IF(ROW()-1&lt;=COUNTA(Items_Master!$A$2:$A$2001),INDEX(Items_Master!$A$2:$A$2001,ROW()-1),"")</f>
      </c>
      <c r="B23" s="12">
        <f>IF($A23="","",VLOOKUP($A23,Items_Master!$A$2:$L$2001,2,FALSE))</f>
      </c>
      <c r="C23" s="12">
        <f>IF($A23="","",VLOOKUP($A23,Items_Master!$A$2:$L$2001,3,FALSE))</f>
      </c>
      <c r="D23" s="13">
        <f>IF($A23="","",SUMIFS(Transactions!$G$2:$G$5001,Transactions!$C$2:$C$5001,$A23,Transactions!$E$2:$E$5001,1)-SUMIFS(Transactions!$H$2:$H$5001,Transactions!$C$2:$C$5001,$A23,Transactions!$E$2:$E$5001,1))</f>
      </c>
      <c r="E23" s="13">
        <f>IF($A23="","",SUMIFS(Transactions!$G$2:$G$5001,Transactions!$C$2:$C$5001,$A23,Transactions!$E$2:$E$5001,2)-SUMIFS(Transactions!$H$2:$H$5001,Transactions!$C$2:$C$5001,$A23,Transactions!$E$2:$E$5001,2))</f>
      </c>
      <c r="F23" s="13">
        <f>IF($A23="","",SUMIFS(Transactions!$G$2:$G$5001,Transactions!$C$2:$C$5001,$A23,Transactions!$E$2:$E$5001,3)-SUMIFS(Transactions!$H$2:$H$5001,Transactions!$C$2:$C$5001,$A23,Transactions!$E$2:$E$5001,3))</f>
      </c>
      <c r="G23" s="13">
        <f>IF($A23="","",SUM($D23:$F23))</f>
      </c>
      <c r="H23" s="13">
        <f>IF($A23="","",VLOOKUP($A23,Items_Master!$A$2:$L$2001,6,FALSE))</f>
      </c>
      <c r="I23" s="40">
        <f>IF($A23="","",IF($G23&lt;=$H23,"LOW","OK"))</f>
      </c>
      <c r="J23" s="41">
        <f>IF($A23="","",VLOOKUP($A23,Items_Master!$A$2:$L$2001,4,FALSE))</f>
      </c>
      <c r="K23" s="41">
        <f>IF($A23="","",VLOOKUP($A23,Items_Master!$A$2:$L$2001,5,FALSE))</f>
      </c>
      <c r="L23" s="41">
        <f>IF($A23="","",$G23*$J23)</f>
      </c>
      <c r="M23" s="41">
        <f>IF($A23="","",$G23*$K23)</f>
      </c>
      <c r="N23" s="13">
        <f>IF($A23="","",COUNTIF(Transactions!$C$2:$C$5001,$A23))</f>
      </c>
    </row>
    <row x14ac:dyDescent="0.25" r="24" customHeight="1" ht="17.25">
      <c r="A24" s="15">
        <f>IF(ROW()-1&lt;=COUNTA(Items_Master!$A$2:$A$2001),INDEX(Items_Master!$A$2:$A$2001,ROW()-1),"")</f>
      </c>
      <c r="B24" s="15">
        <f>IF($A24="","",VLOOKUP($A24,Items_Master!$A$2:$L$2001,2,FALSE))</f>
      </c>
      <c r="C24" s="15">
        <f>IF($A24="","",VLOOKUP($A24,Items_Master!$A$2:$L$2001,3,FALSE))</f>
      </c>
      <c r="D24" s="16">
        <f>IF($A24="","",SUMIFS(Transactions!$G$2:$G$5001,Transactions!$C$2:$C$5001,$A24,Transactions!$E$2:$E$5001,1)-SUMIFS(Transactions!$H$2:$H$5001,Transactions!$C$2:$C$5001,$A24,Transactions!$E$2:$E$5001,1))</f>
      </c>
      <c r="E24" s="16">
        <f>IF($A24="","",SUMIFS(Transactions!$G$2:$G$5001,Transactions!$C$2:$C$5001,$A24,Transactions!$E$2:$E$5001,2)-SUMIFS(Transactions!$H$2:$H$5001,Transactions!$C$2:$C$5001,$A24,Transactions!$E$2:$E$5001,2))</f>
      </c>
      <c r="F24" s="16">
        <f>IF($A24="","",SUMIFS(Transactions!$G$2:$G$5001,Transactions!$C$2:$C$5001,$A24,Transactions!$E$2:$E$5001,3)-SUMIFS(Transactions!$H$2:$H$5001,Transactions!$C$2:$C$5001,$A24,Transactions!$E$2:$E$5001,3))</f>
      </c>
      <c r="G24" s="16">
        <f>IF($A24="","",SUM($D24:$F24))</f>
      </c>
      <c r="H24" s="16">
        <f>IF($A24="","",VLOOKUP($A24,Items_Master!$A$2:$L$2001,6,FALSE))</f>
      </c>
      <c r="I24" s="38">
        <f>IF($A24="","",IF($G24&lt;=$H24,"LOW","OK"))</f>
      </c>
      <c r="J24" s="39">
        <f>IF($A24="","",VLOOKUP($A24,Items_Master!$A$2:$L$2001,4,FALSE))</f>
      </c>
      <c r="K24" s="39">
        <f>IF($A24="","",VLOOKUP($A24,Items_Master!$A$2:$L$2001,5,FALSE))</f>
      </c>
      <c r="L24" s="39">
        <f>IF($A24="","",$G24*$J24)</f>
      </c>
      <c r="M24" s="39">
        <f>IF($A24="","",$G24*$K24)</f>
      </c>
      <c r="N24" s="16">
        <f>IF($A24="","",COUNTIF(Transactions!$C$2:$C$5001,$A24))</f>
      </c>
    </row>
    <row x14ac:dyDescent="0.25" r="25" customHeight="1" ht="17.25">
      <c r="A25" s="12">
        <f>IF(ROW()-1&lt;=COUNTA(Items_Master!$A$2:$A$2001),INDEX(Items_Master!$A$2:$A$2001,ROW()-1),"")</f>
      </c>
      <c r="B25" s="12">
        <f>IF($A25="","",VLOOKUP($A25,Items_Master!$A$2:$L$2001,2,FALSE))</f>
      </c>
      <c r="C25" s="12">
        <f>IF($A25="","",VLOOKUP($A25,Items_Master!$A$2:$L$2001,3,FALSE))</f>
      </c>
      <c r="D25" s="13">
        <f>IF($A25="","",SUMIFS(Transactions!$G$2:$G$5001,Transactions!$C$2:$C$5001,$A25,Transactions!$E$2:$E$5001,1)-SUMIFS(Transactions!$H$2:$H$5001,Transactions!$C$2:$C$5001,$A25,Transactions!$E$2:$E$5001,1))</f>
      </c>
      <c r="E25" s="13">
        <f>IF($A25="","",SUMIFS(Transactions!$G$2:$G$5001,Transactions!$C$2:$C$5001,$A25,Transactions!$E$2:$E$5001,2)-SUMIFS(Transactions!$H$2:$H$5001,Transactions!$C$2:$C$5001,$A25,Transactions!$E$2:$E$5001,2))</f>
      </c>
      <c r="F25" s="13">
        <f>IF($A25="","",SUMIFS(Transactions!$G$2:$G$5001,Transactions!$C$2:$C$5001,$A25,Transactions!$E$2:$E$5001,3)-SUMIFS(Transactions!$H$2:$H$5001,Transactions!$C$2:$C$5001,$A25,Transactions!$E$2:$E$5001,3))</f>
      </c>
      <c r="G25" s="13">
        <f>IF($A25="","",SUM($D25:$F25))</f>
      </c>
      <c r="H25" s="13">
        <f>IF($A25="","",VLOOKUP($A25,Items_Master!$A$2:$L$2001,6,FALSE))</f>
      </c>
      <c r="I25" s="40">
        <f>IF($A25="","",IF($G25&lt;=$H25,"LOW","OK"))</f>
      </c>
      <c r="J25" s="41">
        <f>IF($A25="","",VLOOKUP($A25,Items_Master!$A$2:$L$2001,4,FALSE))</f>
      </c>
      <c r="K25" s="41">
        <f>IF($A25="","",VLOOKUP($A25,Items_Master!$A$2:$L$2001,5,FALSE))</f>
      </c>
      <c r="L25" s="41">
        <f>IF($A25="","",$G25*$J25)</f>
      </c>
      <c r="M25" s="41">
        <f>IF($A25="","",$G25*$K25)</f>
      </c>
      <c r="N25" s="13">
        <f>IF($A25="","",COUNTIF(Transactions!$C$2:$C$5001,$A25))</f>
      </c>
    </row>
    <row x14ac:dyDescent="0.25" r="26" customHeight="1" ht="17.25">
      <c r="A26" s="15">
        <f>IF(ROW()-1&lt;=COUNTA(Items_Master!$A$2:$A$2001),INDEX(Items_Master!$A$2:$A$2001,ROW()-1),"")</f>
      </c>
      <c r="B26" s="15">
        <f>IF($A26="","",VLOOKUP($A26,Items_Master!$A$2:$L$2001,2,FALSE))</f>
      </c>
      <c r="C26" s="15">
        <f>IF($A26="","",VLOOKUP($A26,Items_Master!$A$2:$L$2001,3,FALSE))</f>
      </c>
      <c r="D26" s="16">
        <f>IF($A26="","",SUMIFS(Transactions!$G$2:$G$5001,Transactions!$C$2:$C$5001,$A26,Transactions!$E$2:$E$5001,1)-SUMIFS(Transactions!$H$2:$H$5001,Transactions!$C$2:$C$5001,$A26,Transactions!$E$2:$E$5001,1))</f>
      </c>
      <c r="E26" s="16">
        <f>IF($A26="","",SUMIFS(Transactions!$G$2:$G$5001,Transactions!$C$2:$C$5001,$A26,Transactions!$E$2:$E$5001,2)-SUMIFS(Transactions!$H$2:$H$5001,Transactions!$C$2:$C$5001,$A26,Transactions!$E$2:$E$5001,2))</f>
      </c>
      <c r="F26" s="16">
        <f>IF($A26="","",SUMIFS(Transactions!$G$2:$G$5001,Transactions!$C$2:$C$5001,$A26,Transactions!$E$2:$E$5001,3)-SUMIFS(Transactions!$H$2:$H$5001,Transactions!$C$2:$C$5001,$A26,Transactions!$E$2:$E$5001,3))</f>
      </c>
      <c r="G26" s="16">
        <f>IF($A26="","",SUM($D26:$F26))</f>
      </c>
      <c r="H26" s="16">
        <f>IF($A26="","",VLOOKUP($A26,Items_Master!$A$2:$L$2001,6,FALSE))</f>
      </c>
      <c r="I26" s="38">
        <f>IF($A26="","",IF($G26&lt;=$H26,"LOW","OK"))</f>
      </c>
      <c r="J26" s="39">
        <f>IF($A26="","",VLOOKUP($A26,Items_Master!$A$2:$L$2001,4,FALSE))</f>
      </c>
      <c r="K26" s="39">
        <f>IF($A26="","",VLOOKUP($A26,Items_Master!$A$2:$L$2001,5,FALSE))</f>
      </c>
      <c r="L26" s="39">
        <f>IF($A26="","",$G26*$J26)</f>
      </c>
      <c r="M26" s="39">
        <f>IF($A26="","",$G26*$K26)</f>
      </c>
      <c r="N26" s="16">
        <f>IF($A26="","",COUNTIF(Transactions!$C$2:$C$5001,$A26))</f>
      </c>
    </row>
    <row x14ac:dyDescent="0.25" r="27" customHeight="1" ht="17.25">
      <c r="A27" s="12">
        <f>IF(ROW()-1&lt;=COUNTA(Items_Master!$A$2:$A$2001),INDEX(Items_Master!$A$2:$A$2001,ROW()-1),"")</f>
      </c>
      <c r="B27" s="12">
        <f>IF($A27="","",VLOOKUP($A27,Items_Master!$A$2:$L$2001,2,FALSE))</f>
      </c>
      <c r="C27" s="12">
        <f>IF($A27="","",VLOOKUP($A27,Items_Master!$A$2:$L$2001,3,FALSE))</f>
      </c>
      <c r="D27" s="13">
        <f>IF($A27="","",SUMIFS(Transactions!$G$2:$G$5001,Transactions!$C$2:$C$5001,$A27,Transactions!$E$2:$E$5001,1)-SUMIFS(Transactions!$H$2:$H$5001,Transactions!$C$2:$C$5001,$A27,Transactions!$E$2:$E$5001,1))</f>
      </c>
      <c r="E27" s="13">
        <f>IF($A27="","",SUMIFS(Transactions!$G$2:$G$5001,Transactions!$C$2:$C$5001,$A27,Transactions!$E$2:$E$5001,2)-SUMIFS(Transactions!$H$2:$H$5001,Transactions!$C$2:$C$5001,$A27,Transactions!$E$2:$E$5001,2))</f>
      </c>
      <c r="F27" s="13">
        <f>IF($A27="","",SUMIFS(Transactions!$G$2:$G$5001,Transactions!$C$2:$C$5001,$A27,Transactions!$E$2:$E$5001,3)-SUMIFS(Transactions!$H$2:$H$5001,Transactions!$C$2:$C$5001,$A27,Transactions!$E$2:$E$5001,3))</f>
      </c>
      <c r="G27" s="13">
        <f>IF($A27="","",SUM($D27:$F27))</f>
      </c>
      <c r="H27" s="13">
        <f>IF($A27="","",VLOOKUP($A27,Items_Master!$A$2:$L$2001,6,FALSE))</f>
      </c>
      <c r="I27" s="40">
        <f>IF($A27="","",IF($G27&lt;=$H27,"LOW","OK"))</f>
      </c>
      <c r="J27" s="41">
        <f>IF($A27="","",VLOOKUP($A27,Items_Master!$A$2:$L$2001,4,FALSE))</f>
      </c>
      <c r="K27" s="41">
        <f>IF($A27="","",VLOOKUP($A27,Items_Master!$A$2:$L$2001,5,FALSE))</f>
      </c>
      <c r="L27" s="41">
        <f>IF($A27="","",$G27*$J27)</f>
      </c>
      <c r="M27" s="41">
        <f>IF($A27="","",$G27*$K27)</f>
      </c>
      <c r="N27" s="13">
        <f>IF($A27="","",COUNTIF(Transactions!$C$2:$C$5001,$A27))</f>
      </c>
    </row>
    <row x14ac:dyDescent="0.25" r="28" customHeight="1" ht="17.25">
      <c r="A28" s="15">
        <f>IF(ROW()-1&lt;=COUNTA(Items_Master!$A$2:$A$2001),INDEX(Items_Master!$A$2:$A$2001,ROW()-1),"")</f>
      </c>
      <c r="B28" s="15">
        <f>IF($A28="","",VLOOKUP($A28,Items_Master!$A$2:$L$2001,2,FALSE))</f>
      </c>
      <c r="C28" s="15">
        <f>IF($A28="","",VLOOKUP($A28,Items_Master!$A$2:$L$2001,3,FALSE))</f>
      </c>
      <c r="D28" s="16">
        <f>IF($A28="","",SUMIFS(Transactions!$G$2:$G$5001,Transactions!$C$2:$C$5001,$A28,Transactions!$E$2:$E$5001,1)-SUMIFS(Transactions!$H$2:$H$5001,Transactions!$C$2:$C$5001,$A28,Transactions!$E$2:$E$5001,1))</f>
      </c>
      <c r="E28" s="16">
        <f>IF($A28="","",SUMIFS(Transactions!$G$2:$G$5001,Transactions!$C$2:$C$5001,$A28,Transactions!$E$2:$E$5001,2)-SUMIFS(Transactions!$H$2:$H$5001,Transactions!$C$2:$C$5001,$A28,Transactions!$E$2:$E$5001,2))</f>
      </c>
      <c r="F28" s="16">
        <f>IF($A28="","",SUMIFS(Transactions!$G$2:$G$5001,Transactions!$C$2:$C$5001,$A28,Transactions!$E$2:$E$5001,3)-SUMIFS(Transactions!$H$2:$H$5001,Transactions!$C$2:$C$5001,$A28,Transactions!$E$2:$E$5001,3))</f>
      </c>
      <c r="G28" s="16">
        <f>IF($A28="","",SUM($D28:$F28))</f>
      </c>
      <c r="H28" s="16">
        <f>IF($A28="","",VLOOKUP($A28,Items_Master!$A$2:$L$2001,6,FALSE))</f>
      </c>
      <c r="I28" s="38">
        <f>IF($A28="","",IF($G28&lt;=$H28,"LOW","OK"))</f>
      </c>
      <c r="J28" s="39">
        <f>IF($A28="","",VLOOKUP($A28,Items_Master!$A$2:$L$2001,4,FALSE))</f>
      </c>
      <c r="K28" s="39">
        <f>IF($A28="","",VLOOKUP($A28,Items_Master!$A$2:$L$2001,5,FALSE))</f>
      </c>
      <c r="L28" s="39">
        <f>IF($A28="","",$G28*$J28)</f>
      </c>
      <c r="M28" s="39">
        <f>IF($A28="","",$G28*$K28)</f>
      </c>
      <c r="N28" s="16">
        <f>IF($A28="","",COUNTIF(Transactions!$C$2:$C$5001,$A28))</f>
      </c>
    </row>
    <row x14ac:dyDescent="0.25" r="29" customHeight="1" ht="17.25">
      <c r="A29" s="12">
        <f>IF(ROW()-1&lt;=COUNTA(Items_Master!$A$2:$A$2001),INDEX(Items_Master!$A$2:$A$2001,ROW()-1),"")</f>
      </c>
      <c r="B29" s="12">
        <f>IF($A29="","",VLOOKUP($A29,Items_Master!$A$2:$L$2001,2,FALSE))</f>
      </c>
      <c r="C29" s="12">
        <f>IF($A29="","",VLOOKUP($A29,Items_Master!$A$2:$L$2001,3,FALSE))</f>
      </c>
      <c r="D29" s="13">
        <f>IF($A29="","",SUMIFS(Transactions!$G$2:$G$5001,Transactions!$C$2:$C$5001,$A29,Transactions!$E$2:$E$5001,1)-SUMIFS(Transactions!$H$2:$H$5001,Transactions!$C$2:$C$5001,$A29,Transactions!$E$2:$E$5001,1))</f>
      </c>
      <c r="E29" s="13">
        <f>IF($A29="","",SUMIFS(Transactions!$G$2:$G$5001,Transactions!$C$2:$C$5001,$A29,Transactions!$E$2:$E$5001,2)-SUMIFS(Transactions!$H$2:$H$5001,Transactions!$C$2:$C$5001,$A29,Transactions!$E$2:$E$5001,2))</f>
      </c>
      <c r="F29" s="13">
        <f>IF($A29="","",SUMIFS(Transactions!$G$2:$G$5001,Transactions!$C$2:$C$5001,$A29,Transactions!$E$2:$E$5001,3)-SUMIFS(Transactions!$H$2:$H$5001,Transactions!$C$2:$C$5001,$A29,Transactions!$E$2:$E$5001,3))</f>
      </c>
      <c r="G29" s="13">
        <f>IF($A29="","",SUM($D29:$F29))</f>
      </c>
      <c r="H29" s="13">
        <f>IF($A29="","",VLOOKUP($A29,Items_Master!$A$2:$L$2001,6,FALSE))</f>
      </c>
      <c r="I29" s="40">
        <f>IF($A29="","",IF($G29&lt;=$H29,"LOW","OK"))</f>
      </c>
      <c r="J29" s="41">
        <f>IF($A29="","",VLOOKUP($A29,Items_Master!$A$2:$L$2001,4,FALSE))</f>
      </c>
      <c r="K29" s="41">
        <f>IF($A29="","",VLOOKUP($A29,Items_Master!$A$2:$L$2001,5,FALSE))</f>
      </c>
      <c r="L29" s="41">
        <f>IF($A29="","",$G29*$J29)</f>
      </c>
      <c r="M29" s="41">
        <f>IF($A29="","",$G29*$K29)</f>
      </c>
      <c r="N29" s="13">
        <f>IF($A29="","",COUNTIF(Transactions!$C$2:$C$5001,$A29))</f>
      </c>
    </row>
    <row x14ac:dyDescent="0.25" r="30" customHeight="1" ht="17.25">
      <c r="A30" s="15">
        <f>IF(ROW()-1&lt;=COUNTA(Items_Master!$A$2:$A$2001),INDEX(Items_Master!$A$2:$A$2001,ROW()-1),"")</f>
      </c>
      <c r="B30" s="15">
        <f>IF($A30="","",VLOOKUP($A30,Items_Master!$A$2:$L$2001,2,FALSE))</f>
      </c>
      <c r="C30" s="15">
        <f>IF($A30="","",VLOOKUP($A30,Items_Master!$A$2:$L$2001,3,FALSE))</f>
      </c>
      <c r="D30" s="16">
        <f>IF($A30="","",SUMIFS(Transactions!$G$2:$G$5001,Transactions!$C$2:$C$5001,$A30,Transactions!$E$2:$E$5001,1)-SUMIFS(Transactions!$H$2:$H$5001,Transactions!$C$2:$C$5001,$A30,Transactions!$E$2:$E$5001,1))</f>
      </c>
      <c r="E30" s="16">
        <f>IF($A30="","",SUMIFS(Transactions!$G$2:$G$5001,Transactions!$C$2:$C$5001,$A30,Transactions!$E$2:$E$5001,2)-SUMIFS(Transactions!$H$2:$H$5001,Transactions!$C$2:$C$5001,$A30,Transactions!$E$2:$E$5001,2))</f>
      </c>
      <c r="F30" s="16">
        <f>IF($A30="","",SUMIFS(Transactions!$G$2:$G$5001,Transactions!$C$2:$C$5001,$A30,Transactions!$E$2:$E$5001,3)-SUMIFS(Transactions!$H$2:$H$5001,Transactions!$C$2:$C$5001,$A30,Transactions!$E$2:$E$5001,3))</f>
      </c>
      <c r="G30" s="16">
        <f>IF($A30="","",SUM($D30:$F30))</f>
      </c>
      <c r="H30" s="16">
        <f>IF($A30="","",VLOOKUP($A30,Items_Master!$A$2:$L$2001,6,FALSE))</f>
      </c>
      <c r="I30" s="38">
        <f>IF($A30="","",IF($G30&lt;=$H30,"LOW","OK"))</f>
      </c>
      <c r="J30" s="39">
        <f>IF($A30="","",VLOOKUP($A30,Items_Master!$A$2:$L$2001,4,FALSE))</f>
      </c>
      <c r="K30" s="39">
        <f>IF($A30="","",VLOOKUP($A30,Items_Master!$A$2:$L$2001,5,FALSE))</f>
      </c>
      <c r="L30" s="39">
        <f>IF($A30="","",$G30*$J30)</f>
      </c>
      <c r="M30" s="39">
        <f>IF($A30="","",$G30*$K30)</f>
      </c>
      <c r="N30" s="16">
        <f>IF($A30="","",COUNTIF(Transactions!$C$2:$C$5001,$A30))</f>
      </c>
    </row>
    <row x14ac:dyDescent="0.25" r="31" customHeight="1" ht="17.25">
      <c r="A31" s="12">
        <f>IF(ROW()-1&lt;=COUNTA(Items_Master!$A$2:$A$2001),INDEX(Items_Master!$A$2:$A$2001,ROW()-1),"")</f>
      </c>
      <c r="B31" s="12">
        <f>IF($A31="","",VLOOKUP($A31,Items_Master!$A$2:$L$2001,2,FALSE))</f>
      </c>
      <c r="C31" s="12">
        <f>IF($A31="","",VLOOKUP($A31,Items_Master!$A$2:$L$2001,3,FALSE))</f>
      </c>
      <c r="D31" s="13">
        <f>IF($A31="","",SUMIFS(Transactions!$G$2:$G$5001,Transactions!$C$2:$C$5001,$A31,Transactions!$E$2:$E$5001,1)-SUMIFS(Transactions!$H$2:$H$5001,Transactions!$C$2:$C$5001,$A31,Transactions!$E$2:$E$5001,1))</f>
      </c>
      <c r="E31" s="13">
        <f>IF($A31="","",SUMIFS(Transactions!$G$2:$G$5001,Transactions!$C$2:$C$5001,$A31,Transactions!$E$2:$E$5001,2)-SUMIFS(Transactions!$H$2:$H$5001,Transactions!$C$2:$C$5001,$A31,Transactions!$E$2:$E$5001,2))</f>
      </c>
      <c r="F31" s="13">
        <f>IF($A31="","",SUMIFS(Transactions!$G$2:$G$5001,Transactions!$C$2:$C$5001,$A31,Transactions!$E$2:$E$5001,3)-SUMIFS(Transactions!$H$2:$H$5001,Transactions!$C$2:$C$5001,$A31,Transactions!$E$2:$E$5001,3))</f>
      </c>
      <c r="G31" s="13">
        <f>IF($A31="","",SUM($D31:$F31))</f>
      </c>
      <c r="H31" s="13">
        <f>IF($A31="","",VLOOKUP($A31,Items_Master!$A$2:$L$2001,6,FALSE))</f>
      </c>
      <c r="I31" s="40">
        <f>IF($A31="","",IF($G31&lt;=$H31,"LOW","OK"))</f>
      </c>
      <c r="J31" s="41">
        <f>IF($A31="","",VLOOKUP($A31,Items_Master!$A$2:$L$2001,4,FALSE))</f>
      </c>
      <c r="K31" s="41">
        <f>IF($A31="","",VLOOKUP($A31,Items_Master!$A$2:$L$2001,5,FALSE))</f>
      </c>
      <c r="L31" s="41">
        <f>IF($A31="","",$G31*$J31)</f>
      </c>
      <c r="M31" s="41">
        <f>IF($A31="","",$G31*$K31)</f>
      </c>
      <c r="N31" s="13">
        <f>IF($A31="","",COUNTIF(Transactions!$C$2:$C$5001,$A31))</f>
      </c>
    </row>
    <row x14ac:dyDescent="0.25" r="32" customHeight="1" ht="17.25">
      <c r="A32" s="15">
        <f>IF(ROW()-1&lt;=COUNTA(Items_Master!$A$2:$A$2001),INDEX(Items_Master!$A$2:$A$2001,ROW()-1),"")</f>
      </c>
      <c r="B32" s="15">
        <f>IF($A32="","",VLOOKUP($A32,Items_Master!$A$2:$L$2001,2,FALSE))</f>
      </c>
      <c r="C32" s="15">
        <f>IF($A32="","",VLOOKUP($A32,Items_Master!$A$2:$L$2001,3,FALSE))</f>
      </c>
      <c r="D32" s="16">
        <f>IF($A32="","",SUMIFS(Transactions!$G$2:$G$5001,Transactions!$C$2:$C$5001,$A32,Transactions!$E$2:$E$5001,1)-SUMIFS(Transactions!$H$2:$H$5001,Transactions!$C$2:$C$5001,$A32,Transactions!$E$2:$E$5001,1))</f>
      </c>
      <c r="E32" s="16">
        <f>IF($A32="","",SUMIFS(Transactions!$G$2:$G$5001,Transactions!$C$2:$C$5001,$A32,Transactions!$E$2:$E$5001,2)-SUMIFS(Transactions!$H$2:$H$5001,Transactions!$C$2:$C$5001,$A32,Transactions!$E$2:$E$5001,2))</f>
      </c>
      <c r="F32" s="16">
        <f>IF($A32="","",SUMIFS(Transactions!$G$2:$G$5001,Transactions!$C$2:$C$5001,$A32,Transactions!$E$2:$E$5001,3)-SUMIFS(Transactions!$H$2:$H$5001,Transactions!$C$2:$C$5001,$A32,Transactions!$E$2:$E$5001,3))</f>
      </c>
      <c r="G32" s="16">
        <f>IF($A32="","",SUM($D32:$F32))</f>
      </c>
      <c r="H32" s="16">
        <f>IF($A32="","",VLOOKUP($A32,Items_Master!$A$2:$L$2001,6,FALSE))</f>
      </c>
      <c r="I32" s="38">
        <f>IF($A32="","",IF($G32&lt;=$H32,"LOW","OK"))</f>
      </c>
      <c r="J32" s="39">
        <f>IF($A32="","",VLOOKUP($A32,Items_Master!$A$2:$L$2001,4,FALSE))</f>
      </c>
      <c r="K32" s="39">
        <f>IF($A32="","",VLOOKUP($A32,Items_Master!$A$2:$L$2001,5,FALSE))</f>
      </c>
      <c r="L32" s="39">
        <f>IF($A32="","",$G32*$J32)</f>
      </c>
      <c r="M32" s="39">
        <f>IF($A32="","",$G32*$K32)</f>
      </c>
      <c r="N32" s="16">
        <f>IF($A32="","",COUNTIF(Transactions!$C$2:$C$5001,$A32))</f>
      </c>
    </row>
    <row x14ac:dyDescent="0.25" r="33" customHeight="1" ht="17.25">
      <c r="A33" s="12">
        <f>IF(ROW()-1&lt;=COUNTA(Items_Master!$A$2:$A$2001),INDEX(Items_Master!$A$2:$A$2001,ROW()-1),"")</f>
      </c>
      <c r="B33" s="12">
        <f>IF($A33="","",VLOOKUP($A33,Items_Master!$A$2:$L$2001,2,FALSE))</f>
      </c>
      <c r="C33" s="12">
        <f>IF($A33="","",VLOOKUP($A33,Items_Master!$A$2:$L$2001,3,FALSE))</f>
      </c>
      <c r="D33" s="13">
        <f>IF($A33="","",SUMIFS(Transactions!$G$2:$G$5001,Transactions!$C$2:$C$5001,$A33,Transactions!$E$2:$E$5001,1)-SUMIFS(Transactions!$H$2:$H$5001,Transactions!$C$2:$C$5001,$A33,Transactions!$E$2:$E$5001,1))</f>
      </c>
      <c r="E33" s="13">
        <f>IF($A33="","",SUMIFS(Transactions!$G$2:$G$5001,Transactions!$C$2:$C$5001,$A33,Transactions!$E$2:$E$5001,2)-SUMIFS(Transactions!$H$2:$H$5001,Transactions!$C$2:$C$5001,$A33,Transactions!$E$2:$E$5001,2))</f>
      </c>
      <c r="F33" s="13">
        <f>IF($A33="","",SUMIFS(Transactions!$G$2:$G$5001,Transactions!$C$2:$C$5001,$A33,Transactions!$E$2:$E$5001,3)-SUMIFS(Transactions!$H$2:$H$5001,Transactions!$C$2:$C$5001,$A33,Transactions!$E$2:$E$5001,3))</f>
      </c>
      <c r="G33" s="13">
        <f>IF($A33="","",SUM($D33:$F33))</f>
      </c>
      <c r="H33" s="13">
        <f>IF($A33="","",VLOOKUP($A33,Items_Master!$A$2:$L$2001,6,FALSE))</f>
      </c>
      <c r="I33" s="40">
        <f>IF($A33="","",IF($G33&lt;=$H33,"LOW","OK"))</f>
      </c>
      <c r="J33" s="41">
        <f>IF($A33="","",VLOOKUP($A33,Items_Master!$A$2:$L$2001,4,FALSE))</f>
      </c>
      <c r="K33" s="41">
        <f>IF($A33="","",VLOOKUP($A33,Items_Master!$A$2:$L$2001,5,FALSE))</f>
      </c>
      <c r="L33" s="41">
        <f>IF($A33="","",$G33*$J33)</f>
      </c>
      <c r="M33" s="41">
        <f>IF($A33="","",$G33*$K33)</f>
      </c>
      <c r="N33" s="13">
        <f>IF($A33="","",COUNTIF(Transactions!$C$2:$C$5001,$A33))</f>
      </c>
    </row>
    <row x14ac:dyDescent="0.25" r="34" customHeight="1" ht="17.25">
      <c r="A34" s="15">
        <f>IF(ROW()-1&lt;=COUNTA(Items_Master!$A$2:$A$2001),INDEX(Items_Master!$A$2:$A$2001,ROW()-1),"")</f>
      </c>
      <c r="B34" s="15">
        <f>IF($A34="","",VLOOKUP($A34,Items_Master!$A$2:$L$2001,2,FALSE))</f>
      </c>
      <c r="C34" s="15">
        <f>IF($A34="","",VLOOKUP($A34,Items_Master!$A$2:$L$2001,3,FALSE))</f>
      </c>
      <c r="D34" s="16">
        <f>IF($A34="","",SUMIFS(Transactions!$G$2:$G$5001,Transactions!$C$2:$C$5001,$A34,Transactions!$E$2:$E$5001,1)-SUMIFS(Transactions!$H$2:$H$5001,Transactions!$C$2:$C$5001,$A34,Transactions!$E$2:$E$5001,1))</f>
      </c>
      <c r="E34" s="16">
        <f>IF($A34="","",SUMIFS(Transactions!$G$2:$G$5001,Transactions!$C$2:$C$5001,$A34,Transactions!$E$2:$E$5001,2)-SUMIFS(Transactions!$H$2:$H$5001,Transactions!$C$2:$C$5001,$A34,Transactions!$E$2:$E$5001,2))</f>
      </c>
      <c r="F34" s="16">
        <f>IF($A34="","",SUMIFS(Transactions!$G$2:$G$5001,Transactions!$C$2:$C$5001,$A34,Transactions!$E$2:$E$5001,3)-SUMIFS(Transactions!$H$2:$H$5001,Transactions!$C$2:$C$5001,$A34,Transactions!$E$2:$E$5001,3))</f>
      </c>
      <c r="G34" s="16">
        <f>IF($A34="","",SUM($D34:$F34))</f>
      </c>
      <c r="H34" s="16">
        <f>IF($A34="","",VLOOKUP($A34,Items_Master!$A$2:$L$2001,6,FALSE))</f>
      </c>
      <c r="I34" s="38">
        <f>IF($A34="","",IF($G34&lt;=$H34,"LOW","OK"))</f>
      </c>
      <c r="J34" s="39">
        <f>IF($A34="","",VLOOKUP($A34,Items_Master!$A$2:$L$2001,4,FALSE))</f>
      </c>
      <c r="K34" s="39">
        <f>IF($A34="","",VLOOKUP($A34,Items_Master!$A$2:$L$2001,5,FALSE))</f>
      </c>
      <c r="L34" s="39">
        <f>IF($A34="","",$G34*$J34)</f>
      </c>
      <c r="M34" s="39">
        <f>IF($A34="","",$G34*$K34)</f>
      </c>
      <c r="N34" s="16">
        <f>IF($A34="","",COUNTIF(Transactions!$C$2:$C$5001,$A34))</f>
      </c>
    </row>
    <row x14ac:dyDescent="0.25" r="35" customHeight="1" ht="17.25">
      <c r="A35" s="12">
        <f>IF(ROW()-1&lt;=COUNTA(Items_Master!$A$2:$A$2001),INDEX(Items_Master!$A$2:$A$2001,ROW()-1),"")</f>
      </c>
      <c r="B35" s="12">
        <f>IF($A35="","",VLOOKUP($A35,Items_Master!$A$2:$L$2001,2,FALSE))</f>
      </c>
      <c r="C35" s="12">
        <f>IF($A35="","",VLOOKUP($A35,Items_Master!$A$2:$L$2001,3,FALSE))</f>
      </c>
      <c r="D35" s="13">
        <f>IF($A35="","",SUMIFS(Transactions!$G$2:$G$5001,Transactions!$C$2:$C$5001,$A35,Transactions!$E$2:$E$5001,1)-SUMIFS(Transactions!$H$2:$H$5001,Transactions!$C$2:$C$5001,$A35,Transactions!$E$2:$E$5001,1))</f>
      </c>
      <c r="E35" s="13">
        <f>IF($A35="","",SUMIFS(Transactions!$G$2:$G$5001,Transactions!$C$2:$C$5001,$A35,Transactions!$E$2:$E$5001,2)-SUMIFS(Transactions!$H$2:$H$5001,Transactions!$C$2:$C$5001,$A35,Transactions!$E$2:$E$5001,2))</f>
      </c>
      <c r="F35" s="13">
        <f>IF($A35="","",SUMIFS(Transactions!$G$2:$G$5001,Transactions!$C$2:$C$5001,$A35,Transactions!$E$2:$E$5001,3)-SUMIFS(Transactions!$H$2:$H$5001,Transactions!$C$2:$C$5001,$A35,Transactions!$E$2:$E$5001,3))</f>
      </c>
      <c r="G35" s="13">
        <f>IF($A35="","",SUM($D35:$F35))</f>
      </c>
      <c r="H35" s="13">
        <f>IF($A35="","",VLOOKUP($A35,Items_Master!$A$2:$L$2001,6,FALSE))</f>
      </c>
      <c r="I35" s="40">
        <f>IF($A35="","",IF($G35&lt;=$H35,"LOW","OK"))</f>
      </c>
      <c r="J35" s="41">
        <f>IF($A35="","",VLOOKUP($A35,Items_Master!$A$2:$L$2001,4,FALSE))</f>
      </c>
      <c r="K35" s="41">
        <f>IF($A35="","",VLOOKUP($A35,Items_Master!$A$2:$L$2001,5,FALSE))</f>
      </c>
      <c r="L35" s="41">
        <f>IF($A35="","",$G35*$J35)</f>
      </c>
      <c r="M35" s="41">
        <f>IF($A35="","",$G35*$K35)</f>
      </c>
      <c r="N35" s="13">
        <f>IF($A35="","",COUNTIF(Transactions!$C$2:$C$5001,$A35))</f>
      </c>
    </row>
    <row x14ac:dyDescent="0.25" r="36" customHeight="1" ht="17.25">
      <c r="A36" s="15">
        <f>IF(ROW()-1&lt;=COUNTA(Items_Master!$A$2:$A$2001),INDEX(Items_Master!$A$2:$A$2001,ROW()-1),"")</f>
      </c>
      <c r="B36" s="15">
        <f>IF($A36="","",VLOOKUP($A36,Items_Master!$A$2:$L$2001,2,FALSE))</f>
      </c>
      <c r="C36" s="15">
        <f>IF($A36="","",VLOOKUP($A36,Items_Master!$A$2:$L$2001,3,FALSE))</f>
      </c>
      <c r="D36" s="16">
        <f>IF($A36="","",SUMIFS(Transactions!$G$2:$G$5001,Transactions!$C$2:$C$5001,$A36,Transactions!$E$2:$E$5001,1)-SUMIFS(Transactions!$H$2:$H$5001,Transactions!$C$2:$C$5001,$A36,Transactions!$E$2:$E$5001,1))</f>
      </c>
      <c r="E36" s="16">
        <f>IF($A36="","",SUMIFS(Transactions!$G$2:$G$5001,Transactions!$C$2:$C$5001,$A36,Transactions!$E$2:$E$5001,2)-SUMIFS(Transactions!$H$2:$H$5001,Transactions!$C$2:$C$5001,$A36,Transactions!$E$2:$E$5001,2))</f>
      </c>
      <c r="F36" s="16">
        <f>IF($A36="","",SUMIFS(Transactions!$G$2:$G$5001,Transactions!$C$2:$C$5001,$A36,Transactions!$E$2:$E$5001,3)-SUMIFS(Transactions!$H$2:$H$5001,Transactions!$C$2:$C$5001,$A36,Transactions!$E$2:$E$5001,3))</f>
      </c>
      <c r="G36" s="16">
        <f>IF($A36="","",SUM($D36:$F36))</f>
      </c>
      <c r="H36" s="16">
        <f>IF($A36="","",VLOOKUP($A36,Items_Master!$A$2:$L$2001,6,FALSE))</f>
      </c>
      <c r="I36" s="38">
        <f>IF($A36="","",IF($G36&lt;=$H36,"LOW","OK"))</f>
      </c>
      <c r="J36" s="39">
        <f>IF($A36="","",VLOOKUP($A36,Items_Master!$A$2:$L$2001,4,FALSE))</f>
      </c>
      <c r="K36" s="39">
        <f>IF($A36="","",VLOOKUP($A36,Items_Master!$A$2:$L$2001,5,FALSE))</f>
      </c>
      <c r="L36" s="39">
        <f>IF($A36="","",$G36*$J36)</f>
      </c>
      <c r="M36" s="39">
        <f>IF($A36="","",$G36*$K36)</f>
      </c>
      <c r="N36" s="16">
        <f>IF($A36="","",COUNTIF(Transactions!$C$2:$C$5001,$A36))</f>
      </c>
    </row>
    <row x14ac:dyDescent="0.25" r="37" customHeight="1" ht="17.25">
      <c r="A37" s="12">
        <f>IF(ROW()-1&lt;=COUNTA(Items_Master!$A$2:$A$2001),INDEX(Items_Master!$A$2:$A$2001,ROW()-1),"")</f>
      </c>
      <c r="B37" s="12">
        <f>IF($A37="","",VLOOKUP($A37,Items_Master!$A$2:$L$2001,2,FALSE))</f>
      </c>
      <c r="C37" s="12">
        <f>IF($A37="","",VLOOKUP($A37,Items_Master!$A$2:$L$2001,3,FALSE))</f>
      </c>
      <c r="D37" s="13">
        <f>IF($A37="","",SUMIFS(Transactions!$G$2:$G$5001,Transactions!$C$2:$C$5001,$A37,Transactions!$E$2:$E$5001,1)-SUMIFS(Transactions!$H$2:$H$5001,Transactions!$C$2:$C$5001,$A37,Transactions!$E$2:$E$5001,1))</f>
      </c>
      <c r="E37" s="13">
        <f>IF($A37="","",SUMIFS(Transactions!$G$2:$G$5001,Transactions!$C$2:$C$5001,$A37,Transactions!$E$2:$E$5001,2)-SUMIFS(Transactions!$H$2:$H$5001,Transactions!$C$2:$C$5001,$A37,Transactions!$E$2:$E$5001,2))</f>
      </c>
      <c r="F37" s="13">
        <f>IF($A37="","",SUMIFS(Transactions!$G$2:$G$5001,Transactions!$C$2:$C$5001,$A37,Transactions!$E$2:$E$5001,3)-SUMIFS(Transactions!$H$2:$H$5001,Transactions!$C$2:$C$5001,$A37,Transactions!$E$2:$E$5001,3))</f>
      </c>
      <c r="G37" s="13">
        <f>IF($A37="","",SUM($D37:$F37))</f>
      </c>
      <c r="H37" s="13">
        <f>IF($A37="","",VLOOKUP($A37,Items_Master!$A$2:$L$2001,6,FALSE))</f>
      </c>
      <c r="I37" s="40">
        <f>IF($A37="","",IF($G37&lt;=$H37,"LOW","OK"))</f>
      </c>
      <c r="J37" s="41">
        <f>IF($A37="","",VLOOKUP($A37,Items_Master!$A$2:$L$2001,4,FALSE))</f>
      </c>
      <c r="K37" s="41">
        <f>IF($A37="","",VLOOKUP($A37,Items_Master!$A$2:$L$2001,5,FALSE))</f>
      </c>
      <c r="L37" s="41">
        <f>IF($A37="","",$G37*$J37)</f>
      </c>
      <c r="M37" s="41">
        <f>IF($A37="","",$G37*$K37)</f>
      </c>
      <c r="N37" s="13">
        <f>IF($A37="","",COUNTIF(Transactions!$C$2:$C$5001,$A37))</f>
      </c>
    </row>
    <row x14ac:dyDescent="0.25" r="38" customHeight="1" ht="17.25">
      <c r="A38" s="15">
        <f>IF(ROW()-1&lt;=COUNTA(Items_Master!$A$2:$A$2001),INDEX(Items_Master!$A$2:$A$2001,ROW()-1),"")</f>
      </c>
      <c r="B38" s="15">
        <f>IF($A38="","",VLOOKUP($A38,Items_Master!$A$2:$L$2001,2,FALSE))</f>
      </c>
      <c r="C38" s="15">
        <f>IF($A38="","",VLOOKUP($A38,Items_Master!$A$2:$L$2001,3,FALSE))</f>
      </c>
      <c r="D38" s="16">
        <f>IF($A38="","",SUMIFS(Transactions!$G$2:$G$5001,Transactions!$C$2:$C$5001,$A38,Transactions!$E$2:$E$5001,1)-SUMIFS(Transactions!$H$2:$H$5001,Transactions!$C$2:$C$5001,$A38,Transactions!$E$2:$E$5001,1))</f>
      </c>
      <c r="E38" s="16">
        <f>IF($A38="","",SUMIFS(Transactions!$G$2:$G$5001,Transactions!$C$2:$C$5001,$A38,Transactions!$E$2:$E$5001,2)-SUMIFS(Transactions!$H$2:$H$5001,Transactions!$C$2:$C$5001,$A38,Transactions!$E$2:$E$5001,2))</f>
      </c>
      <c r="F38" s="16">
        <f>IF($A38="","",SUMIFS(Transactions!$G$2:$G$5001,Transactions!$C$2:$C$5001,$A38,Transactions!$E$2:$E$5001,3)-SUMIFS(Transactions!$H$2:$H$5001,Transactions!$C$2:$C$5001,$A38,Transactions!$E$2:$E$5001,3))</f>
      </c>
      <c r="G38" s="16">
        <f>IF($A38="","",SUM($D38:$F38))</f>
      </c>
      <c r="H38" s="16">
        <f>IF($A38="","",VLOOKUP($A38,Items_Master!$A$2:$L$2001,6,FALSE))</f>
      </c>
      <c r="I38" s="38">
        <f>IF($A38="","",IF($G38&lt;=$H38,"LOW","OK"))</f>
      </c>
      <c r="J38" s="39">
        <f>IF($A38="","",VLOOKUP($A38,Items_Master!$A$2:$L$2001,4,FALSE))</f>
      </c>
      <c r="K38" s="39">
        <f>IF($A38="","",VLOOKUP($A38,Items_Master!$A$2:$L$2001,5,FALSE))</f>
      </c>
      <c r="L38" s="39">
        <f>IF($A38="","",$G38*$J38)</f>
      </c>
      <c r="M38" s="39">
        <f>IF($A38="","",$G38*$K38)</f>
      </c>
      <c r="N38" s="16">
        <f>IF($A38="","",COUNTIF(Transactions!$C$2:$C$5001,$A38))</f>
      </c>
    </row>
    <row x14ac:dyDescent="0.25" r="39" customHeight="1" ht="17.25">
      <c r="A39" s="12">
        <f>IF(ROW()-1&lt;=COUNTA(Items_Master!$A$2:$A$2001),INDEX(Items_Master!$A$2:$A$2001,ROW()-1),"")</f>
      </c>
      <c r="B39" s="12">
        <f>IF($A39="","",VLOOKUP($A39,Items_Master!$A$2:$L$2001,2,FALSE))</f>
      </c>
      <c r="C39" s="12">
        <f>IF($A39="","",VLOOKUP($A39,Items_Master!$A$2:$L$2001,3,FALSE))</f>
      </c>
      <c r="D39" s="13">
        <f>IF($A39="","",SUMIFS(Transactions!$G$2:$G$5001,Transactions!$C$2:$C$5001,$A39,Transactions!$E$2:$E$5001,1)-SUMIFS(Transactions!$H$2:$H$5001,Transactions!$C$2:$C$5001,$A39,Transactions!$E$2:$E$5001,1))</f>
      </c>
      <c r="E39" s="13">
        <f>IF($A39="","",SUMIFS(Transactions!$G$2:$G$5001,Transactions!$C$2:$C$5001,$A39,Transactions!$E$2:$E$5001,2)-SUMIFS(Transactions!$H$2:$H$5001,Transactions!$C$2:$C$5001,$A39,Transactions!$E$2:$E$5001,2))</f>
      </c>
      <c r="F39" s="13">
        <f>IF($A39="","",SUMIFS(Transactions!$G$2:$G$5001,Transactions!$C$2:$C$5001,$A39,Transactions!$E$2:$E$5001,3)-SUMIFS(Transactions!$H$2:$H$5001,Transactions!$C$2:$C$5001,$A39,Transactions!$E$2:$E$5001,3))</f>
      </c>
      <c r="G39" s="13">
        <f>IF($A39="","",SUM($D39:$F39))</f>
      </c>
      <c r="H39" s="13">
        <f>IF($A39="","",VLOOKUP($A39,Items_Master!$A$2:$L$2001,6,FALSE))</f>
      </c>
      <c r="I39" s="40">
        <f>IF($A39="","",IF($G39&lt;=$H39,"LOW","OK"))</f>
      </c>
      <c r="J39" s="41">
        <f>IF($A39="","",VLOOKUP($A39,Items_Master!$A$2:$L$2001,4,FALSE))</f>
      </c>
      <c r="K39" s="41">
        <f>IF($A39="","",VLOOKUP($A39,Items_Master!$A$2:$L$2001,5,FALSE))</f>
      </c>
      <c r="L39" s="41">
        <f>IF($A39="","",$G39*$J39)</f>
      </c>
      <c r="M39" s="41">
        <f>IF($A39="","",$G39*$K39)</f>
      </c>
      <c r="N39" s="13">
        <f>IF($A39="","",COUNTIF(Transactions!$C$2:$C$5001,$A39))</f>
      </c>
    </row>
    <row x14ac:dyDescent="0.25" r="40" customHeight="1" ht="17.25">
      <c r="A40" s="15">
        <f>IF(ROW()-1&lt;=COUNTA(Items_Master!$A$2:$A$2001),INDEX(Items_Master!$A$2:$A$2001,ROW()-1),"")</f>
      </c>
      <c r="B40" s="15">
        <f>IF($A40="","",VLOOKUP($A40,Items_Master!$A$2:$L$2001,2,FALSE))</f>
      </c>
      <c r="C40" s="15">
        <f>IF($A40="","",VLOOKUP($A40,Items_Master!$A$2:$L$2001,3,FALSE))</f>
      </c>
      <c r="D40" s="16">
        <f>IF($A40="","",SUMIFS(Transactions!$G$2:$G$5001,Transactions!$C$2:$C$5001,$A40,Transactions!$E$2:$E$5001,1)-SUMIFS(Transactions!$H$2:$H$5001,Transactions!$C$2:$C$5001,$A40,Transactions!$E$2:$E$5001,1))</f>
      </c>
      <c r="E40" s="16">
        <f>IF($A40="","",SUMIFS(Transactions!$G$2:$G$5001,Transactions!$C$2:$C$5001,$A40,Transactions!$E$2:$E$5001,2)-SUMIFS(Transactions!$H$2:$H$5001,Transactions!$C$2:$C$5001,$A40,Transactions!$E$2:$E$5001,2))</f>
      </c>
      <c r="F40" s="16">
        <f>IF($A40="","",SUMIFS(Transactions!$G$2:$G$5001,Transactions!$C$2:$C$5001,$A40,Transactions!$E$2:$E$5001,3)-SUMIFS(Transactions!$H$2:$H$5001,Transactions!$C$2:$C$5001,$A40,Transactions!$E$2:$E$5001,3))</f>
      </c>
      <c r="G40" s="16">
        <f>IF($A40="","",SUM($D40:$F40))</f>
      </c>
      <c r="H40" s="16">
        <f>IF($A40="","",VLOOKUP($A40,Items_Master!$A$2:$L$2001,6,FALSE))</f>
      </c>
      <c r="I40" s="38">
        <f>IF($A40="","",IF($G40&lt;=$H40,"LOW","OK"))</f>
      </c>
      <c r="J40" s="39">
        <f>IF($A40="","",VLOOKUP($A40,Items_Master!$A$2:$L$2001,4,FALSE))</f>
      </c>
      <c r="K40" s="39">
        <f>IF($A40="","",VLOOKUP($A40,Items_Master!$A$2:$L$2001,5,FALSE))</f>
      </c>
      <c r="L40" s="39">
        <f>IF($A40="","",$G40*$J40)</f>
      </c>
      <c r="M40" s="39">
        <f>IF($A40="","",$G40*$K40)</f>
      </c>
      <c r="N40" s="16">
        <f>IF($A40="","",COUNTIF(Transactions!$C$2:$C$5001,$A40))</f>
      </c>
    </row>
    <row x14ac:dyDescent="0.25" r="41" customHeight="1" ht="17.25">
      <c r="A41" s="12">
        <f>IF(ROW()-1&lt;=COUNTA(Items_Master!$A$2:$A$2001),INDEX(Items_Master!$A$2:$A$2001,ROW()-1),"")</f>
      </c>
      <c r="B41" s="12">
        <f>IF($A41="","",VLOOKUP($A41,Items_Master!$A$2:$L$2001,2,FALSE))</f>
      </c>
      <c r="C41" s="12">
        <f>IF($A41="","",VLOOKUP($A41,Items_Master!$A$2:$L$2001,3,FALSE))</f>
      </c>
      <c r="D41" s="13">
        <f>IF($A41="","",SUMIFS(Transactions!$G$2:$G$5001,Transactions!$C$2:$C$5001,$A41,Transactions!$E$2:$E$5001,1)-SUMIFS(Transactions!$H$2:$H$5001,Transactions!$C$2:$C$5001,$A41,Transactions!$E$2:$E$5001,1))</f>
      </c>
      <c r="E41" s="13">
        <f>IF($A41="","",SUMIFS(Transactions!$G$2:$G$5001,Transactions!$C$2:$C$5001,$A41,Transactions!$E$2:$E$5001,2)-SUMIFS(Transactions!$H$2:$H$5001,Transactions!$C$2:$C$5001,$A41,Transactions!$E$2:$E$5001,2))</f>
      </c>
      <c r="F41" s="13">
        <f>IF($A41="","",SUMIFS(Transactions!$G$2:$G$5001,Transactions!$C$2:$C$5001,$A41,Transactions!$E$2:$E$5001,3)-SUMIFS(Transactions!$H$2:$H$5001,Transactions!$C$2:$C$5001,$A41,Transactions!$E$2:$E$5001,3))</f>
      </c>
      <c r="G41" s="13">
        <f>IF($A41="","",SUM($D41:$F41))</f>
      </c>
      <c r="H41" s="13">
        <f>IF($A41="","",VLOOKUP($A41,Items_Master!$A$2:$L$2001,6,FALSE))</f>
      </c>
      <c r="I41" s="40">
        <f>IF($A41="","",IF($G41&lt;=$H41,"LOW","OK"))</f>
      </c>
      <c r="J41" s="41">
        <f>IF($A41="","",VLOOKUP($A41,Items_Master!$A$2:$L$2001,4,FALSE))</f>
      </c>
      <c r="K41" s="41">
        <f>IF($A41="","",VLOOKUP($A41,Items_Master!$A$2:$L$2001,5,FALSE))</f>
      </c>
      <c r="L41" s="41">
        <f>IF($A41="","",$G41*$J41)</f>
      </c>
      <c r="M41" s="41">
        <f>IF($A41="","",$G41*$K41)</f>
      </c>
      <c r="N41" s="13">
        <f>IF($A41="","",COUNTIF(Transactions!$C$2:$C$5001,$A41))</f>
      </c>
    </row>
    <row x14ac:dyDescent="0.25" r="42" customHeight="1" ht="17.25">
      <c r="A42" s="15">
        <f>IF(ROW()-1&lt;=COUNTA(Items_Master!$A$2:$A$2001),INDEX(Items_Master!$A$2:$A$2001,ROW()-1),"")</f>
      </c>
      <c r="B42" s="15">
        <f>IF($A42="","",VLOOKUP($A42,Items_Master!$A$2:$L$2001,2,FALSE))</f>
      </c>
      <c r="C42" s="15">
        <f>IF($A42="","",VLOOKUP($A42,Items_Master!$A$2:$L$2001,3,FALSE))</f>
      </c>
      <c r="D42" s="16">
        <f>IF($A42="","",SUMIFS(Transactions!$G$2:$G$5001,Transactions!$C$2:$C$5001,$A42,Transactions!$E$2:$E$5001,1)-SUMIFS(Transactions!$H$2:$H$5001,Transactions!$C$2:$C$5001,$A42,Transactions!$E$2:$E$5001,1))</f>
      </c>
      <c r="E42" s="16">
        <f>IF($A42="","",SUMIFS(Transactions!$G$2:$G$5001,Transactions!$C$2:$C$5001,$A42,Transactions!$E$2:$E$5001,2)-SUMIFS(Transactions!$H$2:$H$5001,Transactions!$C$2:$C$5001,$A42,Transactions!$E$2:$E$5001,2))</f>
      </c>
      <c r="F42" s="16">
        <f>IF($A42="","",SUMIFS(Transactions!$G$2:$G$5001,Transactions!$C$2:$C$5001,$A42,Transactions!$E$2:$E$5001,3)-SUMIFS(Transactions!$H$2:$H$5001,Transactions!$C$2:$C$5001,$A42,Transactions!$E$2:$E$5001,3))</f>
      </c>
      <c r="G42" s="16">
        <f>IF($A42="","",SUM($D42:$F42))</f>
      </c>
      <c r="H42" s="16">
        <f>IF($A42="","",VLOOKUP($A42,Items_Master!$A$2:$L$2001,6,FALSE))</f>
      </c>
      <c r="I42" s="38">
        <f>IF($A42="","",IF($G42&lt;=$H42,"LOW","OK"))</f>
      </c>
      <c r="J42" s="39">
        <f>IF($A42="","",VLOOKUP($A42,Items_Master!$A$2:$L$2001,4,FALSE))</f>
      </c>
      <c r="K42" s="39">
        <f>IF($A42="","",VLOOKUP($A42,Items_Master!$A$2:$L$2001,5,FALSE))</f>
      </c>
      <c r="L42" s="39">
        <f>IF($A42="","",$G42*$J42)</f>
      </c>
      <c r="M42" s="39">
        <f>IF($A42="","",$G42*$K42)</f>
      </c>
      <c r="N42" s="16">
        <f>IF($A42="","",COUNTIF(Transactions!$C$2:$C$5001,$A42))</f>
      </c>
    </row>
    <row x14ac:dyDescent="0.25" r="43" customHeight="1" ht="17.25">
      <c r="A43" s="12">
        <f>IF(ROW()-1&lt;=COUNTA(Items_Master!$A$2:$A$2001),INDEX(Items_Master!$A$2:$A$2001,ROW()-1),"")</f>
      </c>
      <c r="B43" s="12">
        <f>IF($A43="","",VLOOKUP($A43,Items_Master!$A$2:$L$2001,2,FALSE))</f>
      </c>
      <c r="C43" s="12">
        <f>IF($A43="","",VLOOKUP($A43,Items_Master!$A$2:$L$2001,3,FALSE))</f>
      </c>
      <c r="D43" s="13">
        <f>IF($A43="","",SUMIFS(Transactions!$G$2:$G$5001,Transactions!$C$2:$C$5001,$A43,Transactions!$E$2:$E$5001,1)-SUMIFS(Transactions!$H$2:$H$5001,Transactions!$C$2:$C$5001,$A43,Transactions!$E$2:$E$5001,1))</f>
      </c>
      <c r="E43" s="13">
        <f>IF($A43="","",SUMIFS(Transactions!$G$2:$G$5001,Transactions!$C$2:$C$5001,$A43,Transactions!$E$2:$E$5001,2)-SUMIFS(Transactions!$H$2:$H$5001,Transactions!$C$2:$C$5001,$A43,Transactions!$E$2:$E$5001,2))</f>
      </c>
      <c r="F43" s="13">
        <f>IF($A43="","",SUMIFS(Transactions!$G$2:$G$5001,Transactions!$C$2:$C$5001,$A43,Transactions!$E$2:$E$5001,3)-SUMIFS(Transactions!$H$2:$H$5001,Transactions!$C$2:$C$5001,$A43,Transactions!$E$2:$E$5001,3))</f>
      </c>
      <c r="G43" s="13">
        <f>IF($A43="","",SUM($D43:$F43))</f>
      </c>
      <c r="H43" s="13">
        <f>IF($A43="","",VLOOKUP($A43,Items_Master!$A$2:$L$2001,6,FALSE))</f>
      </c>
      <c r="I43" s="40">
        <f>IF($A43="","",IF($G43&lt;=$H43,"LOW","OK"))</f>
      </c>
      <c r="J43" s="41">
        <f>IF($A43="","",VLOOKUP($A43,Items_Master!$A$2:$L$2001,4,FALSE))</f>
      </c>
      <c r="K43" s="41">
        <f>IF($A43="","",VLOOKUP($A43,Items_Master!$A$2:$L$2001,5,FALSE))</f>
      </c>
      <c r="L43" s="41">
        <f>IF($A43="","",$G43*$J43)</f>
      </c>
      <c r="M43" s="41">
        <f>IF($A43="","",$G43*$K43)</f>
      </c>
      <c r="N43" s="13">
        <f>IF($A43="","",COUNTIF(Transactions!$C$2:$C$5001,$A43))</f>
      </c>
    </row>
    <row x14ac:dyDescent="0.25" r="44" customHeight="1" ht="17.25">
      <c r="A44" s="15">
        <f>IF(ROW()-1&lt;=COUNTA(Items_Master!$A$2:$A$2001),INDEX(Items_Master!$A$2:$A$2001,ROW()-1),"")</f>
      </c>
      <c r="B44" s="15">
        <f>IF($A44="","",VLOOKUP($A44,Items_Master!$A$2:$L$2001,2,FALSE))</f>
      </c>
      <c r="C44" s="15">
        <f>IF($A44="","",VLOOKUP($A44,Items_Master!$A$2:$L$2001,3,FALSE))</f>
      </c>
      <c r="D44" s="16">
        <f>IF($A44="","",SUMIFS(Transactions!$G$2:$G$5001,Transactions!$C$2:$C$5001,$A44,Transactions!$E$2:$E$5001,1)-SUMIFS(Transactions!$H$2:$H$5001,Transactions!$C$2:$C$5001,$A44,Transactions!$E$2:$E$5001,1))</f>
      </c>
      <c r="E44" s="16">
        <f>IF($A44="","",SUMIFS(Transactions!$G$2:$G$5001,Transactions!$C$2:$C$5001,$A44,Transactions!$E$2:$E$5001,2)-SUMIFS(Transactions!$H$2:$H$5001,Transactions!$C$2:$C$5001,$A44,Transactions!$E$2:$E$5001,2))</f>
      </c>
      <c r="F44" s="16">
        <f>IF($A44="","",SUMIFS(Transactions!$G$2:$G$5001,Transactions!$C$2:$C$5001,$A44,Transactions!$E$2:$E$5001,3)-SUMIFS(Transactions!$H$2:$H$5001,Transactions!$C$2:$C$5001,$A44,Transactions!$E$2:$E$5001,3))</f>
      </c>
      <c r="G44" s="16">
        <f>IF($A44="","",SUM($D44:$F44))</f>
      </c>
      <c r="H44" s="16">
        <f>IF($A44="","",VLOOKUP($A44,Items_Master!$A$2:$L$2001,6,FALSE))</f>
      </c>
      <c r="I44" s="38">
        <f>IF($A44="","",IF($G44&lt;=$H44,"LOW","OK"))</f>
      </c>
      <c r="J44" s="39">
        <f>IF($A44="","",VLOOKUP($A44,Items_Master!$A$2:$L$2001,4,FALSE))</f>
      </c>
      <c r="K44" s="39">
        <f>IF($A44="","",VLOOKUP($A44,Items_Master!$A$2:$L$2001,5,FALSE))</f>
      </c>
      <c r="L44" s="39">
        <f>IF($A44="","",$G44*$J44)</f>
      </c>
      <c r="M44" s="39">
        <f>IF($A44="","",$G44*$K44)</f>
      </c>
      <c r="N44" s="16">
        <f>IF($A44="","",COUNTIF(Transactions!$C$2:$C$5001,$A44))</f>
      </c>
    </row>
    <row x14ac:dyDescent="0.25" r="45" customHeight="1" ht="17.25">
      <c r="A45" s="12">
        <f>IF(ROW()-1&lt;=COUNTA(Items_Master!$A$2:$A$2001),INDEX(Items_Master!$A$2:$A$2001,ROW()-1),"")</f>
      </c>
      <c r="B45" s="12">
        <f>IF($A45="","",VLOOKUP($A45,Items_Master!$A$2:$L$2001,2,FALSE))</f>
      </c>
      <c r="C45" s="12">
        <f>IF($A45="","",VLOOKUP($A45,Items_Master!$A$2:$L$2001,3,FALSE))</f>
      </c>
      <c r="D45" s="13">
        <f>IF($A45="","",SUMIFS(Transactions!$G$2:$G$5001,Transactions!$C$2:$C$5001,$A45,Transactions!$E$2:$E$5001,1)-SUMIFS(Transactions!$H$2:$H$5001,Transactions!$C$2:$C$5001,$A45,Transactions!$E$2:$E$5001,1))</f>
      </c>
      <c r="E45" s="13">
        <f>IF($A45="","",SUMIFS(Transactions!$G$2:$G$5001,Transactions!$C$2:$C$5001,$A45,Transactions!$E$2:$E$5001,2)-SUMIFS(Transactions!$H$2:$H$5001,Transactions!$C$2:$C$5001,$A45,Transactions!$E$2:$E$5001,2))</f>
      </c>
      <c r="F45" s="13">
        <f>IF($A45="","",SUMIFS(Transactions!$G$2:$G$5001,Transactions!$C$2:$C$5001,$A45,Transactions!$E$2:$E$5001,3)-SUMIFS(Transactions!$H$2:$H$5001,Transactions!$C$2:$C$5001,$A45,Transactions!$E$2:$E$5001,3))</f>
      </c>
      <c r="G45" s="13">
        <f>IF($A45="","",SUM($D45:$F45))</f>
      </c>
      <c r="H45" s="13">
        <f>IF($A45="","",VLOOKUP($A45,Items_Master!$A$2:$L$2001,6,FALSE))</f>
      </c>
      <c r="I45" s="40">
        <f>IF($A45="","",IF($G45&lt;=$H45,"LOW","OK"))</f>
      </c>
      <c r="J45" s="41">
        <f>IF($A45="","",VLOOKUP($A45,Items_Master!$A$2:$L$2001,4,FALSE))</f>
      </c>
      <c r="K45" s="41">
        <f>IF($A45="","",VLOOKUP($A45,Items_Master!$A$2:$L$2001,5,FALSE))</f>
      </c>
      <c r="L45" s="41">
        <f>IF($A45="","",$G45*$J45)</f>
      </c>
      <c r="M45" s="41">
        <f>IF($A45="","",$G45*$K45)</f>
      </c>
      <c r="N45" s="13">
        <f>IF($A45="","",COUNTIF(Transactions!$C$2:$C$5001,$A45))</f>
      </c>
    </row>
    <row x14ac:dyDescent="0.25" r="46" customHeight="1" ht="17.25">
      <c r="A46" s="15">
        <f>IF(ROW()-1&lt;=COUNTA(Items_Master!$A$2:$A$2001),INDEX(Items_Master!$A$2:$A$2001,ROW()-1),"")</f>
      </c>
      <c r="B46" s="15">
        <f>IF($A46="","",VLOOKUP($A46,Items_Master!$A$2:$L$2001,2,FALSE))</f>
      </c>
      <c r="C46" s="15">
        <f>IF($A46="","",VLOOKUP($A46,Items_Master!$A$2:$L$2001,3,FALSE))</f>
      </c>
      <c r="D46" s="16">
        <f>IF($A46="","",SUMIFS(Transactions!$G$2:$G$5001,Transactions!$C$2:$C$5001,$A46,Transactions!$E$2:$E$5001,1)-SUMIFS(Transactions!$H$2:$H$5001,Transactions!$C$2:$C$5001,$A46,Transactions!$E$2:$E$5001,1))</f>
      </c>
      <c r="E46" s="16">
        <f>IF($A46="","",SUMIFS(Transactions!$G$2:$G$5001,Transactions!$C$2:$C$5001,$A46,Transactions!$E$2:$E$5001,2)-SUMIFS(Transactions!$H$2:$H$5001,Transactions!$C$2:$C$5001,$A46,Transactions!$E$2:$E$5001,2))</f>
      </c>
      <c r="F46" s="16">
        <f>IF($A46="","",SUMIFS(Transactions!$G$2:$G$5001,Transactions!$C$2:$C$5001,$A46,Transactions!$E$2:$E$5001,3)-SUMIFS(Transactions!$H$2:$H$5001,Transactions!$C$2:$C$5001,$A46,Transactions!$E$2:$E$5001,3))</f>
      </c>
      <c r="G46" s="16">
        <f>IF($A46="","",SUM($D46:$F46))</f>
      </c>
      <c r="H46" s="16">
        <f>IF($A46="","",VLOOKUP($A46,Items_Master!$A$2:$L$2001,6,FALSE))</f>
      </c>
      <c r="I46" s="38">
        <f>IF($A46="","",IF($G46&lt;=$H46,"LOW","OK"))</f>
      </c>
      <c r="J46" s="39">
        <f>IF($A46="","",VLOOKUP($A46,Items_Master!$A$2:$L$2001,4,FALSE))</f>
      </c>
      <c r="K46" s="39">
        <f>IF($A46="","",VLOOKUP($A46,Items_Master!$A$2:$L$2001,5,FALSE))</f>
      </c>
      <c r="L46" s="39">
        <f>IF($A46="","",$G46*$J46)</f>
      </c>
      <c r="M46" s="39">
        <f>IF($A46="","",$G46*$K46)</f>
      </c>
      <c r="N46" s="16">
        <f>IF($A46="","",COUNTIF(Transactions!$C$2:$C$5001,$A46))</f>
      </c>
    </row>
    <row x14ac:dyDescent="0.25" r="47" customHeight="1" ht="17.25">
      <c r="A47" s="12">
        <f>IF(ROW()-1&lt;=COUNTA(Items_Master!$A$2:$A$2001),INDEX(Items_Master!$A$2:$A$2001,ROW()-1),"")</f>
      </c>
      <c r="B47" s="12">
        <f>IF($A47="","",VLOOKUP($A47,Items_Master!$A$2:$L$2001,2,FALSE))</f>
      </c>
      <c r="C47" s="12">
        <f>IF($A47="","",VLOOKUP($A47,Items_Master!$A$2:$L$2001,3,FALSE))</f>
      </c>
      <c r="D47" s="13">
        <f>IF($A47="","",SUMIFS(Transactions!$G$2:$G$5001,Transactions!$C$2:$C$5001,$A47,Transactions!$E$2:$E$5001,1)-SUMIFS(Transactions!$H$2:$H$5001,Transactions!$C$2:$C$5001,$A47,Transactions!$E$2:$E$5001,1))</f>
      </c>
      <c r="E47" s="13">
        <f>IF($A47="","",SUMIFS(Transactions!$G$2:$G$5001,Transactions!$C$2:$C$5001,$A47,Transactions!$E$2:$E$5001,2)-SUMIFS(Transactions!$H$2:$H$5001,Transactions!$C$2:$C$5001,$A47,Transactions!$E$2:$E$5001,2))</f>
      </c>
      <c r="F47" s="13">
        <f>IF($A47="","",SUMIFS(Transactions!$G$2:$G$5001,Transactions!$C$2:$C$5001,$A47,Transactions!$E$2:$E$5001,3)-SUMIFS(Transactions!$H$2:$H$5001,Transactions!$C$2:$C$5001,$A47,Transactions!$E$2:$E$5001,3))</f>
      </c>
      <c r="G47" s="13">
        <f>IF($A47="","",SUM($D47:$F47))</f>
      </c>
      <c r="H47" s="13">
        <f>IF($A47="","",VLOOKUP($A47,Items_Master!$A$2:$L$2001,6,FALSE))</f>
      </c>
      <c r="I47" s="40">
        <f>IF($A47="","",IF($G47&lt;=$H47,"LOW","OK"))</f>
      </c>
      <c r="J47" s="41">
        <f>IF($A47="","",VLOOKUP($A47,Items_Master!$A$2:$L$2001,4,FALSE))</f>
      </c>
      <c r="K47" s="41">
        <f>IF($A47="","",VLOOKUP($A47,Items_Master!$A$2:$L$2001,5,FALSE))</f>
      </c>
      <c r="L47" s="41">
        <f>IF($A47="","",$G47*$J47)</f>
      </c>
      <c r="M47" s="41">
        <f>IF($A47="","",$G47*$K47)</f>
      </c>
      <c r="N47" s="13">
        <f>IF($A47="","",COUNTIF(Transactions!$C$2:$C$5001,$A47))</f>
      </c>
    </row>
    <row x14ac:dyDescent="0.25" r="48" customHeight="1" ht="17.25">
      <c r="A48" s="15">
        <f>IF(ROW()-1&lt;=COUNTA(Items_Master!$A$2:$A$2001),INDEX(Items_Master!$A$2:$A$2001,ROW()-1),"")</f>
      </c>
      <c r="B48" s="15">
        <f>IF($A48="","",VLOOKUP($A48,Items_Master!$A$2:$L$2001,2,FALSE))</f>
      </c>
      <c r="C48" s="15">
        <f>IF($A48="","",VLOOKUP($A48,Items_Master!$A$2:$L$2001,3,FALSE))</f>
      </c>
      <c r="D48" s="16">
        <f>IF($A48="","",SUMIFS(Transactions!$G$2:$G$5001,Transactions!$C$2:$C$5001,$A48,Transactions!$E$2:$E$5001,1)-SUMIFS(Transactions!$H$2:$H$5001,Transactions!$C$2:$C$5001,$A48,Transactions!$E$2:$E$5001,1))</f>
      </c>
      <c r="E48" s="16">
        <f>IF($A48="","",SUMIFS(Transactions!$G$2:$G$5001,Transactions!$C$2:$C$5001,$A48,Transactions!$E$2:$E$5001,2)-SUMIFS(Transactions!$H$2:$H$5001,Transactions!$C$2:$C$5001,$A48,Transactions!$E$2:$E$5001,2))</f>
      </c>
      <c r="F48" s="16">
        <f>IF($A48="","",SUMIFS(Transactions!$G$2:$G$5001,Transactions!$C$2:$C$5001,$A48,Transactions!$E$2:$E$5001,3)-SUMIFS(Transactions!$H$2:$H$5001,Transactions!$C$2:$C$5001,$A48,Transactions!$E$2:$E$5001,3))</f>
      </c>
      <c r="G48" s="16">
        <f>IF($A48="","",SUM($D48:$F48))</f>
      </c>
      <c r="H48" s="16">
        <f>IF($A48="","",VLOOKUP($A48,Items_Master!$A$2:$L$2001,6,FALSE))</f>
      </c>
      <c r="I48" s="38">
        <f>IF($A48="","",IF($G48&lt;=$H48,"LOW","OK"))</f>
      </c>
      <c r="J48" s="39">
        <f>IF($A48="","",VLOOKUP($A48,Items_Master!$A$2:$L$2001,4,FALSE))</f>
      </c>
      <c r="K48" s="39">
        <f>IF($A48="","",VLOOKUP($A48,Items_Master!$A$2:$L$2001,5,FALSE))</f>
      </c>
      <c r="L48" s="39">
        <f>IF($A48="","",$G48*$J48)</f>
      </c>
      <c r="M48" s="39">
        <f>IF($A48="","",$G48*$K48)</f>
      </c>
      <c r="N48" s="16">
        <f>IF($A48="","",COUNTIF(Transactions!$C$2:$C$5001,$A48))</f>
      </c>
    </row>
    <row x14ac:dyDescent="0.25" r="49" customHeight="1" ht="17.25">
      <c r="A49" s="12">
        <f>IF(ROW()-1&lt;=COUNTA(Items_Master!$A$2:$A$2001),INDEX(Items_Master!$A$2:$A$2001,ROW()-1),"")</f>
      </c>
      <c r="B49" s="12">
        <f>IF($A49="","",VLOOKUP($A49,Items_Master!$A$2:$L$2001,2,FALSE))</f>
      </c>
      <c r="C49" s="12">
        <f>IF($A49="","",VLOOKUP($A49,Items_Master!$A$2:$L$2001,3,FALSE))</f>
      </c>
      <c r="D49" s="13">
        <f>IF($A49="","",SUMIFS(Transactions!$G$2:$G$5001,Transactions!$C$2:$C$5001,$A49,Transactions!$E$2:$E$5001,1)-SUMIFS(Transactions!$H$2:$H$5001,Transactions!$C$2:$C$5001,$A49,Transactions!$E$2:$E$5001,1))</f>
      </c>
      <c r="E49" s="13">
        <f>IF($A49="","",SUMIFS(Transactions!$G$2:$G$5001,Transactions!$C$2:$C$5001,$A49,Transactions!$E$2:$E$5001,2)-SUMIFS(Transactions!$H$2:$H$5001,Transactions!$C$2:$C$5001,$A49,Transactions!$E$2:$E$5001,2))</f>
      </c>
      <c r="F49" s="13">
        <f>IF($A49="","",SUMIFS(Transactions!$G$2:$G$5001,Transactions!$C$2:$C$5001,$A49,Transactions!$E$2:$E$5001,3)-SUMIFS(Transactions!$H$2:$H$5001,Transactions!$C$2:$C$5001,$A49,Transactions!$E$2:$E$5001,3))</f>
      </c>
      <c r="G49" s="13">
        <f>IF($A49="","",SUM($D49:$F49))</f>
      </c>
      <c r="H49" s="13">
        <f>IF($A49="","",VLOOKUP($A49,Items_Master!$A$2:$L$2001,6,FALSE))</f>
      </c>
      <c r="I49" s="40">
        <f>IF($A49="","",IF($G49&lt;=$H49,"LOW","OK"))</f>
      </c>
      <c r="J49" s="41">
        <f>IF($A49="","",VLOOKUP($A49,Items_Master!$A$2:$L$2001,4,FALSE))</f>
      </c>
      <c r="K49" s="41">
        <f>IF($A49="","",VLOOKUP($A49,Items_Master!$A$2:$L$2001,5,FALSE))</f>
      </c>
      <c r="L49" s="41">
        <f>IF($A49="","",$G49*$J49)</f>
      </c>
      <c r="M49" s="41">
        <f>IF($A49="","",$G49*$K49)</f>
      </c>
      <c r="N49" s="13">
        <f>IF($A49="","",COUNTIF(Transactions!$C$2:$C$5001,$A49))</f>
      </c>
    </row>
    <row x14ac:dyDescent="0.25" r="50" customHeight="1" ht="17.25">
      <c r="A50" s="15">
        <f>IF(ROW()-1&lt;=COUNTA(Items_Master!$A$2:$A$2001),INDEX(Items_Master!$A$2:$A$2001,ROW()-1),"")</f>
      </c>
      <c r="B50" s="15">
        <f>IF($A50="","",VLOOKUP($A50,Items_Master!$A$2:$L$2001,2,FALSE))</f>
      </c>
      <c r="C50" s="15">
        <f>IF($A50="","",VLOOKUP($A50,Items_Master!$A$2:$L$2001,3,FALSE))</f>
      </c>
      <c r="D50" s="16">
        <f>IF($A50="","",SUMIFS(Transactions!$G$2:$G$5001,Transactions!$C$2:$C$5001,$A50,Transactions!$E$2:$E$5001,1)-SUMIFS(Transactions!$H$2:$H$5001,Transactions!$C$2:$C$5001,$A50,Transactions!$E$2:$E$5001,1))</f>
      </c>
      <c r="E50" s="16">
        <f>IF($A50="","",SUMIFS(Transactions!$G$2:$G$5001,Transactions!$C$2:$C$5001,$A50,Transactions!$E$2:$E$5001,2)-SUMIFS(Transactions!$H$2:$H$5001,Transactions!$C$2:$C$5001,$A50,Transactions!$E$2:$E$5001,2))</f>
      </c>
      <c r="F50" s="16">
        <f>IF($A50="","",SUMIFS(Transactions!$G$2:$G$5001,Transactions!$C$2:$C$5001,$A50,Transactions!$E$2:$E$5001,3)-SUMIFS(Transactions!$H$2:$H$5001,Transactions!$C$2:$C$5001,$A50,Transactions!$E$2:$E$5001,3))</f>
      </c>
      <c r="G50" s="16">
        <f>IF($A50="","",SUM($D50:$F50))</f>
      </c>
      <c r="H50" s="16">
        <f>IF($A50="","",VLOOKUP($A50,Items_Master!$A$2:$L$2001,6,FALSE))</f>
      </c>
      <c r="I50" s="38">
        <f>IF($A50="","",IF($G50&lt;=$H50,"LOW","OK"))</f>
      </c>
      <c r="J50" s="39">
        <f>IF($A50="","",VLOOKUP($A50,Items_Master!$A$2:$L$2001,4,FALSE))</f>
      </c>
      <c r="K50" s="39">
        <f>IF($A50="","",VLOOKUP($A50,Items_Master!$A$2:$L$2001,5,FALSE))</f>
      </c>
      <c r="L50" s="39">
        <f>IF($A50="","",$G50*$J50)</f>
      </c>
      <c r="M50" s="39">
        <f>IF($A50="","",$G50*$K50)</f>
      </c>
      <c r="N50" s="16">
        <f>IF($A50="","",COUNTIF(Transactions!$C$2:$C$5001,$A50))</f>
      </c>
    </row>
    <row x14ac:dyDescent="0.25" r="51" customHeight="1" ht="17.25">
      <c r="A51" s="12">
        <f>IF(ROW()-1&lt;=COUNTA(Items_Master!$A$2:$A$2001),INDEX(Items_Master!$A$2:$A$2001,ROW()-1),"")</f>
      </c>
      <c r="B51" s="12">
        <f>IF($A51="","",VLOOKUP($A51,Items_Master!$A$2:$L$2001,2,FALSE))</f>
      </c>
      <c r="C51" s="12">
        <f>IF($A51="","",VLOOKUP($A51,Items_Master!$A$2:$L$2001,3,FALSE))</f>
      </c>
      <c r="D51" s="13">
        <f>IF($A51="","",SUMIFS(Transactions!$G$2:$G$5001,Transactions!$C$2:$C$5001,$A51,Transactions!$E$2:$E$5001,1)-SUMIFS(Transactions!$H$2:$H$5001,Transactions!$C$2:$C$5001,$A51,Transactions!$E$2:$E$5001,1))</f>
      </c>
      <c r="E51" s="13">
        <f>IF($A51="","",SUMIFS(Transactions!$G$2:$G$5001,Transactions!$C$2:$C$5001,$A51,Transactions!$E$2:$E$5001,2)-SUMIFS(Transactions!$H$2:$H$5001,Transactions!$C$2:$C$5001,$A51,Transactions!$E$2:$E$5001,2))</f>
      </c>
      <c r="F51" s="13">
        <f>IF($A51="","",SUMIFS(Transactions!$G$2:$G$5001,Transactions!$C$2:$C$5001,$A51,Transactions!$E$2:$E$5001,3)-SUMIFS(Transactions!$H$2:$H$5001,Transactions!$C$2:$C$5001,$A51,Transactions!$E$2:$E$5001,3))</f>
      </c>
      <c r="G51" s="13">
        <f>IF($A51="","",SUM($D51:$F51))</f>
      </c>
      <c r="H51" s="13">
        <f>IF($A51="","",VLOOKUP($A51,Items_Master!$A$2:$L$2001,6,FALSE))</f>
      </c>
      <c r="I51" s="40">
        <f>IF($A51="","",IF($G51&lt;=$H51,"LOW","OK"))</f>
      </c>
      <c r="J51" s="41">
        <f>IF($A51="","",VLOOKUP($A51,Items_Master!$A$2:$L$2001,4,FALSE))</f>
      </c>
      <c r="K51" s="41">
        <f>IF($A51="","",VLOOKUP($A51,Items_Master!$A$2:$L$2001,5,FALSE))</f>
      </c>
      <c r="L51" s="41">
        <f>IF($A51="","",$G51*$J51)</f>
      </c>
      <c r="M51" s="41">
        <f>IF($A51="","",$G51*$K51)</f>
      </c>
      <c r="N51" s="13">
        <f>IF($A51="","",COUNTIF(Transactions!$C$2:$C$5001,$A51))</f>
      </c>
    </row>
    <row x14ac:dyDescent="0.25" r="52" customHeight="1" ht="17.25">
      <c r="A52" s="15">
        <f>IF(ROW()-1&lt;=COUNTA(Items_Master!$A$2:$A$2001),INDEX(Items_Master!$A$2:$A$2001,ROW()-1),"")</f>
      </c>
      <c r="B52" s="15">
        <f>IF($A52="","",VLOOKUP($A52,Items_Master!$A$2:$L$2001,2,FALSE))</f>
      </c>
      <c r="C52" s="15">
        <f>IF($A52="","",VLOOKUP($A52,Items_Master!$A$2:$L$2001,3,FALSE))</f>
      </c>
      <c r="D52" s="16">
        <f>IF($A52="","",SUMIFS(Transactions!$G$2:$G$5001,Transactions!$C$2:$C$5001,$A52,Transactions!$E$2:$E$5001,1)-SUMIFS(Transactions!$H$2:$H$5001,Transactions!$C$2:$C$5001,$A52,Transactions!$E$2:$E$5001,1))</f>
      </c>
      <c r="E52" s="16">
        <f>IF($A52="","",SUMIFS(Transactions!$G$2:$G$5001,Transactions!$C$2:$C$5001,$A52,Transactions!$E$2:$E$5001,2)-SUMIFS(Transactions!$H$2:$H$5001,Transactions!$C$2:$C$5001,$A52,Transactions!$E$2:$E$5001,2))</f>
      </c>
      <c r="F52" s="16">
        <f>IF($A52="","",SUMIFS(Transactions!$G$2:$G$5001,Transactions!$C$2:$C$5001,$A52,Transactions!$E$2:$E$5001,3)-SUMIFS(Transactions!$H$2:$H$5001,Transactions!$C$2:$C$5001,$A52,Transactions!$E$2:$E$5001,3))</f>
      </c>
      <c r="G52" s="16">
        <f>IF($A52="","",SUM($D52:$F52))</f>
      </c>
      <c r="H52" s="16">
        <f>IF($A52="","",VLOOKUP($A52,Items_Master!$A$2:$L$2001,6,FALSE))</f>
      </c>
      <c r="I52" s="38">
        <f>IF($A52="","",IF($G52&lt;=$H52,"LOW","OK"))</f>
      </c>
      <c r="J52" s="39">
        <f>IF($A52="","",VLOOKUP($A52,Items_Master!$A$2:$L$2001,4,FALSE))</f>
      </c>
      <c r="K52" s="39">
        <f>IF($A52="","",VLOOKUP($A52,Items_Master!$A$2:$L$2001,5,FALSE))</f>
      </c>
      <c r="L52" s="39">
        <f>IF($A52="","",$G52*$J52)</f>
      </c>
      <c r="M52" s="39">
        <f>IF($A52="","",$G52*$K52)</f>
      </c>
      <c r="N52" s="16">
        <f>IF($A52="","",COUNTIF(Transactions!$C$2:$C$5001,$A52))</f>
      </c>
    </row>
    <row x14ac:dyDescent="0.25" r="53" customHeight="1" ht="17.25">
      <c r="A53" s="12">
        <f>IF(ROW()-1&lt;=COUNTA(Items_Master!$A$2:$A$2001),INDEX(Items_Master!$A$2:$A$2001,ROW()-1),"")</f>
      </c>
      <c r="B53" s="12">
        <f>IF($A53="","",VLOOKUP($A53,Items_Master!$A$2:$L$2001,2,FALSE))</f>
      </c>
      <c r="C53" s="12">
        <f>IF($A53="","",VLOOKUP($A53,Items_Master!$A$2:$L$2001,3,FALSE))</f>
      </c>
      <c r="D53" s="13">
        <f>IF($A53="","",SUMIFS(Transactions!$G$2:$G$5001,Transactions!$C$2:$C$5001,$A53,Transactions!$E$2:$E$5001,1)-SUMIFS(Transactions!$H$2:$H$5001,Transactions!$C$2:$C$5001,$A53,Transactions!$E$2:$E$5001,1))</f>
      </c>
      <c r="E53" s="13">
        <f>IF($A53="","",SUMIFS(Transactions!$G$2:$G$5001,Transactions!$C$2:$C$5001,$A53,Transactions!$E$2:$E$5001,2)-SUMIFS(Transactions!$H$2:$H$5001,Transactions!$C$2:$C$5001,$A53,Transactions!$E$2:$E$5001,2))</f>
      </c>
      <c r="F53" s="13">
        <f>IF($A53="","",SUMIFS(Transactions!$G$2:$G$5001,Transactions!$C$2:$C$5001,$A53,Transactions!$E$2:$E$5001,3)-SUMIFS(Transactions!$H$2:$H$5001,Transactions!$C$2:$C$5001,$A53,Transactions!$E$2:$E$5001,3))</f>
      </c>
      <c r="G53" s="13">
        <f>IF($A53="","",SUM($D53:$F53))</f>
      </c>
      <c r="H53" s="13">
        <f>IF($A53="","",VLOOKUP($A53,Items_Master!$A$2:$L$2001,6,FALSE))</f>
      </c>
      <c r="I53" s="40">
        <f>IF($A53="","",IF($G53&lt;=$H53,"LOW","OK"))</f>
      </c>
      <c r="J53" s="41">
        <f>IF($A53="","",VLOOKUP($A53,Items_Master!$A$2:$L$2001,4,FALSE))</f>
      </c>
      <c r="K53" s="41">
        <f>IF($A53="","",VLOOKUP($A53,Items_Master!$A$2:$L$2001,5,FALSE))</f>
      </c>
      <c r="L53" s="41">
        <f>IF($A53="","",$G53*$J53)</f>
      </c>
      <c r="M53" s="41">
        <f>IF($A53="","",$G53*$K53)</f>
      </c>
      <c r="N53" s="13">
        <f>IF($A53="","",COUNTIF(Transactions!$C$2:$C$5001,$A53))</f>
      </c>
    </row>
    <row x14ac:dyDescent="0.25" r="54" customHeight="1" ht="17.25">
      <c r="A54" s="15">
        <f>IF(ROW()-1&lt;=COUNTA(Items_Master!$A$2:$A$2001),INDEX(Items_Master!$A$2:$A$2001,ROW()-1),"")</f>
      </c>
      <c r="B54" s="15">
        <f>IF($A54="","",VLOOKUP($A54,Items_Master!$A$2:$L$2001,2,FALSE))</f>
      </c>
      <c r="C54" s="15">
        <f>IF($A54="","",VLOOKUP($A54,Items_Master!$A$2:$L$2001,3,FALSE))</f>
      </c>
      <c r="D54" s="16">
        <f>IF($A54="","",SUMIFS(Transactions!$G$2:$G$5001,Transactions!$C$2:$C$5001,$A54,Transactions!$E$2:$E$5001,1)-SUMIFS(Transactions!$H$2:$H$5001,Transactions!$C$2:$C$5001,$A54,Transactions!$E$2:$E$5001,1))</f>
      </c>
      <c r="E54" s="16">
        <f>IF($A54="","",SUMIFS(Transactions!$G$2:$G$5001,Transactions!$C$2:$C$5001,$A54,Transactions!$E$2:$E$5001,2)-SUMIFS(Transactions!$H$2:$H$5001,Transactions!$C$2:$C$5001,$A54,Transactions!$E$2:$E$5001,2))</f>
      </c>
      <c r="F54" s="16">
        <f>IF($A54="","",SUMIFS(Transactions!$G$2:$G$5001,Transactions!$C$2:$C$5001,$A54,Transactions!$E$2:$E$5001,3)-SUMIFS(Transactions!$H$2:$H$5001,Transactions!$C$2:$C$5001,$A54,Transactions!$E$2:$E$5001,3))</f>
      </c>
      <c r="G54" s="16">
        <f>IF($A54="","",SUM($D54:$F54))</f>
      </c>
      <c r="H54" s="16">
        <f>IF($A54="","",VLOOKUP($A54,Items_Master!$A$2:$L$2001,6,FALSE))</f>
      </c>
      <c r="I54" s="38">
        <f>IF($A54="","",IF($G54&lt;=$H54,"LOW","OK"))</f>
      </c>
      <c r="J54" s="39">
        <f>IF($A54="","",VLOOKUP($A54,Items_Master!$A$2:$L$2001,4,FALSE))</f>
      </c>
      <c r="K54" s="39">
        <f>IF($A54="","",VLOOKUP($A54,Items_Master!$A$2:$L$2001,5,FALSE))</f>
      </c>
      <c r="L54" s="39">
        <f>IF($A54="","",$G54*$J54)</f>
      </c>
      <c r="M54" s="39">
        <f>IF($A54="","",$G54*$K54)</f>
      </c>
      <c r="N54" s="16">
        <f>IF($A54="","",COUNTIF(Transactions!$C$2:$C$5001,$A54))</f>
      </c>
    </row>
    <row x14ac:dyDescent="0.25" r="55" customHeight="1" ht="17.25">
      <c r="A55" s="12">
        <f>IF(ROW()-1&lt;=COUNTA(Items_Master!$A$2:$A$2001),INDEX(Items_Master!$A$2:$A$2001,ROW()-1),"")</f>
      </c>
      <c r="B55" s="12">
        <f>IF($A55="","",VLOOKUP($A55,Items_Master!$A$2:$L$2001,2,FALSE))</f>
      </c>
      <c r="C55" s="12">
        <f>IF($A55="","",VLOOKUP($A55,Items_Master!$A$2:$L$2001,3,FALSE))</f>
      </c>
      <c r="D55" s="13">
        <f>IF($A55="","",SUMIFS(Transactions!$G$2:$G$5001,Transactions!$C$2:$C$5001,$A55,Transactions!$E$2:$E$5001,1)-SUMIFS(Transactions!$H$2:$H$5001,Transactions!$C$2:$C$5001,$A55,Transactions!$E$2:$E$5001,1))</f>
      </c>
      <c r="E55" s="13">
        <f>IF($A55="","",SUMIFS(Transactions!$G$2:$G$5001,Transactions!$C$2:$C$5001,$A55,Transactions!$E$2:$E$5001,2)-SUMIFS(Transactions!$H$2:$H$5001,Transactions!$C$2:$C$5001,$A55,Transactions!$E$2:$E$5001,2))</f>
      </c>
      <c r="F55" s="13">
        <f>IF($A55="","",SUMIFS(Transactions!$G$2:$G$5001,Transactions!$C$2:$C$5001,$A55,Transactions!$E$2:$E$5001,3)-SUMIFS(Transactions!$H$2:$H$5001,Transactions!$C$2:$C$5001,$A55,Transactions!$E$2:$E$5001,3))</f>
      </c>
      <c r="G55" s="13">
        <f>IF($A55="","",SUM($D55:$F55))</f>
      </c>
      <c r="H55" s="13">
        <f>IF($A55="","",VLOOKUP($A55,Items_Master!$A$2:$L$2001,6,FALSE))</f>
      </c>
      <c r="I55" s="40">
        <f>IF($A55="","",IF($G55&lt;=$H55,"LOW","OK"))</f>
      </c>
      <c r="J55" s="41">
        <f>IF($A55="","",VLOOKUP($A55,Items_Master!$A$2:$L$2001,4,FALSE))</f>
      </c>
      <c r="K55" s="41">
        <f>IF($A55="","",VLOOKUP($A55,Items_Master!$A$2:$L$2001,5,FALSE))</f>
      </c>
      <c r="L55" s="41">
        <f>IF($A55="","",$G55*$J55)</f>
      </c>
      <c r="M55" s="41">
        <f>IF($A55="","",$G55*$K55)</f>
      </c>
      <c r="N55" s="13">
        <f>IF($A55="","",COUNTIF(Transactions!$C$2:$C$5001,$A55))</f>
      </c>
    </row>
    <row x14ac:dyDescent="0.25" r="56" customHeight="1" ht="17.25">
      <c r="A56" s="15">
        <f>IF(ROW()-1&lt;=COUNTA(Items_Master!$A$2:$A$2001),INDEX(Items_Master!$A$2:$A$2001,ROW()-1),"")</f>
      </c>
      <c r="B56" s="15">
        <f>IF($A56="","",VLOOKUP($A56,Items_Master!$A$2:$L$2001,2,FALSE))</f>
      </c>
      <c r="C56" s="15">
        <f>IF($A56="","",VLOOKUP($A56,Items_Master!$A$2:$L$2001,3,FALSE))</f>
      </c>
      <c r="D56" s="16">
        <f>IF($A56="","",SUMIFS(Transactions!$G$2:$G$5001,Transactions!$C$2:$C$5001,$A56,Transactions!$E$2:$E$5001,1)-SUMIFS(Transactions!$H$2:$H$5001,Transactions!$C$2:$C$5001,$A56,Transactions!$E$2:$E$5001,1))</f>
      </c>
      <c r="E56" s="16">
        <f>IF($A56="","",SUMIFS(Transactions!$G$2:$G$5001,Transactions!$C$2:$C$5001,$A56,Transactions!$E$2:$E$5001,2)-SUMIFS(Transactions!$H$2:$H$5001,Transactions!$C$2:$C$5001,$A56,Transactions!$E$2:$E$5001,2))</f>
      </c>
      <c r="F56" s="16">
        <f>IF($A56="","",SUMIFS(Transactions!$G$2:$G$5001,Transactions!$C$2:$C$5001,$A56,Transactions!$E$2:$E$5001,3)-SUMIFS(Transactions!$H$2:$H$5001,Transactions!$C$2:$C$5001,$A56,Transactions!$E$2:$E$5001,3))</f>
      </c>
      <c r="G56" s="16">
        <f>IF($A56="","",SUM($D56:$F56))</f>
      </c>
      <c r="H56" s="16">
        <f>IF($A56="","",VLOOKUP($A56,Items_Master!$A$2:$L$2001,6,FALSE))</f>
      </c>
      <c r="I56" s="38">
        <f>IF($A56="","",IF($G56&lt;=$H56,"LOW","OK"))</f>
      </c>
      <c r="J56" s="39">
        <f>IF($A56="","",VLOOKUP($A56,Items_Master!$A$2:$L$2001,4,FALSE))</f>
      </c>
      <c r="K56" s="39">
        <f>IF($A56="","",VLOOKUP($A56,Items_Master!$A$2:$L$2001,5,FALSE))</f>
      </c>
      <c r="L56" s="39">
        <f>IF($A56="","",$G56*$J56)</f>
      </c>
      <c r="M56" s="39">
        <f>IF($A56="","",$G56*$K56)</f>
      </c>
      <c r="N56" s="16">
        <f>IF($A56="","",COUNTIF(Transactions!$C$2:$C$5001,$A56))</f>
      </c>
    </row>
    <row x14ac:dyDescent="0.25" r="57" customHeight="1" ht="17.25">
      <c r="A57" s="12">
        <f>IF(ROW()-1&lt;=COUNTA(Items_Master!$A$2:$A$2001),INDEX(Items_Master!$A$2:$A$2001,ROW()-1),"")</f>
      </c>
      <c r="B57" s="12">
        <f>IF($A57="","",VLOOKUP($A57,Items_Master!$A$2:$L$2001,2,FALSE))</f>
      </c>
      <c r="C57" s="12">
        <f>IF($A57="","",VLOOKUP($A57,Items_Master!$A$2:$L$2001,3,FALSE))</f>
      </c>
      <c r="D57" s="13">
        <f>IF($A57="","",SUMIFS(Transactions!$G$2:$G$5001,Transactions!$C$2:$C$5001,$A57,Transactions!$E$2:$E$5001,1)-SUMIFS(Transactions!$H$2:$H$5001,Transactions!$C$2:$C$5001,$A57,Transactions!$E$2:$E$5001,1))</f>
      </c>
      <c r="E57" s="13">
        <f>IF($A57="","",SUMIFS(Transactions!$G$2:$G$5001,Transactions!$C$2:$C$5001,$A57,Transactions!$E$2:$E$5001,2)-SUMIFS(Transactions!$H$2:$H$5001,Transactions!$C$2:$C$5001,$A57,Transactions!$E$2:$E$5001,2))</f>
      </c>
      <c r="F57" s="13">
        <f>IF($A57="","",SUMIFS(Transactions!$G$2:$G$5001,Transactions!$C$2:$C$5001,$A57,Transactions!$E$2:$E$5001,3)-SUMIFS(Transactions!$H$2:$H$5001,Transactions!$C$2:$C$5001,$A57,Transactions!$E$2:$E$5001,3))</f>
      </c>
      <c r="G57" s="13">
        <f>IF($A57="","",SUM($D57:$F57))</f>
      </c>
      <c r="H57" s="13">
        <f>IF($A57="","",VLOOKUP($A57,Items_Master!$A$2:$L$2001,6,FALSE))</f>
      </c>
      <c r="I57" s="40">
        <f>IF($A57="","",IF($G57&lt;=$H57,"LOW","OK"))</f>
      </c>
      <c r="J57" s="41">
        <f>IF($A57="","",VLOOKUP($A57,Items_Master!$A$2:$L$2001,4,FALSE))</f>
      </c>
      <c r="K57" s="41">
        <f>IF($A57="","",VLOOKUP($A57,Items_Master!$A$2:$L$2001,5,FALSE))</f>
      </c>
      <c r="L57" s="41">
        <f>IF($A57="","",$G57*$J57)</f>
      </c>
      <c r="M57" s="41">
        <f>IF($A57="","",$G57*$K57)</f>
      </c>
      <c r="N57" s="13">
        <f>IF($A57="","",COUNTIF(Transactions!$C$2:$C$5001,$A57))</f>
      </c>
    </row>
    <row x14ac:dyDescent="0.25" r="58" customHeight="1" ht="17.25">
      <c r="A58" s="15">
        <f>IF(ROW()-1&lt;=COUNTA(Items_Master!$A$2:$A$2001),INDEX(Items_Master!$A$2:$A$2001,ROW()-1),"")</f>
      </c>
      <c r="B58" s="15">
        <f>IF($A58="","",VLOOKUP($A58,Items_Master!$A$2:$L$2001,2,FALSE))</f>
      </c>
      <c r="C58" s="15">
        <f>IF($A58="","",VLOOKUP($A58,Items_Master!$A$2:$L$2001,3,FALSE))</f>
      </c>
      <c r="D58" s="16">
        <f>IF($A58="","",SUMIFS(Transactions!$G$2:$G$5001,Transactions!$C$2:$C$5001,$A58,Transactions!$E$2:$E$5001,1)-SUMIFS(Transactions!$H$2:$H$5001,Transactions!$C$2:$C$5001,$A58,Transactions!$E$2:$E$5001,1))</f>
      </c>
      <c r="E58" s="16">
        <f>IF($A58="","",SUMIFS(Transactions!$G$2:$G$5001,Transactions!$C$2:$C$5001,$A58,Transactions!$E$2:$E$5001,2)-SUMIFS(Transactions!$H$2:$H$5001,Transactions!$C$2:$C$5001,$A58,Transactions!$E$2:$E$5001,2))</f>
      </c>
      <c r="F58" s="16">
        <f>IF($A58="","",SUMIFS(Transactions!$G$2:$G$5001,Transactions!$C$2:$C$5001,$A58,Transactions!$E$2:$E$5001,3)-SUMIFS(Transactions!$H$2:$H$5001,Transactions!$C$2:$C$5001,$A58,Transactions!$E$2:$E$5001,3))</f>
      </c>
      <c r="G58" s="16">
        <f>IF($A58="","",SUM($D58:$F58))</f>
      </c>
      <c r="H58" s="16">
        <f>IF($A58="","",VLOOKUP($A58,Items_Master!$A$2:$L$2001,6,FALSE))</f>
      </c>
      <c r="I58" s="38">
        <f>IF($A58="","",IF($G58&lt;=$H58,"LOW","OK"))</f>
      </c>
      <c r="J58" s="39">
        <f>IF($A58="","",VLOOKUP($A58,Items_Master!$A$2:$L$2001,4,FALSE))</f>
      </c>
      <c r="K58" s="39">
        <f>IF($A58="","",VLOOKUP($A58,Items_Master!$A$2:$L$2001,5,FALSE))</f>
      </c>
      <c r="L58" s="39">
        <f>IF($A58="","",$G58*$J58)</f>
      </c>
      <c r="M58" s="39">
        <f>IF($A58="","",$G58*$K58)</f>
      </c>
      <c r="N58" s="16">
        <f>IF($A58="","",COUNTIF(Transactions!$C$2:$C$5001,$A58))</f>
      </c>
    </row>
    <row x14ac:dyDescent="0.25" r="59" customHeight="1" ht="17.25">
      <c r="A59" s="12">
        <f>IF(ROW()-1&lt;=COUNTA(Items_Master!$A$2:$A$2001),INDEX(Items_Master!$A$2:$A$2001,ROW()-1),"")</f>
      </c>
      <c r="B59" s="12">
        <f>IF($A59="","",VLOOKUP($A59,Items_Master!$A$2:$L$2001,2,FALSE))</f>
      </c>
      <c r="C59" s="12">
        <f>IF($A59="","",VLOOKUP($A59,Items_Master!$A$2:$L$2001,3,FALSE))</f>
      </c>
      <c r="D59" s="13">
        <f>IF($A59="","",SUMIFS(Transactions!$G$2:$G$5001,Transactions!$C$2:$C$5001,$A59,Transactions!$E$2:$E$5001,1)-SUMIFS(Transactions!$H$2:$H$5001,Transactions!$C$2:$C$5001,$A59,Transactions!$E$2:$E$5001,1))</f>
      </c>
      <c r="E59" s="13">
        <f>IF($A59="","",SUMIFS(Transactions!$G$2:$G$5001,Transactions!$C$2:$C$5001,$A59,Transactions!$E$2:$E$5001,2)-SUMIFS(Transactions!$H$2:$H$5001,Transactions!$C$2:$C$5001,$A59,Transactions!$E$2:$E$5001,2))</f>
      </c>
      <c r="F59" s="13">
        <f>IF($A59="","",SUMIFS(Transactions!$G$2:$G$5001,Transactions!$C$2:$C$5001,$A59,Transactions!$E$2:$E$5001,3)-SUMIFS(Transactions!$H$2:$H$5001,Transactions!$C$2:$C$5001,$A59,Transactions!$E$2:$E$5001,3))</f>
      </c>
      <c r="G59" s="13">
        <f>IF($A59="","",SUM($D59:$F59))</f>
      </c>
      <c r="H59" s="13">
        <f>IF($A59="","",VLOOKUP($A59,Items_Master!$A$2:$L$2001,6,FALSE))</f>
      </c>
      <c r="I59" s="40">
        <f>IF($A59="","",IF($G59&lt;=$H59,"LOW","OK"))</f>
      </c>
      <c r="J59" s="41">
        <f>IF($A59="","",VLOOKUP($A59,Items_Master!$A$2:$L$2001,4,FALSE))</f>
      </c>
      <c r="K59" s="41">
        <f>IF($A59="","",VLOOKUP($A59,Items_Master!$A$2:$L$2001,5,FALSE))</f>
      </c>
      <c r="L59" s="41">
        <f>IF($A59="","",$G59*$J59)</f>
      </c>
      <c r="M59" s="41">
        <f>IF($A59="","",$G59*$K59)</f>
      </c>
      <c r="N59" s="13">
        <f>IF($A59="","",COUNTIF(Transactions!$C$2:$C$5001,$A59))</f>
      </c>
    </row>
    <row x14ac:dyDescent="0.25" r="60" customHeight="1" ht="17.25">
      <c r="A60" s="15">
        <f>IF(ROW()-1&lt;=COUNTA(Items_Master!$A$2:$A$2001),INDEX(Items_Master!$A$2:$A$2001,ROW()-1),"")</f>
      </c>
      <c r="B60" s="15">
        <f>IF($A60="","",VLOOKUP($A60,Items_Master!$A$2:$L$2001,2,FALSE))</f>
      </c>
      <c r="C60" s="15">
        <f>IF($A60="","",VLOOKUP($A60,Items_Master!$A$2:$L$2001,3,FALSE))</f>
      </c>
      <c r="D60" s="16">
        <f>IF($A60="","",SUMIFS(Transactions!$G$2:$G$5001,Transactions!$C$2:$C$5001,$A60,Transactions!$E$2:$E$5001,1)-SUMIFS(Transactions!$H$2:$H$5001,Transactions!$C$2:$C$5001,$A60,Transactions!$E$2:$E$5001,1))</f>
      </c>
      <c r="E60" s="16">
        <f>IF($A60="","",SUMIFS(Transactions!$G$2:$G$5001,Transactions!$C$2:$C$5001,$A60,Transactions!$E$2:$E$5001,2)-SUMIFS(Transactions!$H$2:$H$5001,Transactions!$C$2:$C$5001,$A60,Transactions!$E$2:$E$5001,2))</f>
      </c>
      <c r="F60" s="16">
        <f>IF($A60="","",SUMIFS(Transactions!$G$2:$G$5001,Transactions!$C$2:$C$5001,$A60,Transactions!$E$2:$E$5001,3)-SUMIFS(Transactions!$H$2:$H$5001,Transactions!$C$2:$C$5001,$A60,Transactions!$E$2:$E$5001,3))</f>
      </c>
      <c r="G60" s="16">
        <f>IF($A60="","",SUM($D60:$F60))</f>
      </c>
      <c r="H60" s="16">
        <f>IF($A60="","",VLOOKUP($A60,Items_Master!$A$2:$L$2001,6,FALSE))</f>
      </c>
      <c r="I60" s="38">
        <f>IF($A60="","",IF($G60&lt;=$H60,"LOW","OK"))</f>
      </c>
      <c r="J60" s="39">
        <f>IF($A60="","",VLOOKUP($A60,Items_Master!$A$2:$L$2001,4,FALSE))</f>
      </c>
      <c r="K60" s="39">
        <f>IF($A60="","",VLOOKUP($A60,Items_Master!$A$2:$L$2001,5,FALSE))</f>
      </c>
      <c r="L60" s="39">
        <f>IF($A60="","",$G60*$J60)</f>
      </c>
      <c r="M60" s="39">
        <f>IF($A60="","",$G60*$K60)</f>
      </c>
      <c r="N60" s="16">
        <f>IF($A60="","",COUNTIF(Transactions!$C$2:$C$5001,$A60))</f>
      </c>
    </row>
    <row x14ac:dyDescent="0.25" r="61" customHeight="1" ht="17.25">
      <c r="A61" s="12">
        <f>IF(ROW()-1&lt;=COUNTA(Items_Master!$A$2:$A$2001),INDEX(Items_Master!$A$2:$A$2001,ROW()-1),"")</f>
      </c>
      <c r="B61" s="12">
        <f>IF($A61="","",VLOOKUP($A61,Items_Master!$A$2:$L$2001,2,FALSE))</f>
      </c>
      <c r="C61" s="12">
        <f>IF($A61="","",VLOOKUP($A61,Items_Master!$A$2:$L$2001,3,FALSE))</f>
      </c>
      <c r="D61" s="13">
        <f>IF($A61="","",SUMIFS(Transactions!$G$2:$G$5001,Transactions!$C$2:$C$5001,$A61,Transactions!$E$2:$E$5001,1)-SUMIFS(Transactions!$H$2:$H$5001,Transactions!$C$2:$C$5001,$A61,Transactions!$E$2:$E$5001,1))</f>
      </c>
      <c r="E61" s="13">
        <f>IF($A61="","",SUMIFS(Transactions!$G$2:$G$5001,Transactions!$C$2:$C$5001,$A61,Transactions!$E$2:$E$5001,2)-SUMIFS(Transactions!$H$2:$H$5001,Transactions!$C$2:$C$5001,$A61,Transactions!$E$2:$E$5001,2))</f>
      </c>
      <c r="F61" s="13">
        <f>IF($A61="","",SUMIFS(Transactions!$G$2:$G$5001,Transactions!$C$2:$C$5001,$A61,Transactions!$E$2:$E$5001,3)-SUMIFS(Transactions!$H$2:$H$5001,Transactions!$C$2:$C$5001,$A61,Transactions!$E$2:$E$5001,3))</f>
      </c>
      <c r="G61" s="13">
        <f>IF($A61="","",SUM($D61:$F61))</f>
      </c>
      <c r="H61" s="13">
        <f>IF($A61="","",VLOOKUP($A61,Items_Master!$A$2:$L$2001,6,FALSE))</f>
      </c>
      <c r="I61" s="40">
        <f>IF($A61="","",IF($G61&lt;=$H61,"LOW","OK"))</f>
      </c>
      <c r="J61" s="41">
        <f>IF($A61="","",VLOOKUP($A61,Items_Master!$A$2:$L$2001,4,FALSE))</f>
      </c>
      <c r="K61" s="41">
        <f>IF($A61="","",VLOOKUP($A61,Items_Master!$A$2:$L$2001,5,FALSE))</f>
      </c>
      <c r="L61" s="41">
        <f>IF($A61="","",$G61*$J61)</f>
      </c>
      <c r="M61" s="41">
        <f>IF($A61="","",$G61*$K61)</f>
      </c>
      <c r="N61" s="13">
        <f>IF($A61="","",COUNTIF(Transactions!$C$2:$C$5001,$A61))</f>
      </c>
    </row>
    <row x14ac:dyDescent="0.25" r="62" customHeight="1" ht="17.25">
      <c r="A62" s="15">
        <f>IF(ROW()-1&lt;=COUNTA(Items_Master!$A$2:$A$2001),INDEX(Items_Master!$A$2:$A$2001,ROW()-1),"")</f>
      </c>
      <c r="B62" s="15">
        <f>IF($A62="","",VLOOKUP($A62,Items_Master!$A$2:$L$2001,2,FALSE))</f>
      </c>
      <c r="C62" s="15">
        <f>IF($A62="","",VLOOKUP($A62,Items_Master!$A$2:$L$2001,3,FALSE))</f>
      </c>
      <c r="D62" s="16">
        <f>IF($A62="","",SUMIFS(Transactions!$G$2:$G$5001,Transactions!$C$2:$C$5001,$A62,Transactions!$E$2:$E$5001,1)-SUMIFS(Transactions!$H$2:$H$5001,Transactions!$C$2:$C$5001,$A62,Transactions!$E$2:$E$5001,1))</f>
      </c>
      <c r="E62" s="16">
        <f>IF($A62="","",SUMIFS(Transactions!$G$2:$G$5001,Transactions!$C$2:$C$5001,$A62,Transactions!$E$2:$E$5001,2)-SUMIFS(Transactions!$H$2:$H$5001,Transactions!$C$2:$C$5001,$A62,Transactions!$E$2:$E$5001,2))</f>
      </c>
      <c r="F62" s="16">
        <f>IF($A62="","",SUMIFS(Transactions!$G$2:$G$5001,Transactions!$C$2:$C$5001,$A62,Transactions!$E$2:$E$5001,3)-SUMIFS(Transactions!$H$2:$H$5001,Transactions!$C$2:$C$5001,$A62,Transactions!$E$2:$E$5001,3))</f>
      </c>
      <c r="G62" s="16">
        <f>IF($A62="","",SUM($D62:$F62))</f>
      </c>
      <c r="H62" s="16">
        <f>IF($A62="","",VLOOKUP($A62,Items_Master!$A$2:$L$2001,6,FALSE))</f>
      </c>
      <c r="I62" s="38">
        <f>IF($A62="","",IF($G62&lt;=$H62,"LOW","OK"))</f>
      </c>
      <c r="J62" s="39">
        <f>IF($A62="","",VLOOKUP($A62,Items_Master!$A$2:$L$2001,4,FALSE))</f>
      </c>
      <c r="K62" s="39">
        <f>IF($A62="","",VLOOKUP($A62,Items_Master!$A$2:$L$2001,5,FALSE))</f>
      </c>
      <c r="L62" s="39">
        <f>IF($A62="","",$G62*$J62)</f>
      </c>
      <c r="M62" s="39">
        <f>IF($A62="","",$G62*$K62)</f>
      </c>
      <c r="N62" s="16">
        <f>IF($A62="","",COUNTIF(Transactions!$C$2:$C$5001,$A62))</f>
      </c>
    </row>
    <row x14ac:dyDescent="0.25" r="63" customHeight="1" ht="17.25">
      <c r="A63" s="12">
        <f>IF(ROW()-1&lt;=COUNTA(Items_Master!$A$2:$A$2001),INDEX(Items_Master!$A$2:$A$2001,ROW()-1),"")</f>
      </c>
      <c r="B63" s="12">
        <f>IF($A63="","",VLOOKUP($A63,Items_Master!$A$2:$L$2001,2,FALSE))</f>
      </c>
      <c r="C63" s="12">
        <f>IF($A63="","",VLOOKUP($A63,Items_Master!$A$2:$L$2001,3,FALSE))</f>
      </c>
      <c r="D63" s="13">
        <f>IF($A63="","",SUMIFS(Transactions!$G$2:$G$5001,Transactions!$C$2:$C$5001,$A63,Transactions!$E$2:$E$5001,1)-SUMIFS(Transactions!$H$2:$H$5001,Transactions!$C$2:$C$5001,$A63,Transactions!$E$2:$E$5001,1))</f>
      </c>
      <c r="E63" s="13">
        <f>IF($A63="","",SUMIFS(Transactions!$G$2:$G$5001,Transactions!$C$2:$C$5001,$A63,Transactions!$E$2:$E$5001,2)-SUMIFS(Transactions!$H$2:$H$5001,Transactions!$C$2:$C$5001,$A63,Transactions!$E$2:$E$5001,2))</f>
      </c>
      <c r="F63" s="13">
        <f>IF($A63="","",SUMIFS(Transactions!$G$2:$G$5001,Transactions!$C$2:$C$5001,$A63,Transactions!$E$2:$E$5001,3)-SUMIFS(Transactions!$H$2:$H$5001,Transactions!$C$2:$C$5001,$A63,Transactions!$E$2:$E$5001,3))</f>
      </c>
      <c r="G63" s="13">
        <f>IF($A63="","",SUM($D63:$F63))</f>
      </c>
      <c r="H63" s="13">
        <f>IF($A63="","",VLOOKUP($A63,Items_Master!$A$2:$L$2001,6,FALSE))</f>
      </c>
      <c r="I63" s="40">
        <f>IF($A63="","",IF($G63&lt;=$H63,"LOW","OK"))</f>
      </c>
      <c r="J63" s="41">
        <f>IF($A63="","",VLOOKUP($A63,Items_Master!$A$2:$L$2001,4,FALSE))</f>
      </c>
      <c r="K63" s="41">
        <f>IF($A63="","",VLOOKUP($A63,Items_Master!$A$2:$L$2001,5,FALSE))</f>
      </c>
      <c r="L63" s="41">
        <f>IF($A63="","",$G63*$J63)</f>
      </c>
      <c r="M63" s="41">
        <f>IF($A63="","",$G63*$K63)</f>
      </c>
      <c r="N63" s="13">
        <f>IF($A63="","",COUNTIF(Transactions!$C$2:$C$5001,$A63))</f>
      </c>
    </row>
    <row x14ac:dyDescent="0.25" r="64" customHeight="1" ht="17.25">
      <c r="A64" s="15">
        <f>IF(ROW()-1&lt;=COUNTA(Items_Master!$A$2:$A$2001),INDEX(Items_Master!$A$2:$A$2001,ROW()-1),"")</f>
      </c>
      <c r="B64" s="15">
        <f>IF($A64="","",VLOOKUP($A64,Items_Master!$A$2:$L$2001,2,FALSE))</f>
      </c>
      <c r="C64" s="15">
        <f>IF($A64="","",VLOOKUP($A64,Items_Master!$A$2:$L$2001,3,FALSE))</f>
      </c>
      <c r="D64" s="16">
        <f>IF($A64="","",SUMIFS(Transactions!$G$2:$G$5001,Transactions!$C$2:$C$5001,$A64,Transactions!$E$2:$E$5001,1)-SUMIFS(Transactions!$H$2:$H$5001,Transactions!$C$2:$C$5001,$A64,Transactions!$E$2:$E$5001,1))</f>
      </c>
      <c r="E64" s="16">
        <f>IF($A64="","",SUMIFS(Transactions!$G$2:$G$5001,Transactions!$C$2:$C$5001,$A64,Transactions!$E$2:$E$5001,2)-SUMIFS(Transactions!$H$2:$H$5001,Transactions!$C$2:$C$5001,$A64,Transactions!$E$2:$E$5001,2))</f>
      </c>
      <c r="F64" s="16">
        <f>IF($A64="","",SUMIFS(Transactions!$G$2:$G$5001,Transactions!$C$2:$C$5001,$A64,Transactions!$E$2:$E$5001,3)-SUMIFS(Transactions!$H$2:$H$5001,Transactions!$C$2:$C$5001,$A64,Transactions!$E$2:$E$5001,3))</f>
      </c>
      <c r="G64" s="16">
        <f>IF($A64="","",SUM($D64:$F64))</f>
      </c>
      <c r="H64" s="16">
        <f>IF($A64="","",VLOOKUP($A64,Items_Master!$A$2:$L$2001,6,FALSE))</f>
      </c>
      <c r="I64" s="38">
        <f>IF($A64="","",IF($G64&lt;=$H64,"LOW","OK"))</f>
      </c>
      <c r="J64" s="39">
        <f>IF($A64="","",VLOOKUP($A64,Items_Master!$A$2:$L$2001,4,FALSE))</f>
      </c>
      <c r="K64" s="39">
        <f>IF($A64="","",VLOOKUP($A64,Items_Master!$A$2:$L$2001,5,FALSE))</f>
      </c>
      <c r="L64" s="39">
        <f>IF($A64="","",$G64*$J64)</f>
      </c>
      <c r="M64" s="39">
        <f>IF($A64="","",$G64*$K64)</f>
      </c>
      <c r="N64" s="16">
        <f>IF($A64="","",COUNTIF(Transactions!$C$2:$C$5001,$A64))</f>
      </c>
    </row>
    <row x14ac:dyDescent="0.25" r="65" customHeight="1" ht="17.25">
      <c r="A65" s="12">
        <f>IF(ROW()-1&lt;=COUNTA(Items_Master!$A$2:$A$2001),INDEX(Items_Master!$A$2:$A$2001,ROW()-1),"")</f>
      </c>
      <c r="B65" s="12">
        <f>IF($A65="","",VLOOKUP($A65,Items_Master!$A$2:$L$2001,2,FALSE))</f>
      </c>
      <c r="C65" s="12">
        <f>IF($A65="","",VLOOKUP($A65,Items_Master!$A$2:$L$2001,3,FALSE))</f>
      </c>
      <c r="D65" s="13">
        <f>IF($A65="","",SUMIFS(Transactions!$G$2:$G$5001,Transactions!$C$2:$C$5001,$A65,Transactions!$E$2:$E$5001,1)-SUMIFS(Transactions!$H$2:$H$5001,Transactions!$C$2:$C$5001,$A65,Transactions!$E$2:$E$5001,1))</f>
      </c>
      <c r="E65" s="13">
        <f>IF($A65="","",SUMIFS(Transactions!$G$2:$G$5001,Transactions!$C$2:$C$5001,$A65,Transactions!$E$2:$E$5001,2)-SUMIFS(Transactions!$H$2:$H$5001,Transactions!$C$2:$C$5001,$A65,Transactions!$E$2:$E$5001,2))</f>
      </c>
      <c r="F65" s="13">
        <f>IF($A65="","",SUMIFS(Transactions!$G$2:$G$5001,Transactions!$C$2:$C$5001,$A65,Transactions!$E$2:$E$5001,3)-SUMIFS(Transactions!$H$2:$H$5001,Transactions!$C$2:$C$5001,$A65,Transactions!$E$2:$E$5001,3))</f>
      </c>
      <c r="G65" s="13">
        <f>IF($A65="","",SUM($D65:$F65))</f>
      </c>
      <c r="H65" s="13">
        <f>IF($A65="","",VLOOKUP($A65,Items_Master!$A$2:$L$2001,6,FALSE))</f>
      </c>
      <c r="I65" s="40">
        <f>IF($A65="","",IF($G65&lt;=$H65,"LOW","OK"))</f>
      </c>
      <c r="J65" s="41">
        <f>IF($A65="","",VLOOKUP($A65,Items_Master!$A$2:$L$2001,4,FALSE))</f>
      </c>
      <c r="K65" s="41">
        <f>IF($A65="","",VLOOKUP($A65,Items_Master!$A$2:$L$2001,5,FALSE))</f>
      </c>
      <c r="L65" s="41">
        <f>IF($A65="","",$G65*$J65)</f>
      </c>
      <c r="M65" s="41">
        <f>IF($A65="","",$G65*$K65)</f>
      </c>
      <c r="N65" s="13">
        <f>IF($A65="","",COUNTIF(Transactions!$C$2:$C$5001,$A65))</f>
      </c>
    </row>
    <row x14ac:dyDescent="0.25" r="66" customHeight="1" ht="17.25">
      <c r="A66" s="15">
        <f>IF(ROW()-1&lt;=COUNTA(Items_Master!$A$2:$A$2001),INDEX(Items_Master!$A$2:$A$2001,ROW()-1),"")</f>
      </c>
      <c r="B66" s="15">
        <f>IF($A66="","",VLOOKUP($A66,Items_Master!$A$2:$L$2001,2,FALSE))</f>
      </c>
      <c r="C66" s="15">
        <f>IF($A66="","",VLOOKUP($A66,Items_Master!$A$2:$L$2001,3,FALSE))</f>
      </c>
      <c r="D66" s="16">
        <f>IF($A66="","",SUMIFS(Transactions!$G$2:$G$5001,Transactions!$C$2:$C$5001,$A66,Transactions!$E$2:$E$5001,1)-SUMIFS(Transactions!$H$2:$H$5001,Transactions!$C$2:$C$5001,$A66,Transactions!$E$2:$E$5001,1))</f>
      </c>
      <c r="E66" s="16">
        <f>IF($A66="","",SUMIFS(Transactions!$G$2:$G$5001,Transactions!$C$2:$C$5001,$A66,Transactions!$E$2:$E$5001,2)-SUMIFS(Transactions!$H$2:$H$5001,Transactions!$C$2:$C$5001,$A66,Transactions!$E$2:$E$5001,2))</f>
      </c>
      <c r="F66" s="16">
        <f>IF($A66="","",SUMIFS(Transactions!$G$2:$G$5001,Transactions!$C$2:$C$5001,$A66,Transactions!$E$2:$E$5001,3)-SUMIFS(Transactions!$H$2:$H$5001,Transactions!$C$2:$C$5001,$A66,Transactions!$E$2:$E$5001,3))</f>
      </c>
      <c r="G66" s="16">
        <f>IF($A66="","",SUM($D66:$F66))</f>
      </c>
      <c r="H66" s="16">
        <f>IF($A66="","",VLOOKUP($A66,Items_Master!$A$2:$L$2001,6,FALSE))</f>
      </c>
      <c r="I66" s="38">
        <f>IF($A66="","",IF($G66&lt;=$H66,"LOW","OK"))</f>
      </c>
      <c r="J66" s="39">
        <f>IF($A66="","",VLOOKUP($A66,Items_Master!$A$2:$L$2001,4,FALSE))</f>
      </c>
      <c r="K66" s="39">
        <f>IF($A66="","",VLOOKUP($A66,Items_Master!$A$2:$L$2001,5,FALSE))</f>
      </c>
      <c r="L66" s="39">
        <f>IF($A66="","",$G66*$J66)</f>
      </c>
      <c r="M66" s="39">
        <f>IF($A66="","",$G66*$K66)</f>
      </c>
      <c r="N66" s="16">
        <f>IF($A66="","",COUNTIF(Transactions!$C$2:$C$5001,$A66))</f>
      </c>
    </row>
    <row x14ac:dyDescent="0.25" r="67" customHeight="1" ht="17.25">
      <c r="A67" s="12">
        <f>IF(ROW()-1&lt;=COUNTA(Items_Master!$A$2:$A$2001),INDEX(Items_Master!$A$2:$A$2001,ROW()-1),"")</f>
      </c>
      <c r="B67" s="12">
        <f>IF($A67="","",VLOOKUP($A67,Items_Master!$A$2:$L$2001,2,FALSE))</f>
      </c>
      <c r="C67" s="12">
        <f>IF($A67="","",VLOOKUP($A67,Items_Master!$A$2:$L$2001,3,FALSE))</f>
      </c>
      <c r="D67" s="13">
        <f>IF($A67="","",SUMIFS(Transactions!$G$2:$G$5001,Transactions!$C$2:$C$5001,$A67,Transactions!$E$2:$E$5001,1)-SUMIFS(Transactions!$H$2:$H$5001,Transactions!$C$2:$C$5001,$A67,Transactions!$E$2:$E$5001,1))</f>
      </c>
      <c r="E67" s="13">
        <f>IF($A67="","",SUMIFS(Transactions!$G$2:$G$5001,Transactions!$C$2:$C$5001,$A67,Transactions!$E$2:$E$5001,2)-SUMIFS(Transactions!$H$2:$H$5001,Transactions!$C$2:$C$5001,$A67,Transactions!$E$2:$E$5001,2))</f>
      </c>
      <c r="F67" s="13">
        <f>IF($A67="","",SUMIFS(Transactions!$G$2:$G$5001,Transactions!$C$2:$C$5001,$A67,Transactions!$E$2:$E$5001,3)-SUMIFS(Transactions!$H$2:$H$5001,Transactions!$C$2:$C$5001,$A67,Transactions!$E$2:$E$5001,3))</f>
      </c>
      <c r="G67" s="13">
        <f>IF($A67="","",SUM($D67:$F67))</f>
      </c>
      <c r="H67" s="13">
        <f>IF($A67="","",VLOOKUP($A67,Items_Master!$A$2:$L$2001,6,FALSE))</f>
      </c>
      <c r="I67" s="40">
        <f>IF($A67="","",IF($G67&lt;=$H67,"LOW","OK"))</f>
      </c>
      <c r="J67" s="41">
        <f>IF($A67="","",VLOOKUP($A67,Items_Master!$A$2:$L$2001,4,FALSE))</f>
      </c>
      <c r="K67" s="41">
        <f>IF($A67="","",VLOOKUP($A67,Items_Master!$A$2:$L$2001,5,FALSE))</f>
      </c>
      <c r="L67" s="41">
        <f>IF($A67="","",$G67*$J67)</f>
      </c>
      <c r="M67" s="41">
        <f>IF($A67="","",$G67*$K67)</f>
      </c>
      <c r="N67" s="13">
        <f>IF($A67="","",COUNTIF(Transactions!$C$2:$C$5001,$A67))</f>
      </c>
    </row>
    <row x14ac:dyDescent="0.25" r="68" customHeight="1" ht="17.25">
      <c r="A68" s="15">
        <f>IF(ROW()-1&lt;=COUNTA(Items_Master!$A$2:$A$2001),INDEX(Items_Master!$A$2:$A$2001,ROW()-1),"")</f>
      </c>
      <c r="B68" s="15">
        <f>IF($A68="","",VLOOKUP($A68,Items_Master!$A$2:$L$2001,2,FALSE))</f>
      </c>
      <c r="C68" s="15">
        <f>IF($A68="","",VLOOKUP($A68,Items_Master!$A$2:$L$2001,3,FALSE))</f>
      </c>
      <c r="D68" s="16">
        <f>IF($A68="","",SUMIFS(Transactions!$G$2:$G$5001,Transactions!$C$2:$C$5001,$A68,Transactions!$E$2:$E$5001,1)-SUMIFS(Transactions!$H$2:$H$5001,Transactions!$C$2:$C$5001,$A68,Transactions!$E$2:$E$5001,1))</f>
      </c>
      <c r="E68" s="16">
        <f>IF($A68="","",SUMIFS(Transactions!$G$2:$G$5001,Transactions!$C$2:$C$5001,$A68,Transactions!$E$2:$E$5001,2)-SUMIFS(Transactions!$H$2:$H$5001,Transactions!$C$2:$C$5001,$A68,Transactions!$E$2:$E$5001,2))</f>
      </c>
      <c r="F68" s="16">
        <f>IF($A68="","",SUMIFS(Transactions!$G$2:$G$5001,Transactions!$C$2:$C$5001,$A68,Transactions!$E$2:$E$5001,3)-SUMIFS(Transactions!$H$2:$H$5001,Transactions!$C$2:$C$5001,$A68,Transactions!$E$2:$E$5001,3))</f>
      </c>
      <c r="G68" s="16">
        <f>IF($A68="","",SUM($D68:$F68))</f>
      </c>
      <c r="H68" s="16">
        <f>IF($A68="","",VLOOKUP($A68,Items_Master!$A$2:$L$2001,6,FALSE))</f>
      </c>
      <c r="I68" s="38">
        <f>IF($A68="","",IF($G68&lt;=$H68,"LOW","OK"))</f>
      </c>
      <c r="J68" s="39">
        <f>IF($A68="","",VLOOKUP($A68,Items_Master!$A$2:$L$2001,4,FALSE))</f>
      </c>
      <c r="K68" s="39">
        <f>IF($A68="","",VLOOKUP($A68,Items_Master!$A$2:$L$2001,5,FALSE))</f>
      </c>
      <c r="L68" s="39">
        <f>IF($A68="","",$G68*$J68)</f>
      </c>
      <c r="M68" s="39">
        <f>IF($A68="","",$G68*$K68)</f>
      </c>
      <c r="N68" s="16">
        <f>IF($A68="","",COUNTIF(Transactions!$C$2:$C$5001,$A68))</f>
      </c>
    </row>
    <row x14ac:dyDescent="0.25" r="69" customHeight="1" ht="17.25">
      <c r="A69" s="12">
        <f>IF(ROW()-1&lt;=COUNTA(Items_Master!$A$2:$A$2001),INDEX(Items_Master!$A$2:$A$2001,ROW()-1),"")</f>
      </c>
      <c r="B69" s="12">
        <f>IF($A69="","",VLOOKUP($A69,Items_Master!$A$2:$L$2001,2,FALSE))</f>
      </c>
      <c r="C69" s="12">
        <f>IF($A69="","",VLOOKUP($A69,Items_Master!$A$2:$L$2001,3,FALSE))</f>
      </c>
      <c r="D69" s="13">
        <f>IF($A69="","",SUMIFS(Transactions!$G$2:$G$5001,Transactions!$C$2:$C$5001,$A69,Transactions!$E$2:$E$5001,1)-SUMIFS(Transactions!$H$2:$H$5001,Transactions!$C$2:$C$5001,$A69,Transactions!$E$2:$E$5001,1))</f>
      </c>
      <c r="E69" s="13">
        <f>IF($A69="","",SUMIFS(Transactions!$G$2:$G$5001,Transactions!$C$2:$C$5001,$A69,Transactions!$E$2:$E$5001,2)-SUMIFS(Transactions!$H$2:$H$5001,Transactions!$C$2:$C$5001,$A69,Transactions!$E$2:$E$5001,2))</f>
      </c>
      <c r="F69" s="13">
        <f>IF($A69="","",SUMIFS(Transactions!$G$2:$G$5001,Transactions!$C$2:$C$5001,$A69,Transactions!$E$2:$E$5001,3)-SUMIFS(Transactions!$H$2:$H$5001,Transactions!$C$2:$C$5001,$A69,Transactions!$E$2:$E$5001,3))</f>
      </c>
      <c r="G69" s="13">
        <f>IF($A69="","",SUM($D69:$F69))</f>
      </c>
      <c r="H69" s="13">
        <f>IF($A69="","",VLOOKUP($A69,Items_Master!$A$2:$L$2001,6,FALSE))</f>
      </c>
      <c r="I69" s="40">
        <f>IF($A69="","",IF($G69&lt;=$H69,"LOW","OK"))</f>
      </c>
      <c r="J69" s="41">
        <f>IF($A69="","",VLOOKUP($A69,Items_Master!$A$2:$L$2001,4,FALSE))</f>
      </c>
      <c r="K69" s="41">
        <f>IF($A69="","",VLOOKUP($A69,Items_Master!$A$2:$L$2001,5,FALSE))</f>
      </c>
      <c r="L69" s="41">
        <f>IF($A69="","",$G69*$J69)</f>
      </c>
      <c r="M69" s="41">
        <f>IF($A69="","",$G69*$K69)</f>
      </c>
      <c r="N69" s="13">
        <f>IF($A69="","",COUNTIF(Transactions!$C$2:$C$5001,$A69))</f>
      </c>
    </row>
    <row x14ac:dyDescent="0.25" r="70" customHeight="1" ht="17.25">
      <c r="A70" s="15">
        <f>IF(ROW()-1&lt;=COUNTA(Items_Master!$A$2:$A$2001),INDEX(Items_Master!$A$2:$A$2001,ROW()-1),"")</f>
      </c>
      <c r="B70" s="15">
        <f>IF($A70="","",VLOOKUP($A70,Items_Master!$A$2:$L$2001,2,FALSE))</f>
      </c>
      <c r="C70" s="15">
        <f>IF($A70="","",VLOOKUP($A70,Items_Master!$A$2:$L$2001,3,FALSE))</f>
      </c>
      <c r="D70" s="16">
        <f>IF($A70="","",SUMIFS(Transactions!$G$2:$G$5001,Transactions!$C$2:$C$5001,$A70,Transactions!$E$2:$E$5001,1)-SUMIFS(Transactions!$H$2:$H$5001,Transactions!$C$2:$C$5001,$A70,Transactions!$E$2:$E$5001,1))</f>
      </c>
      <c r="E70" s="16">
        <f>IF($A70="","",SUMIFS(Transactions!$G$2:$G$5001,Transactions!$C$2:$C$5001,$A70,Transactions!$E$2:$E$5001,2)-SUMIFS(Transactions!$H$2:$H$5001,Transactions!$C$2:$C$5001,$A70,Transactions!$E$2:$E$5001,2))</f>
      </c>
      <c r="F70" s="16">
        <f>IF($A70="","",SUMIFS(Transactions!$G$2:$G$5001,Transactions!$C$2:$C$5001,$A70,Transactions!$E$2:$E$5001,3)-SUMIFS(Transactions!$H$2:$H$5001,Transactions!$C$2:$C$5001,$A70,Transactions!$E$2:$E$5001,3))</f>
      </c>
      <c r="G70" s="16">
        <f>IF($A70="","",SUM($D70:$F70))</f>
      </c>
      <c r="H70" s="16">
        <f>IF($A70="","",VLOOKUP($A70,Items_Master!$A$2:$L$2001,6,FALSE))</f>
      </c>
      <c r="I70" s="38">
        <f>IF($A70="","",IF($G70&lt;=$H70,"LOW","OK"))</f>
      </c>
      <c r="J70" s="39">
        <f>IF($A70="","",VLOOKUP($A70,Items_Master!$A$2:$L$2001,4,FALSE))</f>
      </c>
      <c r="K70" s="39">
        <f>IF($A70="","",VLOOKUP($A70,Items_Master!$A$2:$L$2001,5,FALSE))</f>
      </c>
      <c r="L70" s="39">
        <f>IF($A70="","",$G70*$J70)</f>
      </c>
      <c r="M70" s="39">
        <f>IF($A70="","",$G70*$K70)</f>
      </c>
      <c r="N70" s="16">
        <f>IF($A70="","",COUNTIF(Transactions!$C$2:$C$5001,$A70))</f>
      </c>
    </row>
    <row x14ac:dyDescent="0.25" r="71" customHeight="1" ht="17.25">
      <c r="A71" s="12">
        <f>IF(ROW()-1&lt;=COUNTA(Items_Master!$A$2:$A$2001),INDEX(Items_Master!$A$2:$A$2001,ROW()-1),"")</f>
      </c>
      <c r="B71" s="12">
        <f>IF($A71="","",VLOOKUP($A71,Items_Master!$A$2:$L$2001,2,FALSE))</f>
      </c>
      <c r="C71" s="12">
        <f>IF($A71="","",VLOOKUP($A71,Items_Master!$A$2:$L$2001,3,FALSE))</f>
      </c>
      <c r="D71" s="13">
        <f>IF($A71="","",SUMIFS(Transactions!$G$2:$G$5001,Transactions!$C$2:$C$5001,$A71,Transactions!$E$2:$E$5001,1)-SUMIFS(Transactions!$H$2:$H$5001,Transactions!$C$2:$C$5001,$A71,Transactions!$E$2:$E$5001,1))</f>
      </c>
      <c r="E71" s="13">
        <f>IF($A71="","",SUMIFS(Transactions!$G$2:$G$5001,Transactions!$C$2:$C$5001,$A71,Transactions!$E$2:$E$5001,2)-SUMIFS(Transactions!$H$2:$H$5001,Transactions!$C$2:$C$5001,$A71,Transactions!$E$2:$E$5001,2))</f>
      </c>
      <c r="F71" s="13">
        <f>IF($A71="","",SUMIFS(Transactions!$G$2:$G$5001,Transactions!$C$2:$C$5001,$A71,Transactions!$E$2:$E$5001,3)-SUMIFS(Transactions!$H$2:$H$5001,Transactions!$C$2:$C$5001,$A71,Transactions!$E$2:$E$5001,3))</f>
      </c>
      <c r="G71" s="13">
        <f>IF($A71="","",SUM($D71:$F71))</f>
      </c>
      <c r="H71" s="13">
        <f>IF($A71="","",VLOOKUP($A71,Items_Master!$A$2:$L$2001,6,FALSE))</f>
      </c>
      <c r="I71" s="40">
        <f>IF($A71="","",IF($G71&lt;=$H71,"LOW","OK"))</f>
      </c>
      <c r="J71" s="41">
        <f>IF($A71="","",VLOOKUP($A71,Items_Master!$A$2:$L$2001,4,FALSE))</f>
      </c>
      <c r="K71" s="41">
        <f>IF($A71="","",VLOOKUP($A71,Items_Master!$A$2:$L$2001,5,FALSE))</f>
      </c>
      <c r="L71" s="41">
        <f>IF($A71="","",$G71*$J71)</f>
      </c>
      <c r="M71" s="41">
        <f>IF($A71="","",$G71*$K71)</f>
      </c>
      <c r="N71" s="13">
        <f>IF($A71="","",COUNTIF(Transactions!$C$2:$C$5001,$A71))</f>
      </c>
    </row>
    <row x14ac:dyDescent="0.25" r="72" customHeight="1" ht="17.25">
      <c r="A72" s="15">
        <f>IF(ROW()-1&lt;=COUNTA(Items_Master!$A$2:$A$2001),INDEX(Items_Master!$A$2:$A$2001,ROW()-1),"")</f>
      </c>
      <c r="B72" s="15">
        <f>IF($A72="","",VLOOKUP($A72,Items_Master!$A$2:$L$2001,2,FALSE))</f>
      </c>
      <c r="C72" s="15">
        <f>IF($A72="","",VLOOKUP($A72,Items_Master!$A$2:$L$2001,3,FALSE))</f>
      </c>
      <c r="D72" s="16">
        <f>IF($A72="","",SUMIFS(Transactions!$G$2:$G$5001,Transactions!$C$2:$C$5001,$A72,Transactions!$E$2:$E$5001,1)-SUMIFS(Transactions!$H$2:$H$5001,Transactions!$C$2:$C$5001,$A72,Transactions!$E$2:$E$5001,1))</f>
      </c>
      <c r="E72" s="16">
        <f>IF($A72="","",SUMIFS(Transactions!$G$2:$G$5001,Transactions!$C$2:$C$5001,$A72,Transactions!$E$2:$E$5001,2)-SUMIFS(Transactions!$H$2:$H$5001,Transactions!$C$2:$C$5001,$A72,Transactions!$E$2:$E$5001,2))</f>
      </c>
      <c r="F72" s="16">
        <f>IF($A72="","",SUMIFS(Transactions!$G$2:$G$5001,Transactions!$C$2:$C$5001,$A72,Transactions!$E$2:$E$5001,3)-SUMIFS(Transactions!$H$2:$H$5001,Transactions!$C$2:$C$5001,$A72,Transactions!$E$2:$E$5001,3))</f>
      </c>
      <c r="G72" s="16">
        <f>IF($A72="","",SUM($D72:$F72))</f>
      </c>
      <c r="H72" s="16">
        <f>IF($A72="","",VLOOKUP($A72,Items_Master!$A$2:$L$2001,6,FALSE))</f>
      </c>
      <c r="I72" s="38">
        <f>IF($A72="","",IF($G72&lt;=$H72,"LOW","OK"))</f>
      </c>
      <c r="J72" s="39">
        <f>IF($A72="","",VLOOKUP($A72,Items_Master!$A$2:$L$2001,4,FALSE))</f>
      </c>
      <c r="K72" s="39">
        <f>IF($A72="","",VLOOKUP($A72,Items_Master!$A$2:$L$2001,5,FALSE))</f>
      </c>
      <c r="L72" s="39">
        <f>IF($A72="","",$G72*$J72)</f>
      </c>
      <c r="M72" s="39">
        <f>IF($A72="","",$G72*$K72)</f>
      </c>
      <c r="N72" s="16">
        <f>IF($A72="","",COUNTIF(Transactions!$C$2:$C$5001,$A72))</f>
      </c>
    </row>
    <row x14ac:dyDescent="0.25" r="73" customHeight="1" ht="17.25">
      <c r="A73" s="12">
        <f>IF(ROW()-1&lt;=COUNTA(Items_Master!$A$2:$A$2001),INDEX(Items_Master!$A$2:$A$2001,ROW()-1),"")</f>
      </c>
      <c r="B73" s="12">
        <f>IF($A73="","",VLOOKUP($A73,Items_Master!$A$2:$L$2001,2,FALSE))</f>
      </c>
      <c r="C73" s="12">
        <f>IF($A73="","",VLOOKUP($A73,Items_Master!$A$2:$L$2001,3,FALSE))</f>
      </c>
      <c r="D73" s="13">
        <f>IF($A73="","",SUMIFS(Transactions!$G$2:$G$5001,Transactions!$C$2:$C$5001,$A73,Transactions!$E$2:$E$5001,1)-SUMIFS(Transactions!$H$2:$H$5001,Transactions!$C$2:$C$5001,$A73,Transactions!$E$2:$E$5001,1))</f>
      </c>
      <c r="E73" s="13">
        <f>IF($A73="","",SUMIFS(Transactions!$G$2:$G$5001,Transactions!$C$2:$C$5001,$A73,Transactions!$E$2:$E$5001,2)-SUMIFS(Transactions!$H$2:$H$5001,Transactions!$C$2:$C$5001,$A73,Transactions!$E$2:$E$5001,2))</f>
      </c>
      <c r="F73" s="13">
        <f>IF($A73="","",SUMIFS(Transactions!$G$2:$G$5001,Transactions!$C$2:$C$5001,$A73,Transactions!$E$2:$E$5001,3)-SUMIFS(Transactions!$H$2:$H$5001,Transactions!$C$2:$C$5001,$A73,Transactions!$E$2:$E$5001,3))</f>
      </c>
      <c r="G73" s="13">
        <f>IF($A73="","",SUM($D73:$F73))</f>
      </c>
      <c r="H73" s="13">
        <f>IF($A73="","",VLOOKUP($A73,Items_Master!$A$2:$L$2001,6,FALSE))</f>
      </c>
      <c r="I73" s="40">
        <f>IF($A73="","",IF($G73&lt;=$H73,"LOW","OK"))</f>
      </c>
      <c r="J73" s="41">
        <f>IF($A73="","",VLOOKUP($A73,Items_Master!$A$2:$L$2001,4,FALSE))</f>
      </c>
      <c r="K73" s="41">
        <f>IF($A73="","",VLOOKUP($A73,Items_Master!$A$2:$L$2001,5,FALSE))</f>
      </c>
      <c r="L73" s="41">
        <f>IF($A73="","",$G73*$J73)</f>
      </c>
      <c r="M73" s="41">
        <f>IF($A73="","",$G73*$K73)</f>
      </c>
      <c r="N73" s="13">
        <f>IF($A73="","",COUNTIF(Transactions!$C$2:$C$5001,$A73))</f>
      </c>
    </row>
    <row x14ac:dyDescent="0.25" r="74" customHeight="1" ht="17.25">
      <c r="A74" s="15">
        <f>IF(ROW()-1&lt;=COUNTA(Items_Master!$A$2:$A$2001),INDEX(Items_Master!$A$2:$A$2001,ROW()-1),"")</f>
      </c>
      <c r="B74" s="15">
        <f>IF($A74="","",VLOOKUP($A74,Items_Master!$A$2:$L$2001,2,FALSE))</f>
      </c>
      <c r="C74" s="15">
        <f>IF($A74="","",VLOOKUP($A74,Items_Master!$A$2:$L$2001,3,FALSE))</f>
      </c>
      <c r="D74" s="16">
        <f>IF($A74="","",SUMIFS(Transactions!$G$2:$G$5001,Transactions!$C$2:$C$5001,$A74,Transactions!$E$2:$E$5001,1)-SUMIFS(Transactions!$H$2:$H$5001,Transactions!$C$2:$C$5001,$A74,Transactions!$E$2:$E$5001,1))</f>
      </c>
      <c r="E74" s="16">
        <f>IF($A74="","",SUMIFS(Transactions!$G$2:$G$5001,Transactions!$C$2:$C$5001,$A74,Transactions!$E$2:$E$5001,2)-SUMIFS(Transactions!$H$2:$H$5001,Transactions!$C$2:$C$5001,$A74,Transactions!$E$2:$E$5001,2))</f>
      </c>
      <c r="F74" s="16">
        <f>IF($A74="","",SUMIFS(Transactions!$G$2:$G$5001,Transactions!$C$2:$C$5001,$A74,Transactions!$E$2:$E$5001,3)-SUMIFS(Transactions!$H$2:$H$5001,Transactions!$C$2:$C$5001,$A74,Transactions!$E$2:$E$5001,3))</f>
      </c>
      <c r="G74" s="16">
        <f>IF($A74="","",SUM($D74:$F74))</f>
      </c>
      <c r="H74" s="16">
        <f>IF($A74="","",VLOOKUP($A74,Items_Master!$A$2:$L$2001,6,FALSE))</f>
      </c>
      <c r="I74" s="38">
        <f>IF($A74="","",IF($G74&lt;=$H74,"LOW","OK"))</f>
      </c>
      <c r="J74" s="39">
        <f>IF($A74="","",VLOOKUP($A74,Items_Master!$A$2:$L$2001,4,FALSE))</f>
      </c>
      <c r="K74" s="39">
        <f>IF($A74="","",VLOOKUP($A74,Items_Master!$A$2:$L$2001,5,FALSE))</f>
      </c>
      <c r="L74" s="39">
        <f>IF($A74="","",$G74*$J74)</f>
      </c>
      <c r="M74" s="39">
        <f>IF($A74="","",$G74*$K74)</f>
      </c>
      <c r="N74" s="16">
        <f>IF($A74="","",COUNTIF(Transactions!$C$2:$C$5001,$A74))</f>
      </c>
    </row>
    <row x14ac:dyDescent="0.25" r="75" customHeight="1" ht="17.25">
      <c r="A75" s="12">
        <f>IF(ROW()-1&lt;=COUNTA(Items_Master!$A$2:$A$2001),INDEX(Items_Master!$A$2:$A$2001,ROW()-1),"")</f>
      </c>
      <c r="B75" s="12">
        <f>IF($A75="","",VLOOKUP($A75,Items_Master!$A$2:$L$2001,2,FALSE))</f>
      </c>
      <c r="C75" s="12">
        <f>IF($A75="","",VLOOKUP($A75,Items_Master!$A$2:$L$2001,3,FALSE))</f>
      </c>
      <c r="D75" s="13">
        <f>IF($A75="","",SUMIFS(Transactions!$G$2:$G$5001,Transactions!$C$2:$C$5001,$A75,Transactions!$E$2:$E$5001,1)-SUMIFS(Transactions!$H$2:$H$5001,Transactions!$C$2:$C$5001,$A75,Transactions!$E$2:$E$5001,1))</f>
      </c>
      <c r="E75" s="13">
        <f>IF($A75="","",SUMIFS(Transactions!$G$2:$G$5001,Transactions!$C$2:$C$5001,$A75,Transactions!$E$2:$E$5001,2)-SUMIFS(Transactions!$H$2:$H$5001,Transactions!$C$2:$C$5001,$A75,Transactions!$E$2:$E$5001,2))</f>
      </c>
      <c r="F75" s="13">
        <f>IF($A75="","",SUMIFS(Transactions!$G$2:$G$5001,Transactions!$C$2:$C$5001,$A75,Transactions!$E$2:$E$5001,3)-SUMIFS(Transactions!$H$2:$H$5001,Transactions!$C$2:$C$5001,$A75,Transactions!$E$2:$E$5001,3))</f>
      </c>
      <c r="G75" s="13">
        <f>IF($A75="","",SUM($D75:$F75))</f>
      </c>
      <c r="H75" s="13">
        <f>IF($A75="","",VLOOKUP($A75,Items_Master!$A$2:$L$2001,6,FALSE))</f>
      </c>
      <c r="I75" s="40">
        <f>IF($A75="","",IF($G75&lt;=$H75,"LOW","OK"))</f>
      </c>
      <c r="J75" s="41">
        <f>IF($A75="","",VLOOKUP($A75,Items_Master!$A$2:$L$2001,4,FALSE))</f>
      </c>
      <c r="K75" s="41">
        <f>IF($A75="","",VLOOKUP($A75,Items_Master!$A$2:$L$2001,5,FALSE))</f>
      </c>
      <c r="L75" s="41">
        <f>IF($A75="","",$G75*$J75)</f>
      </c>
      <c r="M75" s="41">
        <f>IF($A75="","",$G75*$K75)</f>
      </c>
      <c r="N75" s="13">
        <f>IF($A75="","",COUNTIF(Transactions!$C$2:$C$5001,$A75))</f>
      </c>
    </row>
    <row x14ac:dyDescent="0.25" r="76" customHeight="1" ht="17.25">
      <c r="A76" s="15">
        <f>IF(ROW()-1&lt;=COUNTA(Items_Master!$A$2:$A$2001),INDEX(Items_Master!$A$2:$A$2001,ROW()-1),"")</f>
      </c>
      <c r="B76" s="15">
        <f>IF($A76="","",VLOOKUP($A76,Items_Master!$A$2:$L$2001,2,FALSE))</f>
      </c>
      <c r="C76" s="15">
        <f>IF($A76="","",VLOOKUP($A76,Items_Master!$A$2:$L$2001,3,FALSE))</f>
      </c>
      <c r="D76" s="16">
        <f>IF($A76="","",SUMIFS(Transactions!$G$2:$G$5001,Transactions!$C$2:$C$5001,$A76,Transactions!$E$2:$E$5001,1)-SUMIFS(Transactions!$H$2:$H$5001,Transactions!$C$2:$C$5001,$A76,Transactions!$E$2:$E$5001,1))</f>
      </c>
      <c r="E76" s="16">
        <f>IF($A76="","",SUMIFS(Transactions!$G$2:$G$5001,Transactions!$C$2:$C$5001,$A76,Transactions!$E$2:$E$5001,2)-SUMIFS(Transactions!$H$2:$H$5001,Transactions!$C$2:$C$5001,$A76,Transactions!$E$2:$E$5001,2))</f>
      </c>
      <c r="F76" s="16">
        <f>IF($A76="","",SUMIFS(Transactions!$G$2:$G$5001,Transactions!$C$2:$C$5001,$A76,Transactions!$E$2:$E$5001,3)-SUMIFS(Transactions!$H$2:$H$5001,Transactions!$C$2:$C$5001,$A76,Transactions!$E$2:$E$5001,3))</f>
      </c>
      <c r="G76" s="16">
        <f>IF($A76="","",SUM($D76:$F76))</f>
      </c>
      <c r="H76" s="16">
        <f>IF($A76="","",VLOOKUP($A76,Items_Master!$A$2:$L$2001,6,FALSE))</f>
      </c>
      <c r="I76" s="38">
        <f>IF($A76="","",IF($G76&lt;=$H76,"LOW","OK"))</f>
      </c>
      <c r="J76" s="39">
        <f>IF($A76="","",VLOOKUP($A76,Items_Master!$A$2:$L$2001,4,FALSE))</f>
      </c>
      <c r="K76" s="39">
        <f>IF($A76="","",VLOOKUP($A76,Items_Master!$A$2:$L$2001,5,FALSE))</f>
      </c>
      <c r="L76" s="39">
        <f>IF($A76="","",$G76*$J76)</f>
      </c>
      <c r="M76" s="39">
        <f>IF($A76="","",$G76*$K76)</f>
      </c>
      <c r="N76" s="16">
        <f>IF($A76="","",COUNTIF(Transactions!$C$2:$C$5001,$A76))</f>
      </c>
    </row>
    <row x14ac:dyDescent="0.25" r="77" customHeight="1" ht="17.25">
      <c r="A77" s="12">
        <f>IF(ROW()-1&lt;=COUNTA(Items_Master!$A$2:$A$2001),INDEX(Items_Master!$A$2:$A$2001,ROW()-1),"")</f>
      </c>
      <c r="B77" s="12">
        <f>IF($A77="","",VLOOKUP($A77,Items_Master!$A$2:$L$2001,2,FALSE))</f>
      </c>
      <c r="C77" s="12">
        <f>IF($A77="","",VLOOKUP($A77,Items_Master!$A$2:$L$2001,3,FALSE))</f>
      </c>
      <c r="D77" s="13">
        <f>IF($A77="","",SUMIFS(Transactions!$G$2:$G$5001,Transactions!$C$2:$C$5001,$A77,Transactions!$E$2:$E$5001,1)-SUMIFS(Transactions!$H$2:$H$5001,Transactions!$C$2:$C$5001,$A77,Transactions!$E$2:$E$5001,1))</f>
      </c>
      <c r="E77" s="13">
        <f>IF($A77="","",SUMIFS(Transactions!$G$2:$G$5001,Transactions!$C$2:$C$5001,$A77,Transactions!$E$2:$E$5001,2)-SUMIFS(Transactions!$H$2:$H$5001,Transactions!$C$2:$C$5001,$A77,Transactions!$E$2:$E$5001,2))</f>
      </c>
      <c r="F77" s="13">
        <f>IF($A77="","",SUMIFS(Transactions!$G$2:$G$5001,Transactions!$C$2:$C$5001,$A77,Transactions!$E$2:$E$5001,3)-SUMIFS(Transactions!$H$2:$H$5001,Transactions!$C$2:$C$5001,$A77,Transactions!$E$2:$E$5001,3))</f>
      </c>
      <c r="G77" s="13">
        <f>IF($A77="","",SUM($D77:$F77))</f>
      </c>
      <c r="H77" s="13">
        <f>IF($A77="","",VLOOKUP($A77,Items_Master!$A$2:$L$2001,6,FALSE))</f>
      </c>
      <c r="I77" s="40">
        <f>IF($A77="","",IF($G77&lt;=$H77,"LOW","OK"))</f>
      </c>
      <c r="J77" s="41">
        <f>IF($A77="","",VLOOKUP($A77,Items_Master!$A$2:$L$2001,4,FALSE))</f>
      </c>
      <c r="K77" s="41">
        <f>IF($A77="","",VLOOKUP($A77,Items_Master!$A$2:$L$2001,5,FALSE))</f>
      </c>
      <c r="L77" s="41">
        <f>IF($A77="","",$G77*$J77)</f>
      </c>
      <c r="M77" s="41">
        <f>IF($A77="","",$G77*$K77)</f>
      </c>
      <c r="N77" s="13">
        <f>IF($A77="","",COUNTIF(Transactions!$C$2:$C$5001,$A77))</f>
      </c>
    </row>
    <row x14ac:dyDescent="0.25" r="78" customHeight="1" ht="17.25">
      <c r="A78" s="15">
        <f>IF(ROW()-1&lt;=COUNTA(Items_Master!$A$2:$A$2001),INDEX(Items_Master!$A$2:$A$2001,ROW()-1),"")</f>
      </c>
      <c r="B78" s="15">
        <f>IF($A78="","",VLOOKUP($A78,Items_Master!$A$2:$L$2001,2,FALSE))</f>
      </c>
      <c r="C78" s="15">
        <f>IF($A78="","",VLOOKUP($A78,Items_Master!$A$2:$L$2001,3,FALSE))</f>
      </c>
      <c r="D78" s="16">
        <f>IF($A78="","",SUMIFS(Transactions!$G$2:$G$5001,Transactions!$C$2:$C$5001,$A78,Transactions!$E$2:$E$5001,1)-SUMIFS(Transactions!$H$2:$H$5001,Transactions!$C$2:$C$5001,$A78,Transactions!$E$2:$E$5001,1))</f>
      </c>
      <c r="E78" s="16">
        <f>IF($A78="","",SUMIFS(Transactions!$G$2:$G$5001,Transactions!$C$2:$C$5001,$A78,Transactions!$E$2:$E$5001,2)-SUMIFS(Transactions!$H$2:$H$5001,Transactions!$C$2:$C$5001,$A78,Transactions!$E$2:$E$5001,2))</f>
      </c>
      <c r="F78" s="16">
        <f>IF($A78="","",SUMIFS(Transactions!$G$2:$G$5001,Transactions!$C$2:$C$5001,$A78,Transactions!$E$2:$E$5001,3)-SUMIFS(Transactions!$H$2:$H$5001,Transactions!$C$2:$C$5001,$A78,Transactions!$E$2:$E$5001,3))</f>
      </c>
      <c r="G78" s="16">
        <f>IF($A78="","",SUM($D78:$F78))</f>
      </c>
      <c r="H78" s="16">
        <f>IF($A78="","",VLOOKUP($A78,Items_Master!$A$2:$L$2001,6,FALSE))</f>
      </c>
      <c r="I78" s="38">
        <f>IF($A78="","",IF($G78&lt;=$H78,"LOW","OK"))</f>
      </c>
      <c r="J78" s="39">
        <f>IF($A78="","",VLOOKUP($A78,Items_Master!$A$2:$L$2001,4,FALSE))</f>
      </c>
      <c r="K78" s="39">
        <f>IF($A78="","",VLOOKUP($A78,Items_Master!$A$2:$L$2001,5,FALSE))</f>
      </c>
      <c r="L78" s="39">
        <f>IF($A78="","",$G78*$J78)</f>
      </c>
      <c r="M78" s="39">
        <f>IF($A78="","",$G78*$K78)</f>
      </c>
      <c r="N78" s="16">
        <f>IF($A78="","",COUNTIF(Transactions!$C$2:$C$5001,$A78))</f>
      </c>
    </row>
    <row x14ac:dyDescent="0.25" r="79" customHeight="1" ht="17.25">
      <c r="A79" s="12">
        <f>IF(ROW()-1&lt;=COUNTA(Items_Master!$A$2:$A$2001),INDEX(Items_Master!$A$2:$A$2001,ROW()-1),"")</f>
      </c>
      <c r="B79" s="12">
        <f>IF($A79="","",VLOOKUP($A79,Items_Master!$A$2:$L$2001,2,FALSE))</f>
      </c>
      <c r="C79" s="12">
        <f>IF($A79="","",VLOOKUP($A79,Items_Master!$A$2:$L$2001,3,FALSE))</f>
      </c>
      <c r="D79" s="13">
        <f>IF($A79="","",SUMIFS(Transactions!$G$2:$G$5001,Transactions!$C$2:$C$5001,$A79,Transactions!$E$2:$E$5001,1)-SUMIFS(Transactions!$H$2:$H$5001,Transactions!$C$2:$C$5001,$A79,Transactions!$E$2:$E$5001,1))</f>
      </c>
      <c r="E79" s="13">
        <f>IF($A79="","",SUMIFS(Transactions!$G$2:$G$5001,Transactions!$C$2:$C$5001,$A79,Transactions!$E$2:$E$5001,2)-SUMIFS(Transactions!$H$2:$H$5001,Transactions!$C$2:$C$5001,$A79,Transactions!$E$2:$E$5001,2))</f>
      </c>
      <c r="F79" s="13">
        <f>IF($A79="","",SUMIFS(Transactions!$G$2:$G$5001,Transactions!$C$2:$C$5001,$A79,Transactions!$E$2:$E$5001,3)-SUMIFS(Transactions!$H$2:$H$5001,Transactions!$C$2:$C$5001,$A79,Transactions!$E$2:$E$5001,3))</f>
      </c>
      <c r="G79" s="13">
        <f>IF($A79="","",SUM($D79:$F79))</f>
      </c>
      <c r="H79" s="13">
        <f>IF($A79="","",VLOOKUP($A79,Items_Master!$A$2:$L$2001,6,FALSE))</f>
      </c>
      <c r="I79" s="40">
        <f>IF($A79="","",IF($G79&lt;=$H79,"LOW","OK"))</f>
      </c>
      <c r="J79" s="41">
        <f>IF($A79="","",VLOOKUP($A79,Items_Master!$A$2:$L$2001,4,FALSE))</f>
      </c>
      <c r="K79" s="41">
        <f>IF($A79="","",VLOOKUP($A79,Items_Master!$A$2:$L$2001,5,FALSE))</f>
      </c>
      <c r="L79" s="41">
        <f>IF($A79="","",$G79*$J79)</f>
      </c>
      <c r="M79" s="41">
        <f>IF($A79="","",$G79*$K79)</f>
      </c>
      <c r="N79" s="13">
        <f>IF($A79="","",COUNTIF(Transactions!$C$2:$C$5001,$A79))</f>
      </c>
    </row>
    <row x14ac:dyDescent="0.25" r="80" customHeight="1" ht="17.25">
      <c r="A80" s="15">
        <f>IF(ROW()-1&lt;=COUNTA(Items_Master!$A$2:$A$2001),INDEX(Items_Master!$A$2:$A$2001,ROW()-1),"")</f>
      </c>
      <c r="B80" s="15">
        <f>IF($A80="","",VLOOKUP($A80,Items_Master!$A$2:$L$2001,2,FALSE))</f>
      </c>
      <c r="C80" s="15">
        <f>IF($A80="","",VLOOKUP($A80,Items_Master!$A$2:$L$2001,3,FALSE))</f>
      </c>
      <c r="D80" s="16">
        <f>IF($A80="","",SUMIFS(Transactions!$G$2:$G$5001,Transactions!$C$2:$C$5001,$A80,Transactions!$E$2:$E$5001,1)-SUMIFS(Transactions!$H$2:$H$5001,Transactions!$C$2:$C$5001,$A80,Transactions!$E$2:$E$5001,1))</f>
      </c>
      <c r="E80" s="16">
        <f>IF($A80="","",SUMIFS(Transactions!$G$2:$G$5001,Transactions!$C$2:$C$5001,$A80,Transactions!$E$2:$E$5001,2)-SUMIFS(Transactions!$H$2:$H$5001,Transactions!$C$2:$C$5001,$A80,Transactions!$E$2:$E$5001,2))</f>
      </c>
      <c r="F80" s="16">
        <f>IF($A80="","",SUMIFS(Transactions!$G$2:$G$5001,Transactions!$C$2:$C$5001,$A80,Transactions!$E$2:$E$5001,3)-SUMIFS(Transactions!$H$2:$H$5001,Transactions!$C$2:$C$5001,$A80,Transactions!$E$2:$E$5001,3))</f>
      </c>
      <c r="G80" s="16">
        <f>IF($A80="","",SUM($D80:$F80))</f>
      </c>
      <c r="H80" s="16">
        <f>IF($A80="","",VLOOKUP($A80,Items_Master!$A$2:$L$2001,6,FALSE))</f>
      </c>
      <c r="I80" s="38">
        <f>IF($A80="","",IF($G80&lt;=$H80,"LOW","OK"))</f>
      </c>
      <c r="J80" s="39">
        <f>IF($A80="","",VLOOKUP($A80,Items_Master!$A$2:$L$2001,4,FALSE))</f>
      </c>
      <c r="K80" s="39">
        <f>IF($A80="","",VLOOKUP($A80,Items_Master!$A$2:$L$2001,5,FALSE))</f>
      </c>
      <c r="L80" s="39">
        <f>IF($A80="","",$G80*$J80)</f>
      </c>
      <c r="M80" s="39">
        <f>IF($A80="","",$G80*$K80)</f>
      </c>
      <c r="N80" s="16">
        <f>IF($A80="","",COUNTIF(Transactions!$C$2:$C$5001,$A80))</f>
      </c>
    </row>
    <row x14ac:dyDescent="0.25" r="81" customHeight="1" ht="17.25">
      <c r="A81" s="12">
        <f>IF(ROW()-1&lt;=COUNTA(Items_Master!$A$2:$A$2001),INDEX(Items_Master!$A$2:$A$2001,ROW()-1),"")</f>
      </c>
      <c r="B81" s="12">
        <f>IF($A81="","",VLOOKUP($A81,Items_Master!$A$2:$L$2001,2,FALSE))</f>
      </c>
      <c r="C81" s="12">
        <f>IF($A81="","",VLOOKUP($A81,Items_Master!$A$2:$L$2001,3,FALSE))</f>
      </c>
      <c r="D81" s="13">
        <f>IF($A81="","",SUMIFS(Transactions!$G$2:$G$5001,Transactions!$C$2:$C$5001,$A81,Transactions!$E$2:$E$5001,1)-SUMIFS(Transactions!$H$2:$H$5001,Transactions!$C$2:$C$5001,$A81,Transactions!$E$2:$E$5001,1))</f>
      </c>
      <c r="E81" s="13">
        <f>IF($A81="","",SUMIFS(Transactions!$G$2:$G$5001,Transactions!$C$2:$C$5001,$A81,Transactions!$E$2:$E$5001,2)-SUMIFS(Transactions!$H$2:$H$5001,Transactions!$C$2:$C$5001,$A81,Transactions!$E$2:$E$5001,2))</f>
      </c>
      <c r="F81" s="13">
        <f>IF($A81="","",SUMIFS(Transactions!$G$2:$G$5001,Transactions!$C$2:$C$5001,$A81,Transactions!$E$2:$E$5001,3)-SUMIFS(Transactions!$H$2:$H$5001,Transactions!$C$2:$C$5001,$A81,Transactions!$E$2:$E$5001,3))</f>
      </c>
      <c r="G81" s="13">
        <f>IF($A81="","",SUM($D81:$F81))</f>
      </c>
      <c r="H81" s="13">
        <f>IF($A81="","",VLOOKUP($A81,Items_Master!$A$2:$L$2001,6,FALSE))</f>
      </c>
      <c r="I81" s="40">
        <f>IF($A81="","",IF($G81&lt;=$H81,"LOW","OK"))</f>
      </c>
      <c r="J81" s="41">
        <f>IF($A81="","",VLOOKUP($A81,Items_Master!$A$2:$L$2001,4,FALSE))</f>
      </c>
      <c r="K81" s="41">
        <f>IF($A81="","",VLOOKUP($A81,Items_Master!$A$2:$L$2001,5,FALSE))</f>
      </c>
      <c r="L81" s="41">
        <f>IF($A81="","",$G81*$J81)</f>
      </c>
      <c r="M81" s="41">
        <f>IF($A81="","",$G81*$K81)</f>
      </c>
      <c r="N81" s="13">
        <f>IF($A81="","",COUNTIF(Transactions!$C$2:$C$5001,$A81))</f>
      </c>
    </row>
    <row x14ac:dyDescent="0.25" r="82" customHeight="1" ht="17.25">
      <c r="A82" s="15">
        <f>IF(ROW()-1&lt;=COUNTA(Items_Master!$A$2:$A$2001),INDEX(Items_Master!$A$2:$A$2001,ROW()-1),"")</f>
      </c>
      <c r="B82" s="15">
        <f>IF($A82="","",VLOOKUP($A82,Items_Master!$A$2:$L$2001,2,FALSE))</f>
      </c>
      <c r="C82" s="15">
        <f>IF($A82="","",VLOOKUP($A82,Items_Master!$A$2:$L$2001,3,FALSE))</f>
      </c>
      <c r="D82" s="16">
        <f>IF($A82="","",SUMIFS(Transactions!$G$2:$G$5001,Transactions!$C$2:$C$5001,$A82,Transactions!$E$2:$E$5001,1)-SUMIFS(Transactions!$H$2:$H$5001,Transactions!$C$2:$C$5001,$A82,Transactions!$E$2:$E$5001,1))</f>
      </c>
      <c r="E82" s="16">
        <f>IF($A82="","",SUMIFS(Transactions!$G$2:$G$5001,Transactions!$C$2:$C$5001,$A82,Transactions!$E$2:$E$5001,2)-SUMIFS(Transactions!$H$2:$H$5001,Transactions!$C$2:$C$5001,$A82,Transactions!$E$2:$E$5001,2))</f>
      </c>
      <c r="F82" s="16">
        <f>IF($A82="","",SUMIFS(Transactions!$G$2:$G$5001,Transactions!$C$2:$C$5001,$A82,Transactions!$E$2:$E$5001,3)-SUMIFS(Transactions!$H$2:$H$5001,Transactions!$C$2:$C$5001,$A82,Transactions!$E$2:$E$5001,3))</f>
      </c>
      <c r="G82" s="16">
        <f>IF($A82="","",SUM($D82:$F82))</f>
      </c>
      <c r="H82" s="16">
        <f>IF($A82="","",VLOOKUP($A82,Items_Master!$A$2:$L$2001,6,FALSE))</f>
      </c>
      <c r="I82" s="38">
        <f>IF($A82="","",IF($G82&lt;=$H82,"LOW","OK"))</f>
      </c>
      <c r="J82" s="39">
        <f>IF($A82="","",VLOOKUP($A82,Items_Master!$A$2:$L$2001,4,FALSE))</f>
      </c>
      <c r="K82" s="39">
        <f>IF($A82="","",VLOOKUP($A82,Items_Master!$A$2:$L$2001,5,FALSE))</f>
      </c>
      <c r="L82" s="39">
        <f>IF($A82="","",$G82*$J82)</f>
      </c>
      <c r="M82" s="39">
        <f>IF($A82="","",$G82*$K82)</f>
      </c>
      <c r="N82" s="16">
        <f>IF($A82="","",COUNTIF(Transactions!$C$2:$C$5001,$A82))</f>
      </c>
    </row>
    <row x14ac:dyDescent="0.25" r="83" customHeight="1" ht="17.25">
      <c r="A83" s="12">
        <f>IF(ROW()-1&lt;=COUNTA(Items_Master!$A$2:$A$2001),INDEX(Items_Master!$A$2:$A$2001,ROW()-1),"")</f>
      </c>
      <c r="B83" s="12">
        <f>IF($A83="","",VLOOKUP($A83,Items_Master!$A$2:$L$2001,2,FALSE))</f>
      </c>
      <c r="C83" s="12">
        <f>IF($A83="","",VLOOKUP($A83,Items_Master!$A$2:$L$2001,3,FALSE))</f>
      </c>
      <c r="D83" s="13">
        <f>IF($A83="","",SUMIFS(Transactions!$G$2:$G$5001,Transactions!$C$2:$C$5001,$A83,Transactions!$E$2:$E$5001,1)-SUMIFS(Transactions!$H$2:$H$5001,Transactions!$C$2:$C$5001,$A83,Transactions!$E$2:$E$5001,1))</f>
      </c>
      <c r="E83" s="13">
        <f>IF($A83="","",SUMIFS(Transactions!$G$2:$G$5001,Transactions!$C$2:$C$5001,$A83,Transactions!$E$2:$E$5001,2)-SUMIFS(Transactions!$H$2:$H$5001,Transactions!$C$2:$C$5001,$A83,Transactions!$E$2:$E$5001,2))</f>
      </c>
      <c r="F83" s="13">
        <f>IF($A83="","",SUMIFS(Transactions!$G$2:$G$5001,Transactions!$C$2:$C$5001,$A83,Transactions!$E$2:$E$5001,3)-SUMIFS(Transactions!$H$2:$H$5001,Transactions!$C$2:$C$5001,$A83,Transactions!$E$2:$E$5001,3))</f>
      </c>
      <c r="G83" s="13">
        <f>IF($A83="","",SUM($D83:$F83))</f>
      </c>
      <c r="H83" s="13">
        <f>IF($A83="","",VLOOKUP($A83,Items_Master!$A$2:$L$2001,6,FALSE))</f>
      </c>
      <c r="I83" s="40">
        <f>IF($A83="","",IF($G83&lt;=$H83,"LOW","OK"))</f>
      </c>
      <c r="J83" s="41">
        <f>IF($A83="","",VLOOKUP($A83,Items_Master!$A$2:$L$2001,4,FALSE))</f>
      </c>
      <c r="K83" s="41">
        <f>IF($A83="","",VLOOKUP($A83,Items_Master!$A$2:$L$2001,5,FALSE))</f>
      </c>
      <c r="L83" s="41">
        <f>IF($A83="","",$G83*$J83)</f>
      </c>
      <c r="M83" s="41">
        <f>IF($A83="","",$G83*$K83)</f>
      </c>
      <c r="N83" s="13">
        <f>IF($A83="","",COUNTIF(Transactions!$C$2:$C$5001,$A83))</f>
      </c>
    </row>
    <row x14ac:dyDescent="0.25" r="84" customHeight="1" ht="17.25">
      <c r="A84" s="15">
        <f>IF(ROW()-1&lt;=COUNTA(Items_Master!$A$2:$A$2001),INDEX(Items_Master!$A$2:$A$2001,ROW()-1),"")</f>
      </c>
      <c r="B84" s="15">
        <f>IF($A84="","",VLOOKUP($A84,Items_Master!$A$2:$L$2001,2,FALSE))</f>
      </c>
      <c r="C84" s="15">
        <f>IF($A84="","",VLOOKUP($A84,Items_Master!$A$2:$L$2001,3,FALSE))</f>
      </c>
      <c r="D84" s="16">
        <f>IF($A84="","",SUMIFS(Transactions!$G$2:$G$5001,Transactions!$C$2:$C$5001,$A84,Transactions!$E$2:$E$5001,1)-SUMIFS(Transactions!$H$2:$H$5001,Transactions!$C$2:$C$5001,$A84,Transactions!$E$2:$E$5001,1))</f>
      </c>
      <c r="E84" s="16">
        <f>IF($A84="","",SUMIFS(Transactions!$G$2:$G$5001,Transactions!$C$2:$C$5001,$A84,Transactions!$E$2:$E$5001,2)-SUMIFS(Transactions!$H$2:$H$5001,Transactions!$C$2:$C$5001,$A84,Transactions!$E$2:$E$5001,2))</f>
      </c>
      <c r="F84" s="16">
        <f>IF($A84="","",SUMIFS(Transactions!$G$2:$G$5001,Transactions!$C$2:$C$5001,$A84,Transactions!$E$2:$E$5001,3)-SUMIFS(Transactions!$H$2:$H$5001,Transactions!$C$2:$C$5001,$A84,Transactions!$E$2:$E$5001,3))</f>
      </c>
      <c r="G84" s="16">
        <f>IF($A84="","",SUM($D84:$F84))</f>
      </c>
      <c r="H84" s="16">
        <f>IF($A84="","",VLOOKUP($A84,Items_Master!$A$2:$L$2001,6,FALSE))</f>
      </c>
      <c r="I84" s="38">
        <f>IF($A84="","",IF($G84&lt;=$H84,"LOW","OK"))</f>
      </c>
      <c r="J84" s="39">
        <f>IF($A84="","",VLOOKUP($A84,Items_Master!$A$2:$L$2001,4,FALSE))</f>
      </c>
      <c r="K84" s="39">
        <f>IF($A84="","",VLOOKUP($A84,Items_Master!$A$2:$L$2001,5,FALSE))</f>
      </c>
      <c r="L84" s="39">
        <f>IF($A84="","",$G84*$J84)</f>
      </c>
      <c r="M84" s="39">
        <f>IF($A84="","",$G84*$K84)</f>
      </c>
      <c r="N84" s="16">
        <f>IF($A84="","",COUNTIF(Transactions!$C$2:$C$5001,$A84))</f>
      </c>
    </row>
    <row x14ac:dyDescent="0.25" r="85" customHeight="1" ht="17.25">
      <c r="A85" s="12">
        <f>IF(ROW()-1&lt;=COUNTA(Items_Master!$A$2:$A$2001),INDEX(Items_Master!$A$2:$A$2001,ROW()-1),"")</f>
      </c>
      <c r="B85" s="12">
        <f>IF($A85="","",VLOOKUP($A85,Items_Master!$A$2:$L$2001,2,FALSE))</f>
      </c>
      <c r="C85" s="12">
        <f>IF($A85="","",VLOOKUP($A85,Items_Master!$A$2:$L$2001,3,FALSE))</f>
      </c>
      <c r="D85" s="13">
        <f>IF($A85="","",SUMIFS(Transactions!$G$2:$G$5001,Transactions!$C$2:$C$5001,$A85,Transactions!$E$2:$E$5001,1)-SUMIFS(Transactions!$H$2:$H$5001,Transactions!$C$2:$C$5001,$A85,Transactions!$E$2:$E$5001,1))</f>
      </c>
      <c r="E85" s="13">
        <f>IF($A85="","",SUMIFS(Transactions!$G$2:$G$5001,Transactions!$C$2:$C$5001,$A85,Transactions!$E$2:$E$5001,2)-SUMIFS(Transactions!$H$2:$H$5001,Transactions!$C$2:$C$5001,$A85,Transactions!$E$2:$E$5001,2))</f>
      </c>
      <c r="F85" s="13">
        <f>IF($A85="","",SUMIFS(Transactions!$G$2:$G$5001,Transactions!$C$2:$C$5001,$A85,Transactions!$E$2:$E$5001,3)-SUMIFS(Transactions!$H$2:$H$5001,Transactions!$C$2:$C$5001,$A85,Transactions!$E$2:$E$5001,3))</f>
      </c>
      <c r="G85" s="13">
        <f>IF($A85="","",SUM($D85:$F85))</f>
      </c>
      <c r="H85" s="13">
        <f>IF($A85="","",VLOOKUP($A85,Items_Master!$A$2:$L$2001,6,FALSE))</f>
      </c>
      <c r="I85" s="40">
        <f>IF($A85="","",IF($G85&lt;=$H85,"LOW","OK"))</f>
      </c>
      <c r="J85" s="41">
        <f>IF($A85="","",VLOOKUP($A85,Items_Master!$A$2:$L$2001,4,FALSE))</f>
      </c>
      <c r="K85" s="41">
        <f>IF($A85="","",VLOOKUP($A85,Items_Master!$A$2:$L$2001,5,FALSE))</f>
      </c>
      <c r="L85" s="41">
        <f>IF($A85="","",$G85*$J85)</f>
      </c>
      <c r="M85" s="41">
        <f>IF($A85="","",$G85*$K85)</f>
      </c>
      <c r="N85" s="13">
        <f>IF($A85="","",COUNTIF(Transactions!$C$2:$C$5001,$A85))</f>
      </c>
    </row>
    <row x14ac:dyDescent="0.25" r="86" customHeight="1" ht="17.25">
      <c r="A86" s="15">
        <f>IF(ROW()-1&lt;=COUNTA(Items_Master!$A$2:$A$2001),INDEX(Items_Master!$A$2:$A$2001,ROW()-1),"")</f>
      </c>
      <c r="B86" s="15">
        <f>IF($A86="","",VLOOKUP($A86,Items_Master!$A$2:$L$2001,2,FALSE))</f>
      </c>
      <c r="C86" s="15">
        <f>IF($A86="","",VLOOKUP($A86,Items_Master!$A$2:$L$2001,3,FALSE))</f>
      </c>
      <c r="D86" s="16">
        <f>IF($A86="","",SUMIFS(Transactions!$G$2:$G$5001,Transactions!$C$2:$C$5001,$A86,Transactions!$E$2:$E$5001,1)-SUMIFS(Transactions!$H$2:$H$5001,Transactions!$C$2:$C$5001,$A86,Transactions!$E$2:$E$5001,1))</f>
      </c>
      <c r="E86" s="16">
        <f>IF($A86="","",SUMIFS(Transactions!$G$2:$G$5001,Transactions!$C$2:$C$5001,$A86,Transactions!$E$2:$E$5001,2)-SUMIFS(Transactions!$H$2:$H$5001,Transactions!$C$2:$C$5001,$A86,Transactions!$E$2:$E$5001,2))</f>
      </c>
      <c r="F86" s="16">
        <f>IF($A86="","",SUMIFS(Transactions!$G$2:$G$5001,Transactions!$C$2:$C$5001,$A86,Transactions!$E$2:$E$5001,3)-SUMIFS(Transactions!$H$2:$H$5001,Transactions!$C$2:$C$5001,$A86,Transactions!$E$2:$E$5001,3))</f>
      </c>
      <c r="G86" s="16">
        <f>IF($A86="","",SUM($D86:$F86))</f>
      </c>
      <c r="H86" s="16">
        <f>IF($A86="","",VLOOKUP($A86,Items_Master!$A$2:$L$2001,6,FALSE))</f>
      </c>
      <c r="I86" s="38">
        <f>IF($A86="","",IF($G86&lt;=$H86,"LOW","OK"))</f>
      </c>
      <c r="J86" s="39">
        <f>IF($A86="","",VLOOKUP($A86,Items_Master!$A$2:$L$2001,4,FALSE))</f>
      </c>
      <c r="K86" s="39">
        <f>IF($A86="","",VLOOKUP($A86,Items_Master!$A$2:$L$2001,5,FALSE))</f>
      </c>
      <c r="L86" s="39">
        <f>IF($A86="","",$G86*$J86)</f>
      </c>
      <c r="M86" s="39">
        <f>IF($A86="","",$G86*$K86)</f>
      </c>
      <c r="N86" s="16">
        <f>IF($A86="","",COUNTIF(Transactions!$C$2:$C$5001,$A86))</f>
      </c>
    </row>
    <row x14ac:dyDescent="0.25" r="87" customHeight="1" ht="17.25">
      <c r="A87" s="12">
        <f>IF(ROW()-1&lt;=COUNTA(Items_Master!$A$2:$A$2001),INDEX(Items_Master!$A$2:$A$2001,ROW()-1),"")</f>
      </c>
      <c r="B87" s="12">
        <f>IF($A87="","",VLOOKUP($A87,Items_Master!$A$2:$L$2001,2,FALSE))</f>
      </c>
      <c r="C87" s="12">
        <f>IF($A87="","",VLOOKUP($A87,Items_Master!$A$2:$L$2001,3,FALSE))</f>
      </c>
      <c r="D87" s="13">
        <f>IF($A87="","",SUMIFS(Transactions!$G$2:$G$5001,Transactions!$C$2:$C$5001,$A87,Transactions!$E$2:$E$5001,1)-SUMIFS(Transactions!$H$2:$H$5001,Transactions!$C$2:$C$5001,$A87,Transactions!$E$2:$E$5001,1))</f>
      </c>
      <c r="E87" s="13">
        <f>IF($A87="","",SUMIFS(Transactions!$G$2:$G$5001,Transactions!$C$2:$C$5001,$A87,Transactions!$E$2:$E$5001,2)-SUMIFS(Transactions!$H$2:$H$5001,Transactions!$C$2:$C$5001,$A87,Transactions!$E$2:$E$5001,2))</f>
      </c>
      <c r="F87" s="13">
        <f>IF($A87="","",SUMIFS(Transactions!$G$2:$G$5001,Transactions!$C$2:$C$5001,$A87,Transactions!$E$2:$E$5001,3)-SUMIFS(Transactions!$H$2:$H$5001,Transactions!$C$2:$C$5001,$A87,Transactions!$E$2:$E$5001,3))</f>
      </c>
      <c r="G87" s="13">
        <f>IF($A87="","",SUM($D87:$F87))</f>
      </c>
      <c r="H87" s="13">
        <f>IF($A87="","",VLOOKUP($A87,Items_Master!$A$2:$L$2001,6,FALSE))</f>
      </c>
      <c r="I87" s="40">
        <f>IF($A87="","",IF($G87&lt;=$H87,"LOW","OK"))</f>
      </c>
      <c r="J87" s="41">
        <f>IF($A87="","",VLOOKUP($A87,Items_Master!$A$2:$L$2001,4,FALSE))</f>
      </c>
      <c r="K87" s="41">
        <f>IF($A87="","",VLOOKUP($A87,Items_Master!$A$2:$L$2001,5,FALSE))</f>
      </c>
      <c r="L87" s="41">
        <f>IF($A87="","",$G87*$J87)</f>
      </c>
      <c r="M87" s="41">
        <f>IF($A87="","",$G87*$K87)</f>
      </c>
      <c r="N87" s="13">
        <f>IF($A87="","",COUNTIF(Transactions!$C$2:$C$5001,$A87))</f>
      </c>
    </row>
    <row x14ac:dyDescent="0.25" r="88" customHeight="1" ht="17.25">
      <c r="A88" s="15">
        <f>IF(ROW()-1&lt;=COUNTA(Items_Master!$A$2:$A$2001),INDEX(Items_Master!$A$2:$A$2001,ROW()-1),"")</f>
      </c>
      <c r="B88" s="15">
        <f>IF($A88="","",VLOOKUP($A88,Items_Master!$A$2:$L$2001,2,FALSE))</f>
      </c>
      <c r="C88" s="15">
        <f>IF($A88="","",VLOOKUP($A88,Items_Master!$A$2:$L$2001,3,FALSE))</f>
      </c>
      <c r="D88" s="16">
        <f>IF($A88="","",SUMIFS(Transactions!$G$2:$G$5001,Transactions!$C$2:$C$5001,$A88,Transactions!$E$2:$E$5001,1)-SUMIFS(Transactions!$H$2:$H$5001,Transactions!$C$2:$C$5001,$A88,Transactions!$E$2:$E$5001,1))</f>
      </c>
      <c r="E88" s="16">
        <f>IF($A88="","",SUMIFS(Transactions!$G$2:$G$5001,Transactions!$C$2:$C$5001,$A88,Transactions!$E$2:$E$5001,2)-SUMIFS(Transactions!$H$2:$H$5001,Transactions!$C$2:$C$5001,$A88,Transactions!$E$2:$E$5001,2))</f>
      </c>
      <c r="F88" s="16">
        <f>IF($A88="","",SUMIFS(Transactions!$G$2:$G$5001,Transactions!$C$2:$C$5001,$A88,Transactions!$E$2:$E$5001,3)-SUMIFS(Transactions!$H$2:$H$5001,Transactions!$C$2:$C$5001,$A88,Transactions!$E$2:$E$5001,3))</f>
      </c>
      <c r="G88" s="16">
        <f>IF($A88="","",SUM($D88:$F88))</f>
      </c>
      <c r="H88" s="16">
        <f>IF($A88="","",VLOOKUP($A88,Items_Master!$A$2:$L$2001,6,FALSE))</f>
      </c>
      <c r="I88" s="38">
        <f>IF($A88="","",IF($G88&lt;=$H88,"LOW","OK"))</f>
      </c>
      <c r="J88" s="39">
        <f>IF($A88="","",VLOOKUP($A88,Items_Master!$A$2:$L$2001,4,FALSE))</f>
      </c>
      <c r="K88" s="39">
        <f>IF($A88="","",VLOOKUP($A88,Items_Master!$A$2:$L$2001,5,FALSE))</f>
      </c>
      <c r="L88" s="39">
        <f>IF($A88="","",$G88*$J88)</f>
      </c>
      <c r="M88" s="39">
        <f>IF($A88="","",$G88*$K88)</f>
      </c>
      <c r="N88" s="16">
        <f>IF($A88="","",COUNTIF(Transactions!$C$2:$C$5001,$A88))</f>
      </c>
    </row>
    <row x14ac:dyDescent="0.25" r="89" customHeight="1" ht="17.25">
      <c r="A89" s="12">
        <f>IF(ROW()-1&lt;=COUNTA(Items_Master!$A$2:$A$2001),INDEX(Items_Master!$A$2:$A$2001,ROW()-1),"")</f>
      </c>
      <c r="B89" s="12">
        <f>IF($A89="","",VLOOKUP($A89,Items_Master!$A$2:$L$2001,2,FALSE))</f>
      </c>
      <c r="C89" s="12">
        <f>IF($A89="","",VLOOKUP($A89,Items_Master!$A$2:$L$2001,3,FALSE))</f>
      </c>
      <c r="D89" s="13">
        <f>IF($A89="","",SUMIFS(Transactions!$G$2:$G$5001,Transactions!$C$2:$C$5001,$A89,Transactions!$E$2:$E$5001,1)-SUMIFS(Transactions!$H$2:$H$5001,Transactions!$C$2:$C$5001,$A89,Transactions!$E$2:$E$5001,1))</f>
      </c>
      <c r="E89" s="13">
        <f>IF($A89="","",SUMIFS(Transactions!$G$2:$G$5001,Transactions!$C$2:$C$5001,$A89,Transactions!$E$2:$E$5001,2)-SUMIFS(Transactions!$H$2:$H$5001,Transactions!$C$2:$C$5001,$A89,Transactions!$E$2:$E$5001,2))</f>
      </c>
      <c r="F89" s="13">
        <f>IF($A89="","",SUMIFS(Transactions!$G$2:$G$5001,Transactions!$C$2:$C$5001,$A89,Transactions!$E$2:$E$5001,3)-SUMIFS(Transactions!$H$2:$H$5001,Transactions!$C$2:$C$5001,$A89,Transactions!$E$2:$E$5001,3))</f>
      </c>
      <c r="G89" s="13">
        <f>IF($A89="","",SUM($D89:$F89))</f>
      </c>
      <c r="H89" s="13">
        <f>IF($A89="","",VLOOKUP($A89,Items_Master!$A$2:$L$2001,6,FALSE))</f>
      </c>
      <c r="I89" s="40">
        <f>IF($A89="","",IF($G89&lt;=$H89,"LOW","OK"))</f>
      </c>
      <c r="J89" s="41">
        <f>IF($A89="","",VLOOKUP($A89,Items_Master!$A$2:$L$2001,4,FALSE))</f>
      </c>
      <c r="K89" s="41">
        <f>IF($A89="","",VLOOKUP($A89,Items_Master!$A$2:$L$2001,5,FALSE))</f>
      </c>
      <c r="L89" s="41">
        <f>IF($A89="","",$G89*$J89)</f>
      </c>
      <c r="M89" s="41">
        <f>IF($A89="","",$G89*$K89)</f>
      </c>
      <c r="N89" s="13">
        <f>IF($A89="","",COUNTIF(Transactions!$C$2:$C$5001,$A89))</f>
      </c>
    </row>
    <row x14ac:dyDescent="0.25" r="90" customHeight="1" ht="17.25">
      <c r="A90" s="15">
        <f>IF(ROW()-1&lt;=COUNTA(Items_Master!$A$2:$A$2001),INDEX(Items_Master!$A$2:$A$2001,ROW()-1),"")</f>
      </c>
      <c r="B90" s="15">
        <f>IF($A90="","",VLOOKUP($A90,Items_Master!$A$2:$L$2001,2,FALSE))</f>
      </c>
      <c r="C90" s="15">
        <f>IF($A90="","",VLOOKUP($A90,Items_Master!$A$2:$L$2001,3,FALSE))</f>
      </c>
      <c r="D90" s="16">
        <f>IF($A90="","",SUMIFS(Transactions!$G$2:$G$5001,Transactions!$C$2:$C$5001,$A90,Transactions!$E$2:$E$5001,1)-SUMIFS(Transactions!$H$2:$H$5001,Transactions!$C$2:$C$5001,$A90,Transactions!$E$2:$E$5001,1))</f>
      </c>
      <c r="E90" s="16">
        <f>IF($A90="","",SUMIFS(Transactions!$G$2:$G$5001,Transactions!$C$2:$C$5001,$A90,Transactions!$E$2:$E$5001,2)-SUMIFS(Transactions!$H$2:$H$5001,Transactions!$C$2:$C$5001,$A90,Transactions!$E$2:$E$5001,2))</f>
      </c>
      <c r="F90" s="16">
        <f>IF($A90="","",SUMIFS(Transactions!$G$2:$G$5001,Transactions!$C$2:$C$5001,$A90,Transactions!$E$2:$E$5001,3)-SUMIFS(Transactions!$H$2:$H$5001,Transactions!$C$2:$C$5001,$A90,Transactions!$E$2:$E$5001,3))</f>
      </c>
      <c r="G90" s="16">
        <f>IF($A90="","",SUM($D90:$F90))</f>
      </c>
      <c r="H90" s="16">
        <f>IF($A90="","",VLOOKUP($A90,Items_Master!$A$2:$L$2001,6,FALSE))</f>
      </c>
      <c r="I90" s="38">
        <f>IF($A90="","",IF($G90&lt;=$H90,"LOW","OK"))</f>
      </c>
      <c r="J90" s="39">
        <f>IF($A90="","",VLOOKUP($A90,Items_Master!$A$2:$L$2001,4,FALSE))</f>
      </c>
      <c r="K90" s="39">
        <f>IF($A90="","",VLOOKUP($A90,Items_Master!$A$2:$L$2001,5,FALSE))</f>
      </c>
      <c r="L90" s="39">
        <f>IF($A90="","",$G90*$J90)</f>
      </c>
      <c r="M90" s="39">
        <f>IF($A90="","",$G90*$K90)</f>
      </c>
      <c r="N90" s="16">
        <f>IF($A90="","",COUNTIF(Transactions!$C$2:$C$5001,$A90))</f>
      </c>
    </row>
    <row x14ac:dyDescent="0.25" r="91" customHeight="1" ht="17.25">
      <c r="A91" s="12">
        <f>IF(ROW()-1&lt;=COUNTA(Items_Master!$A$2:$A$2001),INDEX(Items_Master!$A$2:$A$2001,ROW()-1),"")</f>
      </c>
      <c r="B91" s="12">
        <f>IF($A91="","",VLOOKUP($A91,Items_Master!$A$2:$L$2001,2,FALSE))</f>
      </c>
      <c r="C91" s="12">
        <f>IF($A91="","",VLOOKUP($A91,Items_Master!$A$2:$L$2001,3,FALSE))</f>
      </c>
      <c r="D91" s="13">
        <f>IF($A91="","",SUMIFS(Transactions!$G$2:$G$5001,Transactions!$C$2:$C$5001,$A91,Transactions!$E$2:$E$5001,1)-SUMIFS(Transactions!$H$2:$H$5001,Transactions!$C$2:$C$5001,$A91,Transactions!$E$2:$E$5001,1))</f>
      </c>
      <c r="E91" s="13">
        <f>IF($A91="","",SUMIFS(Transactions!$G$2:$G$5001,Transactions!$C$2:$C$5001,$A91,Transactions!$E$2:$E$5001,2)-SUMIFS(Transactions!$H$2:$H$5001,Transactions!$C$2:$C$5001,$A91,Transactions!$E$2:$E$5001,2))</f>
      </c>
      <c r="F91" s="13">
        <f>IF($A91="","",SUMIFS(Transactions!$G$2:$G$5001,Transactions!$C$2:$C$5001,$A91,Transactions!$E$2:$E$5001,3)-SUMIFS(Transactions!$H$2:$H$5001,Transactions!$C$2:$C$5001,$A91,Transactions!$E$2:$E$5001,3))</f>
      </c>
      <c r="G91" s="13">
        <f>IF($A91="","",SUM($D91:$F91))</f>
      </c>
      <c r="H91" s="13">
        <f>IF($A91="","",VLOOKUP($A91,Items_Master!$A$2:$L$2001,6,FALSE))</f>
      </c>
      <c r="I91" s="40">
        <f>IF($A91="","",IF($G91&lt;=$H91,"LOW","OK"))</f>
      </c>
      <c r="J91" s="41">
        <f>IF($A91="","",VLOOKUP($A91,Items_Master!$A$2:$L$2001,4,FALSE))</f>
      </c>
      <c r="K91" s="41">
        <f>IF($A91="","",VLOOKUP($A91,Items_Master!$A$2:$L$2001,5,FALSE))</f>
      </c>
      <c r="L91" s="41">
        <f>IF($A91="","",$G91*$J91)</f>
      </c>
      <c r="M91" s="41">
        <f>IF($A91="","",$G91*$K91)</f>
      </c>
      <c r="N91" s="13">
        <f>IF($A91="","",COUNTIF(Transactions!$C$2:$C$5001,$A91))</f>
      </c>
    </row>
    <row x14ac:dyDescent="0.25" r="92" customHeight="1" ht="17.25">
      <c r="A92" s="15">
        <f>IF(ROW()-1&lt;=COUNTA(Items_Master!$A$2:$A$2001),INDEX(Items_Master!$A$2:$A$2001,ROW()-1),"")</f>
      </c>
      <c r="B92" s="15">
        <f>IF($A92="","",VLOOKUP($A92,Items_Master!$A$2:$L$2001,2,FALSE))</f>
      </c>
      <c r="C92" s="15">
        <f>IF($A92="","",VLOOKUP($A92,Items_Master!$A$2:$L$2001,3,FALSE))</f>
      </c>
      <c r="D92" s="16">
        <f>IF($A92="","",SUMIFS(Transactions!$G$2:$G$5001,Transactions!$C$2:$C$5001,$A92,Transactions!$E$2:$E$5001,1)-SUMIFS(Transactions!$H$2:$H$5001,Transactions!$C$2:$C$5001,$A92,Transactions!$E$2:$E$5001,1))</f>
      </c>
      <c r="E92" s="16">
        <f>IF($A92="","",SUMIFS(Transactions!$G$2:$G$5001,Transactions!$C$2:$C$5001,$A92,Transactions!$E$2:$E$5001,2)-SUMIFS(Transactions!$H$2:$H$5001,Transactions!$C$2:$C$5001,$A92,Transactions!$E$2:$E$5001,2))</f>
      </c>
      <c r="F92" s="16">
        <f>IF($A92="","",SUMIFS(Transactions!$G$2:$G$5001,Transactions!$C$2:$C$5001,$A92,Transactions!$E$2:$E$5001,3)-SUMIFS(Transactions!$H$2:$H$5001,Transactions!$C$2:$C$5001,$A92,Transactions!$E$2:$E$5001,3))</f>
      </c>
      <c r="G92" s="16">
        <f>IF($A92="","",SUM($D92:$F92))</f>
      </c>
      <c r="H92" s="16">
        <f>IF($A92="","",VLOOKUP($A92,Items_Master!$A$2:$L$2001,6,FALSE))</f>
      </c>
      <c r="I92" s="38">
        <f>IF($A92="","",IF($G92&lt;=$H92,"LOW","OK"))</f>
      </c>
      <c r="J92" s="39">
        <f>IF($A92="","",VLOOKUP($A92,Items_Master!$A$2:$L$2001,4,FALSE))</f>
      </c>
      <c r="K92" s="39">
        <f>IF($A92="","",VLOOKUP($A92,Items_Master!$A$2:$L$2001,5,FALSE))</f>
      </c>
      <c r="L92" s="39">
        <f>IF($A92="","",$G92*$J92)</f>
      </c>
      <c r="M92" s="39">
        <f>IF($A92="","",$G92*$K92)</f>
      </c>
      <c r="N92" s="16">
        <f>IF($A92="","",COUNTIF(Transactions!$C$2:$C$5001,$A92))</f>
      </c>
    </row>
    <row x14ac:dyDescent="0.25" r="93" customHeight="1" ht="17.25">
      <c r="A93" s="12">
        <f>IF(ROW()-1&lt;=COUNTA(Items_Master!$A$2:$A$2001),INDEX(Items_Master!$A$2:$A$2001,ROW()-1),"")</f>
      </c>
      <c r="B93" s="12">
        <f>IF($A93="","",VLOOKUP($A93,Items_Master!$A$2:$L$2001,2,FALSE))</f>
      </c>
      <c r="C93" s="12">
        <f>IF($A93="","",VLOOKUP($A93,Items_Master!$A$2:$L$2001,3,FALSE))</f>
      </c>
      <c r="D93" s="13">
        <f>IF($A93="","",SUMIFS(Transactions!$G$2:$G$5001,Transactions!$C$2:$C$5001,$A93,Transactions!$E$2:$E$5001,1)-SUMIFS(Transactions!$H$2:$H$5001,Transactions!$C$2:$C$5001,$A93,Transactions!$E$2:$E$5001,1))</f>
      </c>
      <c r="E93" s="13">
        <f>IF($A93="","",SUMIFS(Transactions!$G$2:$G$5001,Transactions!$C$2:$C$5001,$A93,Transactions!$E$2:$E$5001,2)-SUMIFS(Transactions!$H$2:$H$5001,Transactions!$C$2:$C$5001,$A93,Transactions!$E$2:$E$5001,2))</f>
      </c>
      <c r="F93" s="13">
        <f>IF($A93="","",SUMIFS(Transactions!$G$2:$G$5001,Transactions!$C$2:$C$5001,$A93,Transactions!$E$2:$E$5001,3)-SUMIFS(Transactions!$H$2:$H$5001,Transactions!$C$2:$C$5001,$A93,Transactions!$E$2:$E$5001,3))</f>
      </c>
      <c r="G93" s="13">
        <f>IF($A93="","",SUM($D93:$F93))</f>
      </c>
      <c r="H93" s="13">
        <f>IF($A93="","",VLOOKUP($A93,Items_Master!$A$2:$L$2001,6,FALSE))</f>
      </c>
      <c r="I93" s="40">
        <f>IF($A93="","",IF($G93&lt;=$H93,"LOW","OK"))</f>
      </c>
      <c r="J93" s="41">
        <f>IF($A93="","",VLOOKUP($A93,Items_Master!$A$2:$L$2001,4,FALSE))</f>
      </c>
      <c r="K93" s="41">
        <f>IF($A93="","",VLOOKUP($A93,Items_Master!$A$2:$L$2001,5,FALSE))</f>
      </c>
      <c r="L93" s="41">
        <f>IF($A93="","",$G93*$J93)</f>
      </c>
      <c r="M93" s="41">
        <f>IF($A93="","",$G93*$K93)</f>
      </c>
      <c r="N93" s="13">
        <f>IF($A93="","",COUNTIF(Transactions!$C$2:$C$5001,$A93))</f>
      </c>
    </row>
    <row x14ac:dyDescent="0.25" r="94" customHeight="1" ht="17.25">
      <c r="A94" s="15">
        <f>IF(ROW()-1&lt;=COUNTA(Items_Master!$A$2:$A$2001),INDEX(Items_Master!$A$2:$A$2001,ROW()-1),"")</f>
      </c>
      <c r="B94" s="15">
        <f>IF($A94="","",VLOOKUP($A94,Items_Master!$A$2:$L$2001,2,FALSE))</f>
      </c>
      <c r="C94" s="15">
        <f>IF($A94="","",VLOOKUP($A94,Items_Master!$A$2:$L$2001,3,FALSE))</f>
      </c>
      <c r="D94" s="16">
        <f>IF($A94="","",SUMIFS(Transactions!$G$2:$G$5001,Transactions!$C$2:$C$5001,$A94,Transactions!$E$2:$E$5001,1)-SUMIFS(Transactions!$H$2:$H$5001,Transactions!$C$2:$C$5001,$A94,Transactions!$E$2:$E$5001,1))</f>
      </c>
      <c r="E94" s="16">
        <f>IF($A94="","",SUMIFS(Transactions!$G$2:$G$5001,Transactions!$C$2:$C$5001,$A94,Transactions!$E$2:$E$5001,2)-SUMIFS(Transactions!$H$2:$H$5001,Transactions!$C$2:$C$5001,$A94,Transactions!$E$2:$E$5001,2))</f>
      </c>
      <c r="F94" s="16">
        <f>IF($A94="","",SUMIFS(Transactions!$G$2:$G$5001,Transactions!$C$2:$C$5001,$A94,Transactions!$E$2:$E$5001,3)-SUMIFS(Transactions!$H$2:$H$5001,Transactions!$C$2:$C$5001,$A94,Transactions!$E$2:$E$5001,3))</f>
      </c>
      <c r="G94" s="16">
        <f>IF($A94="","",SUM($D94:$F94))</f>
      </c>
      <c r="H94" s="16">
        <f>IF($A94="","",VLOOKUP($A94,Items_Master!$A$2:$L$2001,6,FALSE))</f>
      </c>
      <c r="I94" s="38">
        <f>IF($A94="","",IF($G94&lt;=$H94,"LOW","OK"))</f>
      </c>
      <c r="J94" s="39">
        <f>IF($A94="","",VLOOKUP($A94,Items_Master!$A$2:$L$2001,4,FALSE))</f>
      </c>
      <c r="K94" s="39">
        <f>IF($A94="","",VLOOKUP($A94,Items_Master!$A$2:$L$2001,5,FALSE))</f>
      </c>
      <c r="L94" s="39">
        <f>IF($A94="","",$G94*$J94)</f>
      </c>
      <c r="M94" s="39">
        <f>IF($A94="","",$G94*$K94)</f>
      </c>
      <c r="N94" s="16">
        <f>IF($A94="","",COUNTIF(Transactions!$C$2:$C$5001,$A94))</f>
      </c>
    </row>
    <row x14ac:dyDescent="0.25" r="95" customHeight="1" ht="17.25">
      <c r="A95" s="12">
        <f>IF(ROW()-1&lt;=COUNTA(Items_Master!$A$2:$A$2001),INDEX(Items_Master!$A$2:$A$2001,ROW()-1),"")</f>
      </c>
      <c r="B95" s="12">
        <f>IF($A95="","",VLOOKUP($A95,Items_Master!$A$2:$L$2001,2,FALSE))</f>
      </c>
      <c r="C95" s="12">
        <f>IF($A95="","",VLOOKUP($A95,Items_Master!$A$2:$L$2001,3,FALSE))</f>
      </c>
      <c r="D95" s="13">
        <f>IF($A95="","",SUMIFS(Transactions!$G$2:$G$5001,Transactions!$C$2:$C$5001,$A95,Transactions!$E$2:$E$5001,1)-SUMIFS(Transactions!$H$2:$H$5001,Transactions!$C$2:$C$5001,$A95,Transactions!$E$2:$E$5001,1))</f>
      </c>
      <c r="E95" s="13">
        <f>IF($A95="","",SUMIFS(Transactions!$G$2:$G$5001,Transactions!$C$2:$C$5001,$A95,Transactions!$E$2:$E$5001,2)-SUMIFS(Transactions!$H$2:$H$5001,Transactions!$C$2:$C$5001,$A95,Transactions!$E$2:$E$5001,2))</f>
      </c>
      <c r="F95" s="13">
        <f>IF($A95="","",SUMIFS(Transactions!$G$2:$G$5001,Transactions!$C$2:$C$5001,$A95,Transactions!$E$2:$E$5001,3)-SUMIFS(Transactions!$H$2:$H$5001,Transactions!$C$2:$C$5001,$A95,Transactions!$E$2:$E$5001,3))</f>
      </c>
      <c r="G95" s="13">
        <f>IF($A95="","",SUM($D95:$F95))</f>
      </c>
      <c r="H95" s="13">
        <f>IF($A95="","",VLOOKUP($A95,Items_Master!$A$2:$L$2001,6,FALSE))</f>
      </c>
      <c r="I95" s="40">
        <f>IF($A95="","",IF($G95&lt;=$H95,"LOW","OK"))</f>
      </c>
      <c r="J95" s="41">
        <f>IF($A95="","",VLOOKUP($A95,Items_Master!$A$2:$L$2001,4,FALSE))</f>
      </c>
      <c r="K95" s="41">
        <f>IF($A95="","",VLOOKUP($A95,Items_Master!$A$2:$L$2001,5,FALSE))</f>
      </c>
      <c r="L95" s="41">
        <f>IF($A95="","",$G95*$J95)</f>
      </c>
      <c r="M95" s="41">
        <f>IF($A95="","",$G95*$K95)</f>
      </c>
      <c r="N95" s="13">
        <f>IF($A95="","",COUNTIF(Transactions!$C$2:$C$5001,$A95))</f>
      </c>
    </row>
    <row x14ac:dyDescent="0.25" r="96" customHeight="1" ht="17.25">
      <c r="A96" s="15">
        <f>IF(ROW()-1&lt;=COUNTA(Items_Master!$A$2:$A$2001),INDEX(Items_Master!$A$2:$A$2001,ROW()-1),"")</f>
      </c>
      <c r="B96" s="15">
        <f>IF($A96="","",VLOOKUP($A96,Items_Master!$A$2:$L$2001,2,FALSE))</f>
      </c>
      <c r="C96" s="15">
        <f>IF($A96="","",VLOOKUP($A96,Items_Master!$A$2:$L$2001,3,FALSE))</f>
      </c>
      <c r="D96" s="16">
        <f>IF($A96="","",SUMIFS(Transactions!$G$2:$G$5001,Transactions!$C$2:$C$5001,$A96,Transactions!$E$2:$E$5001,1)-SUMIFS(Transactions!$H$2:$H$5001,Transactions!$C$2:$C$5001,$A96,Transactions!$E$2:$E$5001,1))</f>
      </c>
      <c r="E96" s="16">
        <f>IF($A96="","",SUMIFS(Transactions!$G$2:$G$5001,Transactions!$C$2:$C$5001,$A96,Transactions!$E$2:$E$5001,2)-SUMIFS(Transactions!$H$2:$H$5001,Transactions!$C$2:$C$5001,$A96,Transactions!$E$2:$E$5001,2))</f>
      </c>
      <c r="F96" s="16">
        <f>IF($A96="","",SUMIFS(Transactions!$G$2:$G$5001,Transactions!$C$2:$C$5001,$A96,Transactions!$E$2:$E$5001,3)-SUMIFS(Transactions!$H$2:$H$5001,Transactions!$C$2:$C$5001,$A96,Transactions!$E$2:$E$5001,3))</f>
      </c>
      <c r="G96" s="16">
        <f>IF($A96="","",SUM($D96:$F96))</f>
      </c>
      <c r="H96" s="16">
        <f>IF($A96="","",VLOOKUP($A96,Items_Master!$A$2:$L$2001,6,FALSE))</f>
      </c>
      <c r="I96" s="38">
        <f>IF($A96="","",IF($G96&lt;=$H96,"LOW","OK"))</f>
      </c>
      <c r="J96" s="39">
        <f>IF($A96="","",VLOOKUP($A96,Items_Master!$A$2:$L$2001,4,FALSE))</f>
      </c>
      <c r="K96" s="39">
        <f>IF($A96="","",VLOOKUP($A96,Items_Master!$A$2:$L$2001,5,FALSE))</f>
      </c>
      <c r="L96" s="39">
        <f>IF($A96="","",$G96*$J96)</f>
      </c>
      <c r="M96" s="39">
        <f>IF($A96="","",$G96*$K96)</f>
      </c>
      <c r="N96" s="16">
        <f>IF($A96="","",COUNTIF(Transactions!$C$2:$C$5001,$A96))</f>
      </c>
    </row>
    <row x14ac:dyDescent="0.25" r="97" customHeight="1" ht="17.25">
      <c r="A97" s="12">
        <f>IF(ROW()-1&lt;=COUNTA(Items_Master!$A$2:$A$2001),INDEX(Items_Master!$A$2:$A$2001,ROW()-1),"")</f>
      </c>
      <c r="B97" s="12">
        <f>IF($A97="","",VLOOKUP($A97,Items_Master!$A$2:$L$2001,2,FALSE))</f>
      </c>
      <c r="C97" s="12">
        <f>IF($A97="","",VLOOKUP($A97,Items_Master!$A$2:$L$2001,3,FALSE))</f>
      </c>
      <c r="D97" s="13">
        <f>IF($A97="","",SUMIFS(Transactions!$G$2:$G$5001,Transactions!$C$2:$C$5001,$A97,Transactions!$E$2:$E$5001,1)-SUMIFS(Transactions!$H$2:$H$5001,Transactions!$C$2:$C$5001,$A97,Transactions!$E$2:$E$5001,1))</f>
      </c>
      <c r="E97" s="13">
        <f>IF($A97="","",SUMIFS(Transactions!$G$2:$G$5001,Transactions!$C$2:$C$5001,$A97,Transactions!$E$2:$E$5001,2)-SUMIFS(Transactions!$H$2:$H$5001,Transactions!$C$2:$C$5001,$A97,Transactions!$E$2:$E$5001,2))</f>
      </c>
      <c r="F97" s="13">
        <f>IF($A97="","",SUMIFS(Transactions!$G$2:$G$5001,Transactions!$C$2:$C$5001,$A97,Transactions!$E$2:$E$5001,3)-SUMIFS(Transactions!$H$2:$H$5001,Transactions!$C$2:$C$5001,$A97,Transactions!$E$2:$E$5001,3))</f>
      </c>
      <c r="G97" s="13">
        <f>IF($A97="","",SUM($D97:$F97))</f>
      </c>
      <c r="H97" s="13">
        <f>IF($A97="","",VLOOKUP($A97,Items_Master!$A$2:$L$2001,6,FALSE))</f>
      </c>
      <c r="I97" s="40">
        <f>IF($A97="","",IF($G97&lt;=$H97,"LOW","OK"))</f>
      </c>
      <c r="J97" s="41">
        <f>IF($A97="","",VLOOKUP($A97,Items_Master!$A$2:$L$2001,4,FALSE))</f>
      </c>
      <c r="K97" s="41">
        <f>IF($A97="","",VLOOKUP($A97,Items_Master!$A$2:$L$2001,5,FALSE))</f>
      </c>
      <c r="L97" s="41">
        <f>IF($A97="","",$G97*$J97)</f>
      </c>
      <c r="M97" s="41">
        <f>IF($A97="","",$G97*$K97)</f>
      </c>
      <c r="N97" s="13">
        <f>IF($A97="","",COUNTIF(Transactions!$C$2:$C$5001,$A97))</f>
      </c>
    </row>
    <row x14ac:dyDescent="0.25" r="98" customHeight="1" ht="17.25">
      <c r="A98" s="15">
        <f>IF(ROW()-1&lt;=COUNTA(Items_Master!$A$2:$A$2001),INDEX(Items_Master!$A$2:$A$2001,ROW()-1),"")</f>
      </c>
      <c r="B98" s="15">
        <f>IF($A98="","",VLOOKUP($A98,Items_Master!$A$2:$L$2001,2,FALSE))</f>
      </c>
      <c r="C98" s="15">
        <f>IF($A98="","",VLOOKUP($A98,Items_Master!$A$2:$L$2001,3,FALSE))</f>
      </c>
      <c r="D98" s="16">
        <f>IF($A98="","",SUMIFS(Transactions!$G$2:$G$5001,Transactions!$C$2:$C$5001,$A98,Transactions!$E$2:$E$5001,1)-SUMIFS(Transactions!$H$2:$H$5001,Transactions!$C$2:$C$5001,$A98,Transactions!$E$2:$E$5001,1))</f>
      </c>
      <c r="E98" s="16">
        <f>IF($A98="","",SUMIFS(Transactions!$G$2:$G$5001,Transactions!$C$2:$C$5001,$A98,Transactions!$E$2:$E$5001,2)-SUMIFS(Transactions!$H$2:$H$5001,Transactions!$C$2:$C$5001,$A98,Transactions!$E$2:$E$5001,2))</f>
      </c>
      <c r="F98" s="16">
        <f>IF($A98="","",SUMIFS(Transactions!$G$2:$G$5001,Transactions!$C$2:$C$5001,$A98,Transactions!$E$2:$E$5001,3)-SUMIFS(Transactions!$H$2:$H$5001,Transactions!$C$2:$C$5001,$A98,Transactions!$E$2:$E$5001,3))</f>
      </c>
      <c r="G98" s="16">
        <f>IF($A98="","",SUM($D98:$F98))</f>
      </c>
      <c r="H98" s="16">
        <f>IF($A98="","",VLOOKUP($A98,Items_Master!$A$2:$L$2001,6,FALSE))</f>
      </c>
      <c r="I98" s="38">
        <f>IF($A98="","",IF($G98&lt;=$H98,"LOW","OK"))</f>
      </c>
      <c r="J98" s="39">
        <f>IF($A98="","",VLOOKUP($A98,Items_Master!$A$2:$L$2001,4,FALSE))</f>
      </c>
      <c r="K98" s="39">
        <f>IF($A98="","",VLOOKUP($A98,Items_Master!$A$2:$L$2001,5,FALSE))</f>
      </c>
      <c r="L98" s="39">
        <f>IF($A98="","",$G98*$J98)</f>
      </c>
      <c r="M98" s="39">
        <f>IF($A98="","",$G98*$K98)</f>
      </c>
      <c r="N98" s="16">
        <f>IF($A98="","",COUNTIF(Transactions!$C$2:$C$5001,$A98))</f>
      </c>
    </row>
    <row x14ac:dyDescent="0.25" r="99" customHeight="1" ht="17.25">
      <c r="A99" s="12">
        <f>IF(ROW()-1&lt;=COUNTA(Items_Master!$A$2:$A$2001),INDEX(Items_Master!$A$2:$A$2001,ROW()-1),"")</f>
      </c>
      <c r="B99" s="12">
        <f>IF($A99="","",VLOOKUP($A99,Items_Master!$A$2:$L$2001,2,FALSE))</f>
      </c>
      <c r="C99" s="12">
        <f>IF($A99="","",VLOOKUP($A99,Items_Master!$A$2:$L$2001,3,FALSE))</f>
      </c>
      <c r="D99" s="13">
        <f>IF($A99="","",SUMIFS(Transactions!$G$2:$G$5001,Transactions!$C$2:$C$5001,$A99,Transactions!$E$2:$E$5001,1)-SUMIFS(Transactions!$H$2:$H$5001,Transactions!$C$2:$C$5001,$A99,Transactions!$E$2:$E$5001,1))</f>
      </c>
      <c r="E99" s="13">
        <f>IF($A99="","",SUMIFS(Transactions!$G$2:$G$5001,Transactions!$C$2:$C$5001,$A99,Transactions!$E$2:$E$5001,2)-SUMIFS(Transactions!$H$2:$H$5001,Transactions!$C$2:$C$5001,$A99,Transactions!$E$2:$E$5001,2))</f>
      </c>
      <c r="F99" s="13">
        <f>IF($A99="","",SUMIFS(Transactions!$G$2:$G$5001,Transactions!$C$2:$C$5001,$A99,Transactions!$E$2:$E$5001,3)-SUMIFS(Transactions!$H$2:$H$5001,Transactions!$C$2:$C$5001,$A99,Transactions!$E$2:$E$5001,3))</f>
      </c>
      <c r="G99" s="13">
        <f>IF($A99="","",SUM($D99:$F99))</f>
      </c>
      <c r="H99" s="13">
        <f>IF($A99="","",VLOOKUP($A99,Items_Master!$A$2:$L$2001,6,FALSE))</f>
      </c>
      <c r="I99" s="40">
        <f>IF($A99="","",IF($G99&lt;=$H99,"LOW","OK"))</f>
      </c>
      <c r="J99" s="41">
        <f>IF($A99="","",VLOOKUP($A99,Items_Master!$A$2:$L$2001,4,FALSE))</f>
      </c>
      <c r="K99" s="41">
        <f>IF($A99="","",VLOOKUP($A99,Items_Master!$A$2:$L$2001,5,FALSE))</f>
      </c>
      <c r="L99" s="41">
        <f>IF($A99="","",$G99*$J99)</f>
      </c>
      <c r="M99" s="41">
        <f>IF($A99="","",$G99*$K99)</f>
      </c>
      <c r="N99" s="13">
        <f>IF($A99="","",COUNTIF(Transactions!$C$2:$C$5001,$A99))</f>
      </c>
    </row>
    <row x14ac:dyDescent="0.25" r="100" customHeight="1" ht="17.25">
      <c r="A100" s="15">
        <f>IF(ROW()-1&lt;=COUNTA(Items_Master!$A$2:$A$2001),INDEX(Items_Master!$A$2:$A$2001,ROW()-1),"")</f>
      </c>
      <c r="B100" s="15">
        <f>IF($A100="","",VLOOKUP($A100,Items_Master!$A$2:$L$2001,2,FALSE))</f>
      </c>
      <c r="C100" s="15">
        <f>IF($A100="","",VLOOKUP($A100,Items_Master!$A$2:$L$2001,3,FALSE))</f>
      </c>
      <c r="D100" s="16">
        <f>IF($A100="","",SUMIFS(Transactions!$G$2:$G$5001,Transactions!$C$2:$C$5001,$A100,Transactions!$E$2:$E$5001,1)-SUMIFS(Transactions!$H$2:$H$5001,Transactions!$C$2:$C$5001,$A100,Transactions!$E$2:$E$5001,1))</f>
      </c>
      <c r="E100" s="16">
        <f>IF($A100="","",SUMIFS(Transactions!$G$2:$G$5001,Transactions!$C$2:$C$5001,$A100,Transactions!$E$2:$E$5001,2)-SUMIFS(Transactions!$H$2:$H$5001,Transactions!$C$2:$C$5001,$A100,Transactions!$E$2:$E$5001,2))</f>
      </c>
      <c r="F100" s="16">
        <f>IF($A100="","",SUMIFS(Transactions!$G$2:$G$5001,Transactions!$C$2:$C$5001,$A100,Transactions!$E$2:$E$5001,3)-SUMIFS(Transactions!$H$2:$H$5001,Transactions!$C$2:$C$5001,$A100,Transactions!$E$2:$E$5001,3))</f>
      </c>
      <c r="G100" s="16">
        <f>IF($A100="","",SUM($D100:$F100))</f>
      </c>
      <c r="H100" s="16">
        <f>IF($A100="","",VLOOKUP($A100,Items_Master!$A$2:$L$2001,6,FALSE))</f>
      </c>
      <c r="I100" s="38">
        <f>IF($A100="","",IF($G100&lt;=$H100,"LOW","OK"))</f>
      </c>
      <c r="J100" s="39">
        <f>IF($A100="","",VLOOKUP($A100,Items_Master!$A$2:$L$2001,4,FALSE))</f>
      </c>
      <c r="K100" s="39">
        <f>IF($A100="","",VLOOKUP($A100,Items_Master!$A$2:$L$2001,5,FALSE))</f>
      </c>
      <c r="L100" s="39">
        <f>IF($A100="","",$G100*$J100)</f>
      </c>
      <c r="M100" s="39">
        <f>IF($A100="","",$G100*$K100)</f>
      </c>
      <c r="N100" s="16">
        <f>IF($A100="","",COUNTIF(Transactions!$C$2:$C$5001,$A100))</f>
      </c>
    </row>
    <row x14ac:dyDescent="0.25" r="101" customHeight="1" ht="17.25">
      <c r="A101" s="12">
        <f>IF(ROW()-1&lt;=COUNTA(Items_Master!$A$2:$A$2001),INDEX(Items_Master!$A$2:$A$2001,ROW()-1),"")</f>
      </c>
      <c r="B101" s="12">
        <f>IF($A101="","",VLOOKUP($A101,Items_Master!$A$2:$L$2001,2,FALSE))</f>
      </c>
      <c r="C101" s="12">
        <f>IF($A101="","",VLOOKUP($A101,Items_Master!$A$2:$L$2001,3,FALSE))</f>
      </c>
      <c r="D101" s="13">
        <f>IF($A101="","",SUMIFS(Transactions!$G$2:$G$5001,Transactions!$C$2:$C$5001,$A101,Transactions!$E$2:$E$5001,1)-SUMIFS(Transactions!$H$2:$H$5001,Transactions!$C$2:$C$5001,$A101,Transactions!$E$2:$E$5001,1))</f>
      </c>
      <c r="E101" s="13">
        <f>IF($A101="","",SUMIFS(Transactions!$G$2:$G$5001,Transactions!$C$2:$C$5001,$A101,Transactions!$E$2:$E$5001,2)-SUMIFS(Transactions!$H$2:$H$5001,Transactions!$C$2:$C$5001,$A101,Transactions!$E$2:$E$5001,2))</f>
      </c>
      <c r="F101" s="13">
        <f>IF($A101="","",SUMIFS(Transactions!$G$2:$G$5001,Transactions!$C$2:$C$5001,$A101,Transactions!$E$2:$E$5001,3)-SUMIFS(Transactions!$H$2:$H$5001,Transactions!$C$2:$C$5001,$A101,Transactions!$E$2:$E$5001,3))</f>
      </c>
      <c r="G101" s="13">
        <f>IF($A101="","",SUM($D101:$F101))</f>
      </c>
      <c r="H101" s="13">
        <f>IF($A101="","",VLOOKUP($A101,Items_Master!$A$2:$L$2001,6,FALSE))</f>
      </c>
      <c r="I101" s="40">
        <f>IF($A101="","",IF($G101&lt;=$H101,"LOW","OK"))</f>
      </c>
      <c r="J101" s="41">
        <f>IF($A101="","",VLOOKUP($A101,Items_Master!$A$2:$L$2001,4,FALSE))</f>
      </c>
      <c r="K101" s="41">
        <f>IF($A101="","",VLOOKUP($A101,Items_Master!$A$2:$L$2001,5,FALSE))</f>
      </c>
      <c r="L101" s="41">
        <f>IF($A101="","",$G101*$J101)</f>
      </c>
      <c r="M101" s="41">
        <f>IF($A101="","",$G101*$K101)</f>
      </c>
      <c r="N101" s="13">
        <f>IF($A101="","",COUNTIF(Transactions!$C$2:$C$5001,$A101))</f>
      </c>
    </row>
    <row x14ac:dyDescent="0.25" r="102" customHeight="1" ht="17.25">
      <c r="A102" s="15">
        <f>IF(ROW()-1&lt;=COUNTA(Items_Master!$A$2:$A$2001),INDEX(Items_Master!$A$2:$A$2001,ROW()-1),"")</f>
      </c>
      <c r="B102" s="15">
        <f>IF($A102="","",VLOOKUP($A102,Items_Master!$A$2:$L$2001,2,FALSE))</f>
      </c>
      <c r="C102" s="15">
        <f>IF($A102="","",VLOOKUP($A102,Items_Master!$A$2:$L$2001,3,FALSE))</f>
      </c>
      <c r="D102" s="16">
        <f>IF($A102="","",SUMIFS(Transactions!$G$2:$G$5001,Transactions!$C$2:$C$5001,$A102,Transactions!$E$2:$E$5001,1)-SUMIFS(Transactions!$H$2:$H$5001,Transactions!$C$2:$C$5001,$A102,Transactions!$E$2:$E$5001,1))</f>
      </c>
      <c r="E102" s="16">
        <f>IF($A102="","",SUMIFS(Transactions!$G$2:$G$5001,Transactions!$C$2:$C$5001,$A102,Transactions!$E$2:$E$5001,2)-SUMIFS(Transactions!$H$2:$H$5001,Transactions!$C$2:$C$5001,$A102,Transactions!$E$2:$E$5001,2))</f>
      </c>
      <c r="F102" s="16">
        <f>IF($A102="","",SUMIFS(Transactions!$G$2:$G$5001,Transactions!$C$2:$C$5001,$A102,Transactions!$E$2:$E$5001,3)-SUMIFS(Transactions!$H$2:$H$5001,Transactions!$C$2:$C$5001,$A102,Transactions!$E$2:$E$5001,3))</f>
      </c>
      <c r="G102" s="16">
        <f>IF($A102="","",SUM($D102:$F102))</f>
      </c>
      <c r="H102" s="16">
        <f>IF($A102="","",VLOOKUP($A102,Items_Master!$A$2:$L$2001,6,FALSE))</f>
      </c>
      <c r="I102" s="38">
        <f>IF($A102="","",IF($G102&lt;=$H102,"LOW","OK"))</f>
      </c>
      <c r="J102" s="39">
        <f>IF($A102="","",VLOOKUP($A102,Items_Master!$A$2:$L$2001,4,FALSE))</f>
      </c>
      <c r="K102" s="39">
        <f>IF($A102="","",VLOOKUP($A102,Items_Master!$A$2:$L$2001,5,FALSE))</f>
      </c>
      <c r="L102" s="39">
        <f>IF($A102="","",$G102*$J102)</f>
      </c>
      <c r="M102" s="39">
        <f>IF($A102="","",$G102*$K102)</f>
      </c>
      <c r="N102" s="16">
        <f>IF($A102="","",COUNTIF(Transactions!$C$2:$C$5001,$A102))</f>
      </c>
    </row>
    <row x14ac:dyDescent="0.25" r="103" customHeight="1" ht="17.25">
      <c r="A103" s="12">
        <f>IF(ROW()-1&lt;=COUNTA(Items_Master!$A$2:$A$2001),INDEX(Items_Master!$A$2:$A$2001,ROW()-1),"")</f>
      </c>
      <c r="B103" s="12">
        <f>IF($A103="","",VLOOKUP($A103,Items_Master!$A$2:$L$2001,2,FALSE))</f>
      </c>
      <c r="C103" s="12">
        <f>IF($A103="","",VLOOKUP($A103,Items_Master!$A$2:$L$2001,3,FALSE))</f>
      </c>
      <c r="D103" s="13">
        <f>IF($A103="","",SUMIFS(Transactions!$G$2:$G$5001,Transactions!$C$2:$C$5001,$A103,Transactions!$E$2:$E$5001,1)-SUMIFS(Transactions!$H$2:$H$5001,Transactions!$C$2:$C$5001,$A103,Transactions!$E$2:$E$5001,1))</f>
      </c>
      <c r="E103" s="13">
        <f>IF($A103="","",SUMIFS(Transactions!$G$2:$G$5001,Transactions!$C$2:$C$5001,$A103,Transactions!$E$2:$E$5001,2)-SUMIFS(Transactions!$H$2:$H$5001,Transactions!$C$2:$C$5001,$A103,Transactions!$E$2:$E$5001,2))</f>
      </c>
      <c r="F103" s="13">
        <f>IF($A103="","",SUMIFS(Transactions!$G$2:$G$5001,Transactions!$C$2:$C$5001,$A103,Transactions!$E$2:$E$5001,3)-SUMIFS(Transactions!$H$2:$H$5001,Transactions!$C$2:$C$5001,$A103,Transactions!$E$2:$E$5001,3))</f>
      </c>
      <c r="G103" s="13">
        <f>IF($A103="","",SUM($D103:$F103))</f>
      </c>
      <c r="H103" s="13">
        <f>IF($A103="","",VLOOKUP($A103,Items_Master!$A$2:$L$2001,6,FALSE))</f>
      </c>
      <c r="I103" s="40">
        <f>IF($A103="","",IF($G103&lt;=$H103,"LOW","OK"))</f>
      </c>
      <c r="J103" s="41">
        <f>IF($A103="","",VLOOKUP($A103,Items_Master!$A$2:$L$2001,4,FALSE))</f>
      </c>
      <c r="K103" s="41">
        <f>IF($A103="","",VLOOKUP($A103,Items_Master!$A$2:$L$2001,5,FALSE))</f>
      </c>
      <c r="L103" s="41">
        <f>IF($A103="","",$G103*$J103)</f>
      </c>
      <c r="M103" s="41">
        <f>IF($A103="","",$G103*$K103)</f>
      </c>
      <c r="N103" s="13">
        <f>IF($A103="","",COUNTIF(Transactions!$C$2:$C$5001,$A103))</f>
      </c>
    </row>
    <row x14ac:dyDescent="0.25" r="104" customHeight="1" ht="17.25">
      <c r="A104" s="15">
        <f>IF(ROW()-1&lt;=COUNTA(Items_Master!$A$2:$A$2001),INDEX(Items_Master!$A$2:$A$2001,ROW()-1),"")</f>
      </c>
      <c r="B104" s="15">
        <f>IF($A104="","",VLOOKUP($A104,Items_Master!$A$2:$L$2001,2,FALSE))</f>
      </c>
      <c r="C104" s="15">
        <f>IF($A104="","",VLOOKUP($A104,Items_Master!$A$2:$L$2001,3,FALSE))</f>
      </c>
      <c r="D104" s="16">
        <f>IF($A104="","",SUMIFS(Transactions!$G$2:$G$5001,Transactions!$C$2:$C$5001,$A104,Transactions!$E$2:$E$5001,1)-SUMIFS(Transactions!$H$2:$H$5001,Transactions!$C$2:$C$5001,$A104,Transactions!$E$2:$E$5001,1))</f>
      </c>
      <c r="E104" s="16">
        <f>IF($A104="","",SUMIFS(Transactions!$G$2:$G$5001,Transactions!$C$2:$C$5001,$A104,Transactions!$E$2:$E$5001,2)-SUMIFS(Transactions!$H$2:$H$5001,Transactions!$C$2:$C$5001,$A104,Transactions!$E$2:$E$5001,2))</f>
      </c>
      <c r="F104" s="16">
        <f>IF($A104="","",SUMIFS(Transactions!$G$2:$G$5001,Transactions!$C$2:$C$5001,$A104,Transactions!$E$2:$E$5001,3)-SUMIFS(Transactions!$H$2:$H$5001,Transactions!$C$2:$C$5001,$A104,Transactions!$E$2:$E$5001,3))</f>
      </c>
      <c r="G104" s="16">
        <f>IF($A104="","",SUM($D104:$F104))</f>
      </c>
      <c r="H104" s="16">
        <f>IF($A104="","",VLOOKUP($A104,Items_Master!$A$2:$L$2001,6,FALSE))</f>
      </c>
      <c r="I104" s="38">
        <f>IF($A104="","",IF($G104&lt;=$H104,"LOW","OK"))</f>
      </c>
      <c r="J104" s="39">
        <f>IF($A104="","",VLOOKUP($A104,Items_Master!$A$2:$L$2001,4,FALSE))</f>
      </c>
      <c r="K104" s="39">
        <f>IF($A104="","",VLOOKUP($A104,Items_Master!$A$2:$L$2001,5,FALSE))</f>
      </c>
      <c r="L104" s="39">
        <f>IF($A104="","",$G104*$J104)</f>
      </c>
      <c r="M104" s="39">
        <f>IF($A104="","",$G104*$K104)</f>
      </c>
      <c r="N104" s="16">
        <f>IF($A104="","",COUNTIF(Transactions!$C$2:$C$5001,$A104))</f>
      </c>
    </row>
    <row x14ac:dyDescent="0.25" r="105" customHeight="1" ht="17.25">
      <c r="A105" s="12">
        <f>IF(ROW()-1&lt;=COUNTA(Items_Master!$A$2:$A$2001),INDEX(Items_Master!$A$2:$A$2001,ROW()-1),"")</f>
      </c>
      <c r="B105" s="12">
        <f>IF($A105="","",VLOOKUP($A105,Items_Master!$A$2:$L$2001,2,FALSE))</f>
      </c>
      <c r="C105" s="12">
        <f>IF($A105="","",VLOOKUP($A105,Items_Master!$A$2:$L$2001,3,FALSE))</f>
      </c>
      <c r="D105" s="13">
        <f>IF($A105="","",SUMIFS(Transactions!$G$2:$G$5001,Transactions!$C$2:$C$5001,$A105,Transactions!$E$2:$E$5001,1)-SUMIFS(Transactions!$H$2:$H$5001,Transactions!$C$2:$C$5001,$A105,Transactions!$E$2:$E$5001,1))</f>
      </c>
      <c r="E105" s="13">
        <f>IF($A105="","",SUMIFS(Transactions!$G$2:$G$5001,Transactions!$C$2:$C$5001,$A105,Transactions!$E$2:$E$5001,2)-SUMIFS(Transactions!$H$2:$H$5001,Transactions!$C$2:$C$5001,$A105,Transactions!$E$2:$E$5001,2))</f>
      </c>
      <c r="F105" s="13">
        <f>IF($A105="","",SUMIFS(Transactions!$G$2:$G$5001,Transactions!$C$2:$C$5001,$A105,Transactions!$E$2:$E$5001,3)-SUMIFS(Transactions!$H$2:$H$5001,Transactions!$C$2:$C$5001,$A105,Transactions!$E$2:$E$5001,3))</f>
      </c>
      <c r="G105" s="13">
        <f>IF($A105="","",SUM($D105:$F105))</f>
      </c>
      <c r="H105" s="13">
        <f>IF($A105="","",VLOOKUP($A105,Items_Master!$A$2:$L$2001,6,FALSE))</f>
      </c>
      <c r="I105" s="40">
        <f>IF($A105="","",IF($G105&lt;=$H105,"LOW","OK"))</f>
      </c>
      <c r="J105" s="41">
        <f>IF($A105="","",VLOOKUP($A105,Items_Master!$A$2:$L$2001,4,FALSE))</f>
      </c>
      <c r="K105" s="41">
        <f>IF($A105="","",VLOOKUP($A105,Items_Master!$A$2:$L$2001,5,FALSE))</f>
      </c>
      <c r="L105" s="41">
        <f>IF($A105="","",$G105*$J105)</f>
      </c>
      <c r="M105" s="41">
        <f>IF($A105="","",$G105*$K105)</f>
      </c>
      <c r="N105" s="13">
        <f>IF($A105="","",COUNTIF(Transactions!$C$2:$C$5001,$A105))</f>
      </c>
    </row>
    <row x14ac:dyDescent="0.25" r="106" customHeight="1" ht="17.25">
      <c r="A106" s="15">
        <f>IF(ROW()-1&lt;=COUNTA(Items_Master!$A$2:$A$2001),INDEX(Items_Master!$A$2:$A$2001,ROW()-1),"")</f>
      </c>
      <c r="B106" s="15">
        <f>IF($A106="","",VLOOKUP($A106,Items_Master!$A$2:$L$2001,2,FALSE))</f>
      </c>
      <c r="C106" s="15">
        <f>IF($A106="","",VLOOKUP($A106,Items_Master!$A$2:$L$2001,3,FALSE))</f>
      </c>
      <c r="D106" s="16">
        <f>IF($A106="","",SUMIFS(Transactions!$G$2:$G$5001,Transactions!$C$2:$C$5001,$A106,Transactions!$E$2:$E$5001,1)-SUMIFS(Transactions!$H$2:$H$5001,Transactions!$C$2:$C$5001,$A106,Transactions!$E$2:$E$5001,1))</f>
      </c>
      <c r="E106" s="16">
        <f>IF($A106="","",SUMIFS(Transactions!$G$2:$G$5001,Transactions!$C$2:$C$5001,$A106,Transactions!$E$2:$E$5001,2)-SUMIFS(Transactions!$H$2:$H$5001,Transactions!$C$2:$C$5001,$A106,Transactions!$E$2:$E$5001,2))</f>
      </c>
      <c r="F106" s="16">
        <f>IF($A106="","",SUMIFS(Transactions!$G$2:$G$5001,Transactions!$C$2:$C$5001,$A106,Transactions!$E$2:$E$5001,3)-SUMIFS(Transactions!$H$2:$H$5001,Transactions!$C$2:$C$5001,$A106,Transactions!$E$2:$E$5001,3))</f>
      </c>
      <c r="G106" s="16">
        <f>IF($A106="","",SUM($D106:$F106))</f>
      </c>
      <c r="H106" s="16">
        <f>IF($A106="","",VLOOKUP($A106,Items_Master!$A$2:$L$2001,6,FALSE))</f>
      </c>
      <c r="I106" s="38">
        <f>IF($A106="","",IF($G106&lt;=$H106,"LOW","OK"))</f>
      </c>
      <c r="J106" s="39">
        <f>IF($A106="","",VLOOKUP($A106,Items_Master!$A$2:$L$2001,4,FALSE))</f>
      </c>
      <c r="K106" s="39">
        <f>IF($A106="","",VLOOKUP($A106,Items_Master!$A$2:$L$2001,5,FALSE))</f>
      </c>
      <c r="L106" s="39">
        <f>IF($A106="","",$G106*$J106)</f>
      </c>
      <c r="M106" s="39">
        <f>IF($A106="","",$G106*$K106)</f>
      </c>
      <c r="N106" s="16">
        <f>IF($A106="","",COUNTIF(Transactions!$C$2:$C$5001,$A106))</f>
      </c>
    </row>
    <row x14ac:dyDescent="0.25" r="107" customHeight="1" ht="17.25">
      <c r="A107" s="12">
        <f>IF(ROW()-1&lt;=COUNTA(Items_Master!$A$2:$A$2001),INDEX(Items_Master!$A$2:$A$2001,ROW()-1),"")</f>
      </c>
      <c r="B107" s="12">
        <f>IF($A107="","",VLOOKUP($A107,Items_Master!$A$2:$L$2001,2,FALSE))</f>
      </c>
      <c r="C107" s="12">
        <f>IF($A107="","",VLOOKUP($A107,Items_Master!$A$2:$L$2001,3,FALSE))</f>
      </c>
      <c r="D107" s="13">
        <f>IF($A107="","",SUMIFS(Transactions!$G$2:$G$5001,Transactions!$C$2:$C$5001,$A107,Transactions!$E$2:$E$5001,1)-SUMIFS(Transactions!$H$2:$H$5001,Transactions!$C$2:$C$5001,$A107,Transactions!$E$2:$E$5001,1))</f>
      </c>
      <c r="E107" s="13">
        <f>IF($A107="","",SUMIFS(Transactions!$G$2:$G$5001,Transactions!$C$2:$C$5001,$A107,Transactions!$E$2:$E$5001,2)-SUMIFS(Transactions!$H$2:$H$5001,Transactions!$C$2:$C$5001,$A107,Transactions!$E$2:$E$5001,2))</f>
      </c>
      <c r="F107" s="13">
        <f>IF($A107="","",SUMIFS(Transactions!$G$2:$G$5001,Transactions!$C$2:$C$5001,$A107,Transactions!$E$2:$E$5001,3)-SUMIFS(Transactions!$H$2:$H$5001,Transactions!$C$2:$C$5001,$A107,Transactions!$E$2:$E$5001,3))</f>
      </c>
      <c r="G107" s="13">
        <f>IF($A107="","",SUM($D107:$F107))</f>
      </c>
      <c r="H107" s="13">
        <f>IF($A107="","",VLOOKUP($A107,Items_Master!$A$2:$L$2001,6,FALSE))</f>
      </c>
      <c r="I107" s="40">
        <f>IF($A107="","",IF($G107&lt;=$H107,"LOW","OK"))</f>
      </c>
      <c r="J107" s="41">
        <f>IF($A107="","",VLOOKUP($A107,Items_Master!$A$2:$L$2001,4,FALSE))</f>
      </c>
      <c r="K107" s="41">
        <f>IF($A107="","",VLOOKUP($A107,Items_Master!$A$2:$L$2001,5,FALSE))</f>
      </c>
      <c r="L107" s="41">
        <f>IF($A107="","",$G107*$J107)</f>
      </c>
      <c r="M107" s="41">
        <f>IF($A107="","",$G107*$K107)</f>
      </c>
      <c r="N107" s="13">
        <f>IF($A107="","",COUNTIF(Transactions!$C$2:$C$5001,$A107))</f>
      </c>
    </row>
    <row x14ac:dyDescent="0.25" r="108" customHeight="1" ht="17.25">
      <c r="A108" s="15">
        <f>IF(ROW()-1&lt;=COUNTA(Items_Master!$A$2:$A$2001),INDEX(Items_Master!$A$2:$A$2001,ROW()-1),"")</f>
      </c>
      <c r="B108" s="15">
        <f>IF($A108="","",VLOOKUP($A108,Items_Master!$A$2:$L$2001,2,FALSE))</f>
      </c>
      <c r="C108" s="15">
        <f>IF($A108="","",VLOOKUP($A108,Items_Master!$A$2:$L$2001,3,FALSE))</f>
      </c>
      <c r="D108" s="16">
        <f>IF($A108="","",SUMIFS(Transactions!$G$2:$G$5001,Transactions!$C$2:$C$5001,$A108,Transactions!$E$2:$E$5001,1)-SUMIFS(Transactions!$H$2:$H$5001,Transactions!$C$2:$C$5001,$A108,Transactions!$E$2:$E$5001,1))</f>
      </c>
      <c r="E108" s="16">
        <f>IF($A108="","",SUMIFS(Transactions!$G$2:$G$5001,Transactions!$C$2:$C$5001,$A108,Transactions!$E$2:$E$5001,2)-SUMIFS(Transactions!$H$2:$H$5001,Transactions!$C$2:$C$5001,$A108,Transactions!$E$2:$E$5001,2))</f>
      </c>
      <c r="F108" s="16">
        <f>IF($A108="","",SUMIFS(Transactions!$G$2:$G$5001,Transactions!$C$2:$C$5001,$A108,Transactions!$E$2:$E$5001,3)-SUMIFS(Transactions!$H$2:$H$5001,Transactions!$C$2:$C$5001,$A108,Transactions!$E$2:$E$5001,3))</f>
      </c>
      <c r="G108" s="16">
        <f>IF($A108="","",SUM($D108:$F108))</f>
      </c>
      <c r="H108" s="16">
        <f>IF($A108="","",VLOOKUP($A108,Items_Master!$A$2:$L$2001,6,FALSE))</f>
      </c>
      <c r="I108" s="38">
        <f>IF($A108="","",IF($G108&lt;=$H108,"LOW","OK"))</f>
      </c>
      <c r="J108" s="39">
        <f>IF($A108="","",VLOOKUP($A108,Items_Master!$A$2:$L$2001,4,FALSE))</f>
      </c>
      <c r="K108" s="39">
        <f>IF($A108="","",VLOOKUP($A108,Items_Master!$A$2:$L$2001,5,FALSE))</f>
      </c>
      <c r="L108" s="39">
        <f>IF($A108="","",$G108*$J108)</f>
      </c>
      <c r="M108" s="39">
        <f>IF($A108="","",$G108*$K108)</f>
      </c>
      <c r="N108" s="16">
        <f>IF($A108="","",COUNTIF(Transactions!$C$2:$C$5001,$A108))</f>
      </c>
    </row>
    <row x14ac:dyDescent="0.25" r="109" customHeight="1" ht="17.25">
      <c r="A109" s="12">
        <f>IF(ROW()-1&lt;=COUNTA(Items_Master!$A$2:$A$2001),INDEX(Items_Master!$A$2:$A$2001,ROW()-1),"")</f>
      </c>
      <c r="B109" s="12">
        <f>IF($A109="","",VLOOKUP($A109,Items_Master!$A$2:$L$2001,2,FALSE))</f>
      </c>
      <c r="C109" s="12">
        <f>IF($A109="","",VLOOKUP($A109,Items_Master!$A$2:$L$2001,3,FALSE))</f>
      </c>
      <c r="D109" s="13">
        <f>IF($A109="","",SUMIFS(Transactions!$G$2:$G$5001,Transactions!$C$2:$C$5001,$A109,Transactions!$E$2:$E$5001,1)-SUMIFS(Transactions!$H$2:$H$5001,Transactions!$C$2:$C$5001,$A109,Transactions!$E$2:$E$5001,1))</f>
      </c>
      <c r="E109" s="13">
        <f>IF($A109="","",SUMIFS(Transactions!$G$2:$G$5001,Transactions!$C$2:$C$5001,$A109,Transactions!$E$2:$E$5001,2)-SUMIFS(Transactions!$H$2:$H$5001,Transactions!$C$2:$C$5001,$A109,Transactions!$E$2:$E$5001,2))</f>
      </c>
      <c r="F109" s="13">
        <f>IF($A109="","",SUMIFS(Transactions!$G$2:$G$5001,Transactions!$C$2:$C$5001,$A109,Transactions!$E$2:$E$5001,3)-SUMIFS(Transactions!$H$2:$H$5001,Transactions!$C$2:$C$5001,$A109,Transactions!$E$2:$E$5001,3))</f>
      </c>
      <c r="G109" s="13">
        <f>IF($A109="","",SUM($D109:$F109))</f>
      </c>
      <c r="H109" s="13">
        <f>IF($A109="","",VLOOKUP($A109,Items_Master!$A$2:$L$2001,6,FALSE))</f>
      </c>
      <c r="I109" s="40">
        <f>IF($A109="","",IF($G109&lt;=$H109,"LOW","OK"))</f>
      </c>
      <c r="J109" s="41">
        <f>IF($A109="","",VLOOKUP($A109,Items_Master!$A$2:$L$2001,4,FALSE))</f>
      </c>
      <c r="K109" s="41">
        <f>IF($A109="","",VLOOKUP($A109,Items_Master!$A$2:$L$2001,5,FALSE))</f>
      </c>
      <c r="L109" s="41">
        <f>IF($A109="","",$G109*$J109)</f>
      </c>
      <c r="M109" s="41">
        <f>IF($A109="","",$G109*$K109)</f>
      </c>
      <c r="N109" s="13">
        <f>IF($A109="","",COUNTIF(Transactions!$C$2:$C$5001,$A109))</f>
      </c>
    </row>
    <row x14ac:dyDescent="0.25" r="110" customHeight="1" ht="17.25">
      <c r="A110" s="15">
        <f>IF(ROW()-1&lt;=COUNTA(Items_Master!$A$2:$A$2001),INDEX(Items_Master!$A$2:$A$2001,ROW()-1),"")</f>
      </c>
      <c r="B110" s="15">
        <f>IF($A110="","",VLOOKUP($A110,Items_Master!$A$2:$L$2001,2,FALSE))</f>
      </c>
      <c r="C110" s="15">
        <f>IF($A110="","",VLOOKUP($A110,Items_Master!$A$2:$L$2001,3,FALSE))</f>
      </c>
      <c r="D110" s="16">
        <f>IF($A110="","",SUMIFS(Transactions!$G$2:$G$5001,Transactions!$C$2:$C$5001,$A110,Transactions!$E$2:$E$5001,1)-SUMIFS(Transactions!$H$2:$H$5001,Transactions!$C$2:$C$5001,$A110,Transactions!$E$2:$E$5001,1))</f>
      </c>
      <c r="E110" s="16">
        <f>IF($A110="","",SUMIFS(Transactions!$G$2:$G$5001,Transactions!$C$2:$C$5001,$A110,Transactions!$E$2:$E$5001,2)-SUMIFS(Transactions!$H$2:$H$5001,Transactions!$C$2:$C$5001,$A110,Transactions!$E$2:$E$5001,2))</f>
      </c>
      <c r="F110" s="16">
        <f>IF($A110="","",SUMIFS(Transactions!$G$2:$G$5001,Transactions!$C$2:$C$5001,$A110,Transactions!$E$2:$E$5001,3)-SUMIFS(Transactions!$H$2:$H$5001,Transactions!$C$2:$C$5001,$A110,Transactions!$E$2:$E$5001,3))</f>
      </c>
      <c r="G110" s="16">
        <f>IF($A110="","",SUM($D110:$F110))</f>
      </c>
      <c r="H110" s="16">
        <f>IF($A110="","",VLOOKUP($A110,Items_Master!$A$2:$L$2001,6,FALSE))</f>
      </c>
      <c r="I110" s="38">
        <f>IF($A110="","",IF($G110&lt;=$H110,"LOW","OK"))</f>
      </c>
      <c r="J110" s="39">
        <f>IF($A110="","",VLOOKUP($A110,Items_Master!$A$2:$L$2001,4,FALSE))</f>
      </c>
      <c r="K110" s="39">
        <f>IF($A110="","",VLOOKUP($A110,Items_Master!$A$2:$L$2001,5,FALSE))</f>
      </c>
      <c r="L110" s="39">
        <f>IF($A110="","",$G110*$J110)</f>
      </c>
      <c r="M110" s="39">
        <f>IF($A110="","",$G110*$K110)</f>
      </c>
      <c r="N110" s="16">
        <f>IF($A110="","",COUNTIF(Transactions!$C$2:$C$5001,$A110))</f>
      </c>
    </row>
    <row x14ac:dyDescent="0.25" r="111" customHeight="1" ht="17.25">
      <c r="A111" s="12">
        <f>IF(ROW()-1&lt;=COUNTA(Items_Master!$A$2:$A$2001),INDEX(Items_Master!$A$2:$A$2001,ROW()-1),"")</f>
      </c>
      <c r="B111" s="12">
        <f>IF($A111="","",VLOOKUP($A111,Items_Master!$A$2:$L$2001,2,FALSE))</f>
      </c>
      <c r="C111" s="12">
        <f>IF($A111="","",VLOOKUP($A111,Items_Master!$A$2:$L$2001,3,FALSE))</f>
      </c>
      <c r="D111" s="13">
        <f>IF($A111="","",SUMIFS(Transactions!$G$2:$G$5001,Transactions!$C$2:$C$5001,$A111,Transactions!$E$2:$E$5001,1)-SUMIFS(Transactions!$H$2:$H$5001,Transactions!$C$2:$C$5001,$A111,Transactions!$E$2:$E$5001,1))</f>
      </c>
      <c r="E111" s="13">
        <f>IF($A111="","",SUMIFS(Transactions!$G$2:$G$5001,Transactions!$C$2:$C$5001,$A111,Transactions!$E$2:$E$5001,2)-SUMIFS(Transactions!$H$2:$H$5001,Transactions!$C$2:$C$5001,$A111,Transactions!$E$2:$E$5001,2))</f>
      </c>
      <c r="F111" s="13">
        <f>IF($A111="","",SUMIFS(Transactions!$G$2:$G$5001,Transactions!$C$2:$C$5001,$A111,Transactions!$E$2:$E$5001,3)-SUMIFS(Transactions!$H$2:$H$5001,Transactions!$C$2:$C$5001,$A111,Transactions!$E$2:$E$5001,3))</f>
      </c>
      <c r="G111" s="13">
        <f>IF($A111="","",SUM($D111:$F111))</f>
      </c>
      <c r="H111" s="13">
        <f>IF($A111="","",VLOOKUP($A111,Items_Master!$A$2:$L$2001,6,FALSE))</f>
      </c>
      <c r="I111" s="40">
        <f>IF($A111="","",IF($G111&lt;=$H111,"LOW","OK"))</f>
      </c>
      <c r="J111" s="41">
        <f>IF($A111="","",VLOOKUP($A111,Items_Master!$A$2:$L$2001,4,FALSE))</f>
      </c>
      <c r="K111" s="41">
        <f>IF($A111="","",VLOOKUP($A111,Items_Master!$A$2:$L$2001,5,FALSE))</f>
      </c>
      <c r="L111" s="41">
        <f>IF($A111="","",$G111*$J111)</f>
      </c>
      <c r="M111" s="41">
        <f>IF($A111="","",$G111*$K111)</f>
      </c>
      <c r="N111" s="13">
        <f>IF($A111="","",COUNTIF(Transactions!$C$2:$C$5001,$A111))</f>
      </c>
    </row>
    <row x14ac:dyDescent="0.25" r="112" customHeight="1" ht="17.25">
      <c r="A112" s="15">
        <f>IF(ROW()-1&lt;=COUNTA(Items_Master!$A$2:$A$2001),INDEX(Items_Master!$A$2:$A$2001,ROW()-1),"")</f>
      </c>
      <c r="B112" s="15">
        <f>IF($A112="","",VLOOKUP($A112,Items_Master!$A$2:$L$2001,2,FALSE))</f>
      </c>
      <c r="C112" s="15">
        <f>IF($A112="","",VLOOKUP($A112,Items_Master!$A$2:$L$2001,3,FALSE))</f>
      </c>
      <c r="D112" s="16">
        <f>IF($A112="","",SUMIFS(Transactions!$G$2:$G$5001,Transactions!$C$2:$C$5001,$A112,Transactions!$E$2:$E$5001,1)-SUMIFS(Transactions!$H$2:$H$5001,Transactions!$C$2:$C$5001,$A112,Transactions!$E$2:$E$5001,1))</f>
      </c>
      <c r="E112" s="16">
        <f>IF($A112="","",SUMIFS(Transactions!$G$2:$G$5001,Transactions!$C$2:$C$5001,$A112,Transactions!$E$2:$E$5001,2)-SUMIFS(Transactions!$H$2:$H$5001,Transactions!$C$2:$C$5001,$A112,Transactions!$E$2:$E$5001,2))</f>
      </c>
      <c r="F112" s="16">
        <f>IF($A112="","",SUMIFS(Transactions!$G$2:$G$5001,Transactions!$C$2:$C$5001,$A112,Transactions!$E$2:$E$5001,3)-SUMIFS(Transactions!$H$2:$H$5001,Transactions!$C$2:$C$5001,$A112,Transactions!$E$2:$E$5001,3))</f>
      </c>
      <c r="G112" s="16">
        <f>IF($A112="","",SUM($D112:$F112))</f>
      </c>
      <c r="H112" s="16">
        <f>IF($A112="","",VLOOKUP($A112,Items_Master!$A$2:$L$2001,6,FALSE))</f>
      </c>
      <c r="I112" s="38">
        <f>IF($A112="","",IF($G112&lt;=$H112,"LOW","OK"))</f>
      </c>
      <c r="J112" s="39">
        <f>IF($A112="","",VLOOKUP($A112,Items_Master!$A$2:$L$2001,4,FALSE))</f>
      </c>
      <c r="K112" s="39">
        <f>IF($A112="","",VLOOKUP($A112,Items_Master!$A$2:$L$2001,5,FALSE))</f>
      </c>
      <c r="L112" s="39">
        <f>IF($A112="","",$G112*$J112)</f>
      </c>
      <c r="M112" s="39">
        <f>IF($A112="","",$G112*$K112)</f>
      </c>
      <c r="N112" s="16">
        <f>IF($A112="","",COUNTIF(Transactions!$C$2:$C$5001,$A112))</f>
      </c>
    </row>
    <row x14ac:dyDescent="0.25" r="113" customHeight="1" ht="17.25">
      <c r="A113" s="12">
        <f>IF(ROW()-1&lt;=COUNTA(Items_Master!$A$2:$A$2001),INDEX(Items_Master!$A$2:$A$2001,ROW()-1),"")</f>
      </c>
      <c r="B113" s="12">
        <f>IF($A113="","",VLOOKUP($A113,Items_Master!$A$2:$L$2001,2,FALSE))</f>
      </c>
      <c r="C113" s="12">
        <f>IF($A113="","",VLOOKUP($A113,Items_Master!$A$2:$L$2001,3,FALSE))</f>
      </c>
      <c r="D113" s="13">
        <f>IF($A113="","",SUMIFS(Transactions!$G$2:$G$5001,Transactions!$C$2:$C$5001,$A113,Transactions!$E$2:$E$5001,1)-SUMIFS(Transactions!$H$2:$H$5001,Transactions!$C$2:$C$5001,$A113,Transactions!$E$2:$E$5001,1))</f>
      </c>
      <c r="E113" s="13">
        <f>IF($A113="","",SUMIFS(Transactions!$G$2:$G$5001,Transactions!$C$2:$C$5001,$A113,Transactions!$E$2:$E$5001,2)-SUMIFS(Transactions!$H$2:$H$5001,Transactions!$C$2:$C$5001,$A113,Transactions!$E$2:$E$5001,2))</f>
      </c>
      <c r="F113" s="13">
        <f>IF($A113="","",SUMIFS(Transactions!$G$2:$G$5001,Transactions!$C$2:$C$5001,$A113,Transactions!$E$2:$E$5001,3)-SUMIFS(Transactions!$H$2:$H$5001,Transactions!$C$2:$C$5001,$A113,Transactions!$E$2:$E$5001,3))</f>
      </c>
      <c r="G113" s="13">
        <f>IF($A113="","",SUM($D113:$F113))</f>
      </c>
      <c r="H113" s="13">
        <f>IF($A113="","",VLOOKUP($A113,Items_Master!$A$2:$L$2001,6,FALSE))</f>
      </c>
      <c r="I113" s="40">
        <f>IF($A113="","",IF($G113&lt;=$H113,"LOW","OK"))</f>
      </c>
      <c r="J113" s="41">
        <f>IF($A113="","",VLOOKUP($A113,Items_Master!$A$2:$L$2001,4,FALSE))</f>
      </c>
      <c r="K113" s="41">
        <f>IF($A113="","",VLOOKUP($A113,Items_Master!$A$2:$L$2001,5,FALSE))</f>
      </c>
      <c r="L113" s="41">
        <f>IF($A113="","",$G113*$J113)</f>
      </c>
      <c r="M113" s="41">
        <f>IF($A113="","",$G113*$K113)</f>
      </c>
      <c r="N113" s="13">
        <f>IF($A113="","",COUNTIF(Transactions!$C$2:$C$5001,$A113))</f>
      </c>
    </row>
    <row x14ac:dyDescent="0.25" r="114" customHeight="1" ht="17.25">
      <c r="A114" s="15">
        <f>IF(ROW()-1&lt;=COUNTA(Items_Master!$A$2:$A$2001),INDEX(Items_Master!$A$2:$A$2001,ROW()-1),"")</f>
      </c>
      <c r="B114" s="15">
        <f>IF($A114="","",VLOOKUP($A114,Items_Master!$A$2:$L$2001,2,FALSE))</f>
      </c>
      <c r="C114" s="15">
        <f>IF($A114="","",VLOOKUP($A114,Items_Master!$A$2:$L$2001,3,FALSE))</f>
      </c>
      <c r="D114" s="16">
        <f>IF($A114="","",SUMIFS(Transactions!$G$2:$G$5001,Transactions!$C$2:$C$5001,$A114,Transactions!$E$2:$E$5001,1)-SUMIFS(Transactions!$H$2:$H$5001,Transactions!$C$2:$C$5001,$A114,Transactions!$E$2:$E$5001,1))</f>
      </c>
      <c r="E114" s="16">
        <f>IF($A114="","",SUMIFS(Transactions!$G$2:$G$5001,Transactions!$C$2:$C$5001,$A114,Transactions!$E$2:$E$5001,2)-SUMIFS(Transactions!$H$2:$H$5001,Transactions!$C$2:$C$5001,$A114,Transactions!$E$2:$E$5001,2))</f>
      </c>
      <c r="F114" s="16">
        <f>IF($A114="","",SUMIFS(Transactions!$G$2:$G$5001,Transactions!$C$2:$C$5001,$A114,Transactions!$E$2:$E$5001,3)-SUMIFS(Transactions!$H$2:$H$5001,Transactions!$C$2:$C$5001,$A114,Transactions!$E$2:$E$5001,3))</f>
      </c>
      <c r="G114" s="16">
        <f>IF($A114="","",SUM($D114:$F114))</f>
      </c>
      <c r="H114" s="16">
        <f>IF($A114="","",VLOOKUP($A114,Items_Master!$A$2:$L$2001,6,FALSE))</f>
      </c>
      <c r="I114" s="38">
        <f>IF($A114="","",IF($G114&lt;=$H114,"LOW","OK"))</f>
      </c>
      <c r="J114" s="39">
        <f>IF($A114="","",VLOOKUP($A114,Items_Master!$A$2:$L$2001,4,FALSE))</f>
      </c>
      <c r="K114" s="39">
        <f>IF($A114="","",VLOOKUP($A114,Items_Master!$A$2:$L$2001,5,FALSE))</f>
      </c>
      <c r="L114" s="39">
        <f>IF($A114="","",$G114*$J114)</f>
      </c>
      <c r="M114" s="39">
        <f>IF($A114="","",$G114*$K114)</f>
      </c>
      <c r="N114" s="16">
        <f>IF($A114="","",COUNTIF(Transactions!$C$2:$C$5001,$A114))</f>
      </c>
    </row>
    <row x14ac:dyDescent="0.25" r="115" customHeight="1" ht="17.25">
      <c r="A115" s="12">
        <f>IF(ROW()-1&lt;=COUNTA(Items_Master!$A$2:$A$2001),INDEX(Items_Master!$A$2:$A$2001,ROW()-1),"")</f>
      </c>
      <c r="B115" s="12">
        <f>IF($A115="","",VLOOKUP($A115,Items_Master!$A$2:$L$2001,2,FALSE))</f>
      </c>
      <c r="C115" s="12">
        <f>IF($A115="","",VLOOKUP($A115,Items_Master!$A$2:$L$2001,3,FALSE))</f>
      </c>
      <c r="D115" s="13">
        <f>IF($A115="","",SUMIFS(Transactions!$G$2:$G$5001,Transactions!$C$2:$C$5001,$A115,Transactions!$E$2:$E$5001,1)-SUMIFS(Transactions!$H$2:$H$5001,Transactions!$C$2:$C$5001,$A115,Transactions!$E$2:$E$5001,1))</f>
      </c>
      <c r="E115" s="13">
        <f>IF($A115="","",SUMIFS(Transactions!$G$2:$G$5001,Transactions!$C$2:$C$5001,$A115,Transactions!$E$2:$E$5001,2)-SUMIFS(Transactions!$H$2:$H$5001,Transactions!$C$2:$C$5001,$A115,Transactions!$E$2:$E$5001,2))</f>
      </c>
      <c r="F115" s="13">
        <f>IF($A115="","",SUMIFS(Transactions!$G$2:$G$5001,Transactions!$C$2:$C$5001,$A115,Transactions!$E$2:$E$5001,3)-SUMIFS(Transactions!$H$2:$H$5001,Transactions!$C$2:$C$5001,$A115,Transactions!$E$2:$E$5001,3))</f>
      </c>
      <c r="G115" s="13">
        <f>IF($A115="","",SUM($D115:$F115))</f>
      </c>
      <c r="H115" s="13">
        <f>IF($A115="","",VLOOKUP($A115,Items_Master!$A$2:$L$2001,6,FALSE))</f>
      </c>
      <c r="I115" s="40">
        <f>IF($A115="","",IF($G115&lt;=$H115,"LOW","OK"))</f>
      </c>
      <c r="J115" s="41">
        <f>IF($A115="","",VLOOKUP($A115,Items_Master!$A$2:$L$2001,4,FALSE))</f>
      </c>
      <c r="K115" s="41">
        <f>IF($A115="","",VLOOKUP($A115,Items_Master!$A$2:$L$2001,5,FALSE))</f>
      </c>
      <c r="L115" s="41">
        <f>IF($A115="","",$G115*$J115)</f>
      </c>
      <c r="M115" s="41">
        <f>IF($A115="","",$G115*$K115)</f>
      </c>
      <c r="N115" s="13">
        <f>IF($A115="","",COUNTIF(Transactions!$C$2:$C$5001,$A115))</f>
      </c>
    </row>
    <row x14ac:dyDescent="0.25" r="116" customHeight="1" ht="17.25">
      <c r="A116" s="15">
        <f>IF(ROW()-1&lt;=COUNTA(Items_Master!$A$2:$A$2001),INDEX(Items_Master!$A$2:$A$2001,ROW()-1),"")</f>
      </c>
      <c r="B116" s="15">
        <f>IF($A116="","",VLOOKUP($A116,Items_Master!$A$2:$L$2001,2,FALSE))</f>
      </c>
      <c r="C116" s="15">
        <f>IF($A116="","",VLOOKUP($A116,Items_Master!$A$2:$L$2001,3,FALSE))</f>
      </c>
      <c r="D116" s="16">
        <f>IF($A116="","",SUMIFS(Transactions!$G$2:$G$5001,Transactions!$C$2:$C$5001,$A116,Transactions!$E$2:$E$5001,1)-SUMIFS(Transactions!$H$2:$H$5001,Transactions!$C$2:$C$5001,$A116,Transactions!$E$2:$E$5001,1))</f>
      </c>
      <c r="E116" s="16">
        <f>IF($A116="","",SUMIFS(Transactions!$G$2:$G$5001,Transactions!$C$2:$C$5001,$A116,Transactions!$E$2:$E$5001,2)-SUMIFS(Transactions!$H$2:$H$5001,Transactions!$C$2:$C$5001,$A116,Transactions!$E$2:$E$5001,2))</f>
      </c>
      <c r="F116" s="16">
        <f>IF($A116="","",SUMIFS(Transactions!$G$2:$G$5001,Transactions!$C$2:$C$5001,$A116,Transactions!$E$2:$E$5001,3)-SUMIFS(Transactions!$H$2:$H$5001,Transactions!$C$2:$C$5001,$A116,Transactions!$E$2:$E$5001,3))</f>
      </c>
      <c r="G116" s="16">
        <f>IF($A116="","",SUM($D116:$F116))</f>
      </c>
      <c r="H116" s="16">
        <f>IF($A116="","",VLOOKUP($A116,Items_Master!$A$2:$L$2001,6,FALSE))</f>
      </c>
      <c r="I116" s="38">
        <f>IF($A116="","",IF($G116&lt;=$H116,"LOW","OK"))</f>
      </c>
      <c r="J116" s="39">
        <f>IF($A116="","",VLOOKUP($A116,Items_Master!$A$2:$L$2001,4,FALSE))</f>
      </c>
      <c r="K116" s="39">
        <f>IF($A116="","",VLOOKUP($A116,Items_Master!$A$2:$L$2001,5,FALSE))</f>
      </c>
      <c r="L116" s="39">
        <f>IF($A116="","",$G116*$J116)</f>
      </c>
      <c r="M116" s="39">
        <f>IF($A116="","",$G116*$K116)</f>
      </c>
      <c r="N116" s="16">
        <f>IF($A116="","",COUNTIF(Transactions!$C$2:$C$5001,$A116))</f>
      </c>
    </row>
    <row x14ac:dyDescent="0.25" r="117" customHeight="1" ht="17.25">
      <c r="A117" s="12">
        <f>IF(ROW()-1&lt;=COUNTA(Items_Master!$A$2:$A$2001),INDEX(Items_Master!$A$2:$A$2001,ROW()-1),"")</f>
      </c>
      <c r="B117" s="12">
        <f>IF($A117="","",VLOOKUP($A117,Items_Master!$A$2:$L$2001,2,FALSE))</f>
      </c>
      <c r="C117" s="12">
        <f>IF($A117="","",VLOOKUP($A117,Items_Master!$A$2:$L$2001,3,FALSE))</f>
      </c>
      <c r="D117" s="13">
        <f>IF($A117="","",SUMIFS(Transactions!$G$2:$G$5001,Transactions!$C$2:$C$5001,$A117,Transactions!$E$2:$E$5001,1)-SUMIFS(Transactions!$H$2:$H$5001,Transactions!$C$2:$C$5001,$A117,Transactions!$E$2:$E$5001,1))</f>
      </c>
      <c r="E117" s="13">
        <f>IF($A117="","",SUMIFS(Transactions!$G$2:$G$5001,Transactions!$C$2:$C$5001,$A117,Transactions!$E$2:$E$5001,2)-SUMIFS(Transactions!$H$2:$H$5001,Transactions!$C$2:$C$5001,$A117,Transactions!$E$2:$E$5001,2))</f>
      </c>
      <c r="F117" s="13">
        <f>IF($A117="","",SUMIFS(Transactions!$G$2:$G$5001,Transactions!$C$2:$C$5001,$A117,Transactions!$E$2:$E$5001,3)-SUMIFS(Transactions!$H$2:$H$5001,Transactions!$C$2:$C$5001,$A117,Transactions!$E$2:$E$5001,3))</f>
      </c>
      <c r="G117" s="13">
        <f>IF($A117="","",SUM($D117:$F117))</f>
      </c>
      <c r="H117" s="13">
        <f>IF($A117="","",VLOOKUP($A117,Items_Master!$A$2:$L$2001,6,FALSE))</f>
      </c>
      <c r="I117" s="40">
        <f>IF($A117="","",IF($G117&lt;=$H117,"LOW","OK"))</f>
      </c>
      <c r="J117" s="41">
        <f>IF($A117="","",VLOOKUP($A117,Items_Master!$A$2:$L$2001,4,FALSE))</f>
      </c>
      <c r="K117" s="41">
        <f>IF($A117="","",VLOOKUP($A117,Items_Master!$A$2:$L$2001,5,FALSE))</f>
      </c>
      <c r="L117" s="41">
        <f>IF($A117="","",$G117*$J117)</f>
      </c>
      <c r="M117" s="41">
        <f>IF($A117="","",$G117*$K117)</f>
      </c>
      <c r="N117" s="13">
        <f>IF($A117="","",COUNTIF(Transactions!$C$2:$C$5001,$A117))</f>
      </c>
    </row>
    <row x14ac:dyDescent="0.25" r="118" customHeight="1" ht="17.25">
      <c r="A118" s="15">
        <f>IF(ROW()-1&lt;=COUNTA(Items_Master!$A$2:$A$2001),INDEX(Items_Master!$A$2:$A$2001,ROW()-1),"")</f>
      </c>
      <c r="B118" s="15">
        <f>IF($A118="","",VLOOKUP($A118,Items_Master!$A$2:$L$2001,2,FALSE))</f>
      </c>
      <c r="C118" s="15">
        <f>IF($A118="","",VLOOKUP($A118,Items_Master!$A$2:$L$2001,3,FALSE))</f>
      </c>
      <c r="D118" s="16">
        <f>IF($A118="","",SUMIFS(Transactions!$G$2:$G$5001,Transactions!$C$2:$C$5001,$A118,Transactions!$E$2:$E$5001,1)-SUMIFS(Transactions!$H$2:$H$5001,Transactions!$C$2:$C$5001,$A118,Transactions!$E$2:$E$5001,1))</f>
      </c>
      <c r="E118" s="16">
        <f>IF($A118="","",SUMIFS(Transactions!$G$2:$G$5001,Transactions!$C$2:$C$5001,$A118,Transactions!$E$2:$E$5001,2)-SUMIFS(Transactions!$H$2:$H$5001,Transactions!$C$2:$C$5001,$A118,Transactions!$E$2:$E$5001,2))</f>
      </c>
      <c r="F118" s="16">
        <f>IF($A118="","",SUMIFS(Transactions!$G$2:$G$5001,Transactions!$C$2:$C$5001,$A118,Transactions!$E$2:$E$5001,3)-SUMIFS(Transactions!$H$2:$H$5001,Transactions!$C$2:$C$5001,$A118,Transactions!$E$2:$E$5001,3))</f>
      </c>
      <c r="G118" s="16">
        <f>IF($A118="","",SUM($D118:$F118))</f>
      </c>
      <c r="H118" s="16">
        <f>IF($A118="","",VLOOKUP($A118,Items_Master!$A$2:$L$2001,6,FALSE))</f>
      </c>
      <c r="I118" s="38">
        <f>IF($A118="","",IF($G118&lt;=$H118,"LOW","OK"))</f>
      </c>
      <c r="J118" s="39">
        <f>IF($A118="","",VLOOKUP($A118,Items_Master!$A$2:$L$2001,4,FALSE))</f>
      </c>
      <c r="K118" s="39">
        <f>IF($A118="","",VLOOKUP($A118,Items_Master!$A$2:$L$2001,5,FALSE))</f>
      </c>
      <c r="L118" s="39">
        <f>IF($A118="","",$G118*$J118)</f>
      </c>
      <c r="M118" s="39">
        <f>IF($A118="","",$G118*$K118)</f>
      </c>
      <c r="N118" s="16">
        <f>IF($A118="","",COUNTIF(Transactions!$C$2:$C$5001,$A118))</f>
      </c>
    </row>
    <row x14ac:dyDescent="0.25" r="119" customHeight="1" ht="17.25">
      <c r="A119" s="12">
        <f>IF(ROW()-1&lt;=COUNTA(Items_Master!$A$2:$A$2001),INDEX(Items_Master!$A$2:$A$2001,ROW()-1),"")</f>
      </c>
      <c r="B119" s="12">
        <f>IF($A119="","",VLOOKUP($A119,Items_Master!$A$2:$L$2001,2,FALSE))</f>
      </c>
      <c r="C119" s="12">
        <f>IF($A119="","",VLOOKUP($A119,Items_Master!$A$2:$L$2001,3,FALSE))</f>
      </c>
      <c r="D119" s="13">
        <f>IF($A119="","",SUMIFS(Transactions!$G$2:$G$5001,Transactions!$C$2:$C$5001,$A119,Transactions!$E$2:$E$5001,1)-SUMIFS(Transactions!$H$2:$H$5001,Transactions!$C$2:$C$5001,$A119,Transactions!$E$2:$E$5001,1))</f>
      </c>
      <c r="E119" s="13">
        <f>IF($A119="","",SUMIFS(Transactions!$G$2:$G$5001,Transactions!$C$2:$C$5001,$A119,Transactions!$E$2:$E$5001,2)-SUMIFS(Transactions!$H$2:$H$5001,Transactions!$C$2:$C$5001,$A119,Transactions!$E$2:$E$5001,2))</f>
      </c>
      <c r="F119" s="13">
        <f>IF($A119="","",SUMIFS(Transactions!$G$2:$G$5001,Transactions!$C$2:$C$5001,$A119,Transactions!$E$2:$E$5001,3)-SUMIFS(Transactions!$H$2:$H$5001,Transactions!$C$2:$C$5001,$A119,Transactions!$E$2:$E$5001,3))</f>
      </c>
      <c r="G119" s="13">
        <f>IF($A119="","",SUM($D119:$F119))</f>
      </c>
      <c r="H119" s="13">
        <f>IF($A119="","",VLOOKUP($A119,Items_Master!$A$2:$L$2001,6,FALSE))</f>
      </c>
      <c r="I119" s="40">
        <f>IF($A119="","",IF($G119&lt;=$H119,"LOW","OK"))</f>
      </c>
      <c r="J119" s="41">
        <f>IF($A119="","",VLOOKUP($A119,Items_Master!$A$2:$L$2001,4,FALSE))</f>
      </c>
      <c r="K119" s="41">
        <f>IF($A119="","",VLOOKUP($A119,Items_Master!$A$2:$L$2001,5,FALSE))</f>
      </c>
      <c r="L119" s="41">
        <f>IF($A119="","",$G119*$J119)</f>
      </c>
      <c r="M119" s="41">
        <f>IF($A119="","",$G119*$K119)</f>
      </c>
      <c r="N119" s="13">
        <f>IF($A119="","",COUNTIF(Transactions!$C$2:$C$5001,$A119))</f>
      </c>
    </row>
    <row x14ac:dyDescent="0.25" r="120" customHeight="1" ht="17.25">
      <c r="A120" s="15">
        <f>IF(ROW()-1&lt;=COUNTA(Items_Master!$A$2:$A$2001),INDEX(Items_Master!$A$2:$A$2001,ROW()-1),"")</f>
      </c>
      <c r="B120" s="15">
        <f>IF($A120="","",VLOOKUP($A120,Items_Master!$A$2:$L$2001,2,FALSE))</f>
      </c>
      <c r="C120" s="15">
        <f>IF($A120="","",VLOOKUP($A120,Items_Master!$A$2:$L$2001,3,FALSE))</f>
      </c>
      <c r="D120" s="16">
        <f>IF($A120="","",SUMIFS(Transactions!$G$2:$G$5001,Transactions!$C$2:$C$5001,$A120,Transactions!$E$2:$E$5001,1)-SUMIFS(Transactions!$H$2:$H$5001,Transactions!$C$2:$C$5001,$A120,Transactions!$E$2:$E$5001,1))</f>
      </c>
      <c r="E120" s="16">
        <f>IF($A120="","",SUMIFS(Transactions!$G$2:$G$5001,Transactions!$C$2:$C$5001,$A120,Transactions!$E$2:$E$5001,2)-SUMIFS(Transactions!$H$2:$H$5001,Transactions!$C$2:$C$5001,$A120,Transactions!$E$2:$E$5001,2))</f>
      </c>
      <c r="F120" s="16">
        <f>IF($A120="","",SUMIFS(Transactions!$G$2:$G$5001,Transactions!$C$2:$C$5001,$A120,Transactions!$E$2:$E$5001,3)-SUMIFS(Transactions!$H$2:$H$5001,Transactions!$C$2:$C$5001,$A120,Transactions!$E$2:$E$5001,3))</f>
      </c>
      <c r="G120" s="16">
        <f>IF($A120="","",SUM($D120:$F120))</f>
      </c>
      <c r="H120" s="16">
        <f>IF($A120="","",VLOOKUP($A120,Items_Master!$A$2:$L$2001,6,FALSE))</f>
      </c>
      <c r="I120" s="38">
        <f>IF($A120="","",IF($G120&lt;=$H120,"LOW","OK"))</f>
      </c>
      <c r="J120" s="39">
        <f>IF($A120="","",VLOOKUP($A120,Items_Master!$A$2:$L$2001,4,FALSE))</f>
      </c>
      <c r="K120" s="39">
        <f>IF($A120="","",VLOOKUP($A120,Items_Master!$A$2:$L$2001,5,FALSE))</f>
      </c>
      <c r="L120" s="39">
        <f>IF($A120="","",$G120*$J120)</f>
      </c>
      <c r="M120" s="39">
        <f>IF($A120="","",$G120*$K120)</f>
      </c>
      <c r="N120" s="16">
        <f>IF($A120="","",COUNTIF(Transactions!$C$2:$C$5001,$A120))</f>
      </c>
    </row>
    <row x14ac:dyDescent="0.25" r="121" customHeight="1" ht="17.25">
      <c r="A121" s="12">
        <f>IF(ROW()-1&lt;=COUNTA(Items_Master!$A$2:$A$2001),INDEX(Items_Master!$A$2:$A$2001,ROW()-1),"")</f>
      </c>
      <c r="B121" s="12">
        <f>IF($A121="","",VLOOKUP($A121,Items_Master!$A$2:$L$2001,2,FALSE))</f>
      </c>
      <c r="C121" s="12">
        <f>IF($A121="","",VLOOKUP($A121,Items_Master!$A$2:$L$2001,3,FALSE))</f>
      </c>
      <c r="D121" s="13">
        <f>IF($A121="","",SUMIFS(Transactions!$G$2:$G$5001,Transactions!$C$2:$C$5001,$A121,Transactions!$E$2:$E$5001,1)-SUMIFS(Transactions!$H$2:$H$5001,Transactions!$C$2:$C$5001,$A121,Transactions!$E$2:$E$5001,1))</f>
      </c>
      <c r="E121" s="13">
        <f>IF($A121="","",SUMIFS(Transactions!$G$2:$G$5001,Transactions!$C$2:$C$5001,$A121,Transactions!$E$2:$E$5001,2)-SUMIFS(Transactions!$H$2:$H$5001,Transactions!$C$2:$C$5001,$A121,Transactions!$E$2:$E$5001,2))</f>
      </c>
      <c r="F121" s="13">
        <f>IF($A121="","",SUMIFS(Transactions!$G$2:$G$5001,Transactions!$C$2:$C$5001,$A121,Transactions!$E$2:$E$5001,3)-SUMIFS(Transactions!$H$2:$H$5001,Transactions!$C$2:$C$5001,$A121,Transactions!$E$2:$E$5001,3))</f>
      </c>
      <c r="G121" s="13">
        <f>IF($A121="","",SUM($D121:$F121))</f>
      </c>
      <c r="H121" s="13">
        <f>IF($A121="","",VLOOKUP($A121,Items_Master!$A$2:$L$2001,6,FALSE))</f>
      </c>
      <c r="I121" s="40">
        <f>IF($A121="","",IF($G121&lt;=$H121,"LOW","OK"))</f>
      </c>
      <c r="J121" s="41">
        <f>IF($A121="","",VLOOKUP($A121,Items_Master!$A$2:$L$2001,4,FALSE))</f>
      </c>
      <c r="K121" s="41">
        <f>IF($A121="","",VLOOKUP($A121,Items_Master!$A$2:$L$2001,5,FALSE))</f>
      </c>
      <c r="L121" s="41">
        <f>IF($A121="","",$G121*$J121)</f>
      </c>
      <c r="M121" s="41">
        <f>IF($A121="","",$G121*$K121)</f>
      </c>
      <c r="N121" s="13">
        <f>IF($A121="","",COUNTIF(Transactions!$C$2:$C$5001,$A121))</f>
      </c>
    </row>
    <row x14ac:dyDescent="0.25" r="122" customHeight="1" ht="17.25">
      <c r="A122" s="15">
        <f>IF(ROW()-1&lt;=COUNTA(Items_Master!$A$2:$A$2001),INDEX(Items_Master!$A$2:$A$2001,ROW()-1),"")</f>
      </c>
      <c r="B122" s="15">
        <f>IF($A122="","",VLOOKUP($A122,Items_Master!$A$2:$L$2001,2,FALSE))</f>
      </c>
      <c r="C122" s="15">
        <f>IF($A122="","",VLOOKUP($A122,Items_Master!$A$2:$L$2001,3,FALSE))</f>
      </c>
      <c r="D122" s="16">
        <f>IF($A122="","",SUMIFS(Transactions!$G$2:$G$5001,Transactions!$C$2:$C$5001,$A122,Transactions!$E$2:$E$5001,1)-SUMIFS(Transactions!$H$2:$H$5001,Transactions!$C$2:$C$5001,$A122,Transactions!$E$2:$E$5001,1))</f>
      </c>
      <c r="E122" s="16">
        <f>IF($A122="","",SUMIFS(Transactions!$G$2:$G$5001,Transactions!$C$2:$C$5001,$A122,Transactions!$E$2:$E$5001,2)-SUMIFS(Transactions!$H$2:$H$5001,Transactions!$C$2:$C$5001,$A122,Transactions!$E$2:$E$5001,2))</f>
      </c>
      <c r="F122" s="16">
        <f>IF($A122="","",SUMIFS(Transactions!$G$2:$G$5001,Transactions!$C$2:$C$5001,$A122,Transactions!$E$2:$E$5001,3)-SUMIFS(Transactions!$H$2:$H$5001,Transactions!$C$2:$C$5001,$A122,Transactions!$E$2:$E$5001,3))</f>
      </c>
      <c r="G122" s="16">
        <f>IF($A122="","",SUM($D122:$F122))</f>
      </c>
      <c r="H122" s="16">
        <f>IF($A122="","",VLOOKUP($A122,Items_Master!$A$2:$L$2001,6,FALSE))</f>
      </c>
      <c r="I122" s="38">
        <f>IF($A122="","",IF($G122&lt;=$H122,"LOW","OK"))</f>
      </c>
      <c r="J122" s="39">
        <f>IF($A122="","",VLOOKUP($A122,Items_Master!$A$2:$L$2001,4,FALSE))</f>
      </c>
      <c r="K122" s="39">
        <f>IF($A122="","",VLOOKUP($A122,Items_Master!$A$2:$L$2001,5,FALSE))</f>
      </c>
      <c r="L122" s="39">
        <f>IF($A122="","",$G122*$J122)</f>
      </c>
      <c r="M122" s="39">
        <f>IF($A122="","",$G122*$K122)</f>
      </c>
      <c r="N122" s="16">
        <f>IF($A122="","",COUNTIF(Transactions!$C$2:$C$5001,$A122))</f>
      </c>
    </row>
    <row x14ac:dyDescent="0.25" r="123" customHeight="1" ht="17.25">
      <c r="A123" s="12">
        <f>IF(ROW()-1&lt;=COUNTA(Items_Master!$A$2:$A$2001),INDEX(Items_Master!$A$2:$A$2001,ROW()-1),"")</f>
      </c>
      <c r="B123" s="12">
        <f>IF($A123="","",VLOOKUP($A123,Items_Master!$A$2:$L$2001,2,FALSE))</f>
      </c>
      <c r="C123" s="12">
        <f>IF($A123="","",VLOOKUP($A123,Items_Master!$A$2:$L$2001,3,FALSE))</f>
      </c>
      <c r="D123" s="13">
        <f>IF($A123="","",SUMIFS(Transactions!$G$2:$G$5001,Transactions!$C$2:$C$5001,$A123,Transactions!$E$2:$E$5001,1)-SUMIFS(Transactions!$H$2:$H$5001,Transactions!$C$2:$C$5001,$A123,Transactions!$E$2:$E$5001,1))</f>
      </c>
      <c r="E123" s="13">
        <f>IF($A123="","",SUMIFS(Transactions!$G$2:$G$5001,Transactions!$C$2:$C$5001,$A123,Transactions!$E$2:$E$5001,2)-SUMIFS(Transactions!$H$2:$H$5001,Transactions!$C$2:$C$5001,$A123,Transactions!$E$2:$E$5001,2))</f>
      </c>
      <c r="F123" s="13">
        <f>IF($A123="","",SUMIFS(Transactions!$G$2:$G$5001,Transactions!$C$2:$C$5001,$A123,Transactions!$E$2:$E$5001,3)-SUMIFS(Transactions!$H$2:$H$5001,Transactions!$C$2:$C$5001,$A123,Transactions!$E$2:$E$5001,3))</f>
      </c>
      <c r="G123" s="13">
        <f>IF($A123="","",SUM($D123:$F123))</f>
      </c>
      <c r="H123" s="13">
        <f>IF($A123="","",VLOOKUP($A123,Items_Master!$A$2:$L$2001,6,FALSE))</f>
      </c>
      <c r="I123" s="40">
        <f>IF($A123="","",IF($G123&lt;=$H123,"LOW","OK"))</f>
      </c>
      <c r="J123" s="41">
        <f>IF($A123="","",VLOOKUP($A123,Items_Master!$A$2:$L$2001,4,FALSE))</f>
      </c>
      <c r="K123" s="41">
        <f>IF($A123="","",VLOOKUP($A123,Items_Master!$A$2:$L$2001,5,FALSE))</f>
      </c>
      <c r="L123" s="41">
        <f>IF($A123="","",$G123*$J123)</f>
      </c>
      <c r="M123" s="41">
        <f>IF($A123="","",$G123*$K123)</f>
      </c>
      <c r="N123" s="13">
        <f>IF($A123="","",COUNTIF(Transactions!$C$2:$C$5001,$A123))</f>
      </c>
    </row>
    <row x14ac:dyDescent="0.25" r="124" customHeight="1" ht="17.25">
      <c r="A124" s="15">
        <f>IF(ROW()-1&lt;=COUNTA(Items_Master!$A$2:$A$2001),INDEX(Items_Master!$A$2:$A$2001,ROW()-1),"")</f>
      </c>
      <c r="B124" s="15">
        <f>IF($A124="","",VLOOKUP($A124,Items_Master!$A$2:$L$2001,2,FALSE))</f>
      </c>
      <c r="C124" s="15">
        <f>IF($A124="","",VLOOKUP($A124,Items_Master!$A$2:$L$2001,3,FALSE))</f>
      </c>
      <c r="D124" s="16">
        <f>IF($A124="","",SUMIFS(Transactions!$G$2:$G$5001,Transactions!$C$2:$C$5001,$A124,Transactions!$E$2:$E$5001,1)-SUMIFS(Transactions!$H$2:$H$5001,Transactions!$C$2:$C$5001,$A124,Transactions!$E$2:$E$5001,1))</f>
      </c>
      <c r="E124" s="16">
        <f>IF($A124="","",SUMIFS(Transactions!$G$2:$G$5001,Transactions!$C$2:$C$5001,$A124,Transactions!$E$2:$E$5001,2)-SUMIFS(Transactions!$H$2:$H$5001,Transactions!$C$2:$C$5001,$A124,Transactions!$E$2:$E$5001,2))</f>
      </c>
      <c r="F124" s="16">
        <f>IF($A124="","",SUMIFS(Transactions!$G$2:$G$5001,Transactions!$C$2:$C$5001,$A124,Transactions!$E$2:$E$5001,3)-SUMIFS(Transactions!$H$2:$H$5001,Transactions!$C$2:$C$5001,$A124,Transactions!$E$2:$E$5001,3))</f>
      </c>
      <c r="G124" s="16">
        <f>IF($A124="","",SUM($D124:$F124))</f>
      </c>
      <c r="H124" s="16">
        <f>IF($A124="","",VLOOKUP($A124,Items_Master!$A$2:$L$2001,6,FALSE))</f>
      </c>
      <c r="I124" s="38">
        <f>IF($A124="","",IF($G124&lt;=$H124,"LOW","OK"))</f>
      </c>
      <c r="J124" s="39">
        <f>IF($A124="","",VLOOKUP($A124,Items_Master!$A$2:$L$2001,4,FALSE))</f>
      </c>
      <c r="K124" s="39">
        <f>IF($A124="","",VLOOKUP($A124,Items_Master!$A$2:$L$2001,5,FALSE))</f>
      </c>
      <c r="L124" s="39">
        <f>IF($A124="","",$G124*$J124)</f>
      </c>
      <c r="M124" s="39">
        <f>IF($A124="","",$G124*$K124)</f>
      </c>
      <c r="N124" s="16">
        <f>IF($A124="","",COUNTIF(Transactions!$C$2:$C$5001,$A124))</f>
      </c>
    </row>
    <row x14ac:dyDescent="0.25" r="125" customHeight="1" ht="17.25">
      <c r="A125" s="12">
        <f>IF(ROW()-1&lt;=COUNTA(Items_Master!$A$2:$A$2001),INDEX(Items_Master!$A$2:$A$2001,ROW()-1),"")</f>
      </c>
      <c r="B125" s="12">
        <f>IF($A125="","",VLOOKUP($A125,Items_Master!$A$2:$L$2001,2,FALSE))</f>
      </c>
      <c r="C125" s="12">
        <f>IF($A125="","",VLOOKUP($A125,Items_Master!$A$2:$L$2001,3,FALSE))</f>
      </c>
      <c r="D125" s="13">
        <f>IF($A125="","",SUMIFS(Transactions!$G$2:$G$5001,Transactions!$C$2:$C$5001,$A125,Transactions!$E$2:$E$5001,1)-SUMIFS(Transactions!$H$2:$H$5001,Transactions!$C$2:$C$5001,$A125,Transactions!$E$2:$E$5001,1))</f>
      </c>
      <c r="E125" s="13">
        <f>IF($A125="","",SUMIFS(Transactions!$G$2:$G$5001,Transactions!$C$2:$C$5001,$A125,Transactions!$E$2:$E$5001,2)-SUMIFS(Transactions!$H$2:$H$5001,Transactions!$C$2:$C$5001,$A125,Transactions!$E$2:$E$5001,2))</f>
      </c>
      <c r="F125" s="13">
        <f>IF($A125="","",SUMIFS(Transactions!$G$2:$G$5001,Transactions!$C$2:$C$5001,$A125,Transactions!$E$2:$E$5001,3)-SUMIFS(Transactions!$H$2:$H$5001,Transactions!$C$2:$C$5001,$A125,Transactions!$E$2:$E$5001,3))</f>
      </c>
      <c r="G125" s="13">
        <f>IF($A125="","",SUM($D125:$F125))</f>
      </c>
      <c r="H125" s="13">
        <f>IF($A125="","",VLOOKUP($A125,Items_Master!$A$2:$L$2001,6,FALSE))</f>
      </c>
      <c r="I125" s="40">
        <f>IF($A125="","",IF($G125&lt;=$H125,"LOW","OK"))</f>
      </c>
      <c r="J125" s="41">
        <f>IF($A125="","",VLOOKUP($A125,Items_Master!$A$2:$L$2001,4,FALSE))</f>
      </c>
      <c r="K125" s="41">
        <f>IF($A125="","",VLOOKUP($A125,Items_Master!$A$2:$L$2001,5,FALSE))</f>
      </c>
      <c r="L125" s="41">
        <f>IF($A125="","",$G125*$J125)</f>
      </c>
      <c r="M125" s="41">
        <f>IF($A125="","",$G125*$K125)</f>
      </c>
      <c r="N125" s="13">
        <f>IF($A125="","",COUNTIF(Transactions!$C$2:$C$5001,$A125))</f>
      </c>
    </row>
    <row x14ac:dyDescent="0.25" r="126" customHeight="1" ht="17.25">
      <c r="A126" s="15">
        <f>IF(ROW()-1&lt;=COUNTA(Items_Master!$A$2:$A$2001),INDEX(Items_Master!$A$2:$A$2001,ROW()-1),"")</f>
      </c>
      <c r="B126" s="15">
        <f>IF($A126="","",VLOOKUP($A126,Items_Master!$A$2:$L$2001,2,FALSE))</f>
      </c>
      <c r="C126" s="15">
        <f>IF($A126="","",VLOOKUP($A126,Items_Master!$A$2:$L$2001,3,FALSE))</f>
      </c>
      <c r="D126" s="16">
        <f>IF($A126="","",SUMIFS(Transactions!$G$2:$G$5001,Transactions!$C$2:$C$5001,$A126,Transactions!$E$2:$E$5001,1)-SUMIFS(Transactions!$H$2:$H$5001,Transactions!$C$2:$C$5001,$A126,Transactions!$E$2:$E$5001,1))</f>
      </c>
      <c r="E126" s="16">
        <f>IF($A126="","",SUMIFS(Transactions!$G$2:$G$5001,Transactions!$C$2:$C$5001,$A126,Transactions!$E$2:$E$5001,2)-SUMIFS(Transactions!$H$2:$H$5001,Transactions!$C$2:$C$5001,$A126,Transactions!$E$2:$E$5001,2))</f>
      </c>
      <c r="F126" s="16">
        <f>IF($A126="","",SUMIFS(Transactions!$G$2:$G$5001,Transactions!$C$2:$C$5001,$A126,Transactions!$E$2:$E$5001,3)-SUMIFS(Transactions!$H$2:$H$5001,Transactions!$C$2:$C$5001,$A126,Transactions!$E$2:$E$5001,3))</f>
      </c>
      <c r="G126" s="16">
        <f>IF($A126="","",SUM($D126:$F126))</f>
      </c>
      <c r="H126" s="16">
        <f>IF($A126="","",VLOOKUP($A126,Items_Master!$A$2:$L$2001,6,FALSE))</f>
      </c>
      <c r="I126" s="38">
        <f>IF($A126="","",IF($G126&lt;=$H126,"LOW","OK"))</f>
      </c>
      <c r="J126" s="39">
        <f>IF($A126="","",VLOOKUP($A126,Items_Master!$A$2:$L$2001,4,FALSE))</f>
      </c>
      <c r="K126" s="39">
        <f>IF($A126="","",VLOOKUP($A126,Items_Master!$A$2:$L$2001,5,FALSE))</f>
      </c>
      <c r="L126" s="39">
        <f>IF($A126="","",$G126*$J126)</f>
      </c>
      <c r="M126" s="39">
        <f>IF($A126="","",$G126*$K126)</f>
      </c>
      <c r="N126" s="16">
        <f>IF($A126="","",COUNTIF(Transactions!$C$2:$C$5001,$A126))</f>
      </c>
    </row>
    <row x14ac:dyDescent="0.25" r="127" customHeight="1" ht="17.25">
      <c r="A127" s="12">
        <f>IF(ROW()-1&lt;=COUNTA(Items_Master!$A$2:$A$2001),INDEX(Items_Master!$A$2:$A$2001,ROW()-1),"")</f>
      </c>
      <c r="B127" s="12">
        <f>IF($A127="","",VLOOKUP($A127,Items_Master!$A$2:$L$2001,2,FALSE))</f>
      </c>
      <c r="C127" s="12">
        <f>IF($A127="","",VLOOKUP($A127,Items_Master!$A$2:$L$2001,3,FALSE))</f>
      </c>
      <c r="D127" s="13">
        <f>IF($A127="","",SUMIFS(Transactions!$G$2:$G$5001,Transactions!$C$2:$C$5001,$A127,Transactions!$E$2:$E$5001,1)-SUMIFS(Transactions!$H$2:$H$5001,Transactions!$C$2:$C$5001,$A127,Transactions!$E$2:$E$5001,1))</f>
      </c>
      <c r="E127" s="13">
        <f>IF($A127="","",SUMIFS(Transactions!$G$2:$G$5001,Transactions!$C$2:$C$5001,$A127,Transactions!$E$2:$E$5001,2)-SUMIFS(Transactions!$H$2:$H$5001,Transactions!$C$2:$C$5001,$A127,Transactions!$E$2:$E$5001,2))</f>
      </c>
      <c r="F127" s="13">
        <f>IF($A127="","",SUMIFS(Transactions!$G$2:$G$5001,Transactions!$C$2:$C$5001,$A127,Transactions!$E$2:$E$5001,3)-SUMIFS(Transactions!$H$2:$H$5001,Transactions!$C$2:$C$5001,$A127,Transactions!$E$2:$E$5001,3))</f>
      </c>
      <c r="G127" s="13">
        <f>IF($A127="","",SUM($D127:$F127))</f>
      </c>
      <c r="H127" s="13">
        <f>IF($A127="","",VLOOKUP($A127,Items_Master!$A$2:$L$2001,6,FALSE))</f>
      </c>
      <c r="I127" s="40">
        <f>IF($A127="","",IF($G127&lt;=$H127,"LOW","OK"))</f>
      </c>
      <c r="J127" s="41">
        <f>IF($A127="","",VLOOKUP($A127,Items_Master!$A$2:$L$2001,4,FALSE))</f>
      </c>
      <c r="K127" s="41">
        <f>IF($A127="","",VLOOKUP($A127,Items_Master!$A$2:$L$2001,5,FALSE))</f>
      </c>
      <c r="L127" s="41">
        <f>IF($A127="","",$G127*$J127)</f>
      </c>
      <c r="M127" s="41">
        <f>IF($A127="","",$G127*$K127)</f>
      </c>
      <c r="N127" s="13">
        <f>IF($A127="","",COUNTIF(Transactions!$C$2:$C$5001,$A127))</f>
      </c>
    </row>
    <row x14ac:dyDescent="0.25" r="128" customHeight="1" ht="17.25">
      <c r="A128" s="15">
        <f>IF(ROW()-1&lt;=COUNTA(Items_Master!$A$2:$A$2001),INDEX(Items_Master!$A$2:$A$2001,ROW()-1),"")</f>
      </c>
      <c r="B128" s="15">
        <f>IF($A128="","",VLOOKUP($A128,Items_Master!$A$2:$L$2001,2,FALSE))</f>
      </c>
      <c r="C128" s="15">
        <f>IF($A128="","",VLOOKUP($A128,Items_Master!$A$2:$L$2001,3,FALSE))</f>
      </c>
      <c r="D128" s="16">
        <f>IF($A128="","",SUMIFS(Transactions!$G$2:$G$5001,Transactions!$C$2:$C$5001,$A128,Transactions!$E$2:$E$5001,1)-SUMIFS(Transactions!$H$2:$H$5001,Transactions!$C$2:$C$5001,$A128,Transactions!$E$2:$E$5001,1))</f>
      </c>
      <c r="E128" s="16">
        <f>IF($A128="","",SUMIFS(Transactions!$G$2:$G$5001,Transactions!$C$2:$C$5001,$A128,Transactions!$E$2:$E$5001,2)-SUMIFS(Transactions!$H$2:$H$5001,Transactions!$C$2:$C$5001,$A128,Transactions!$E$2:$E$5001,2))</f>
      </c>
      <c r="F128" s="16">
        <f>IF($A128="","",SUMIFS(Transactions!$G$2:$G$5001,Transactions!$C$2:$C$5001,$A128,Transactions!$E$2:$E$5001,3)-SUMIFS(Transactions!$H$2:$H$5001,Transactions!$C$2:$C$5001,$A128,Transactions!$E$2:$E$5001,3))</f>
      </c>
      <c r="G128" s="16">
        <f>IF($A128="","",SUM($D128:$F128))</f>
      </c>
      <c r="H128" s="16">
        <f>IF($A128="","",VLOOKUP($A128,Items_Master!$A$2:$L$2001,6,FALSE))</f>
      </c>
      <c r="I128" s="38">
        <f>IF($A128="","",IF($G128&lt;=$H128,"LOW","OK"))</f>
      </c>
      <c r="J128" s="39">
        <f>IF($A128="","",VLOOKUP($A128,Items_Master!$A$2:$L$2001,4,FALSE))</f>
      </c>
      <c r="K128" s="39">
        <f>IF($A128="","",VLOOKUP($A128,Items_Master!$A$2:$L$2001,5,FALSE))</f>
      </c>
      <c r="L128" s="39">
        <f>IF($A128="","",$G128*$J128)</f>
      </c>
      <c r="M128" s="39">
        <f>IF($A128="","",$G128*$K128)</f>
      </c>
      <c r="N128" s="16">
        <f>IF($A128="","",COUNTIF(Transactions!$C$2:$C$5001,$A128))</f>
      </c>
    </row>
    <row x14ac:dyDescent="0.25" r="129" customHeight="1" ht="17.25">
      <c r="A129" s="12">
        <f>IF(ROW()-1&lt;=COUNTA(Items_Master!$A$2:$A$2001),INDEX(Items_Master!$A$2:$A$2001,ROW()-1),"")</f>
      </c>
      <c r="B129" s="12">
        <f>IF($A129="","",VLOOKUP($A129,Items_Master!$A$2:$L$2001,2,FALSE))</f>
      </c>
      <c r="C129" s="12">
        <f>IF($A129="","",VLOOKUP($A129,Items_Master!$A$2:$L$2001,3,FALSE))</f>
      </c>
      <c r="D129" s="13">
        <f>IF($A129="","",SUMIFS(Transactions!$G$2:$G$5001,Transactions!$C$2:$C$5001,$A129,Transactions!$E$2:$E$5001,1)-SUMIFS(Transactions!$H$2:$H$5001,Transactions!$C$2:$C$5001,$A129,Transactions!$E$2:$E$5001,1))</f>
      </c>
      <c r="E129" s="13">
        <f>IF($A129="","",SUMIFS(Transactions!$G$2:$G$5001,Transactions!$C$2:$C$5001,$A129,Transactions!$E$2:$E$5001,2)-SUMIFS(Transactions!$H$2:$H$5001,Transactions!$C$2:$C$5001,$A129,Transactions!$E$2:$E$5001,2))</f>
      </c>
      <c r="F129" s="13">
        <f>IF($A129="","",SUMIFS(Transactions!$G$2:$G$5001,Transactions!$C$2:$C$5001,$A129,Transactions!$E$2:$E$5001,3)-SUMIFS(Transactions!$H$2:$H$5001,Transactions!$C$2:$C$5001,$A129,Transactions!$E$2:$E$5001,3))</f>
      </c>
      <c r="G129" s="13">
        <f>IF($A129="","",SUM($D129:$F129))</f>
      </c>
      <c r="H129" s="13">
        <f>IF($A129="","",VLOOKUP($A129,Items_Master!$A$2:$L$2001,6,FALSE))</f>
      </c>
      <c r="I129" s="40">
        <f>IF($A129="","",IF($G129&lt;=$H129,"LOW","OK"))</f>
      </c>
      <c r="J129" s="41">
        <f>IF($A129="","",VLOOKUP($A129,Items_Master!$A$2:$L$2001,4,FALSE))</f>
      </c>
      <c r="K129" s="41">
        <f>IF($A129="","",VLOOKUP($A129,Items_Master!$A$2:$L$2001,5,FALSE))</f>
      </c>
      <c r="L129" s="41">
        <f>IF($A129="","",$G129*$J129)</f>
      </c>
      <c r="M129" s="41">
        <f>IF($A129="","",$G129*$K129)</f>
      </c>
      <c r="N129" s="13">
        <f>IF($A129="","",COUNTIF(Transactions!$C$2:$C$5001,$A129))</f>
      </c>
    </row>
    <row x14ac:dyDescent="0.25" r="130" customHeight="1" ht="17.25">
      <c r="A130" s="15">
        <f>IF(ROW()-1&lt;=COUNTA(Items_Master!$A$2:$A$2001),INDEX(Items_Master!$A$2:$A$2001,ROW()-1),"")</f>
      </c>
      <c r="B130" s="15">
        <f>IF($A130="","",VLOOKUP($A130,Items_Master!$A$2:$L$2001,2,FALSE))</f>
      </c>
      <c r="C130" s="15">
        <f>IF($A130="","",VLOOKUP($A130,Items_Master!$A$2:$L$2001,3,FALSE))</f>
      </c>
      <c r="D130" s="16">
        <f>IF($A130="","",SUMIFS(Transactions!$G$2:$G$5001,Transactions!$C$2:$C$5001,$A130,Transactions!$E$2:$E$5001,1)-SUMIFS(Transactions!$H$2:$H$5001,Transactions!$C$2:$C$5001,$A130,Transactions!$E$2:$E$5001,1))</f>
      </c>
      <c r="E130" s="16">
        <f>IF($A130="","",SUMIFS(Transactions!$G$2:$G$5001,Transactions!$C$2:$C$5001,$A130,Transactions!$E$2:$E$5001,2)-SUMIFS(Transactions!$H$2:$H$5001,Transactions!$C$2:$C$5001,$A130,Transactions!$E$2:$E$5001,2))</f>
      </c>
      <c r="F130" s="16">
        <f>IF($A130="","",SUMIFS(Transactions!$G$2:$G$5001,Transactions!$C$2:$C$5001,$A130,Transactions!$E$2:$E$5001,3)-SUMIFS(Transactions!$H$2:$H$5001,Transactions!$C$2:$C$5001,$A130,Transactions!$E$2:$E$5001,3))</f>
      </c>
      <c r="G130" s="16">
        <f>IF($A130="","",SUM($D130:$F130))</f>
      </c>
      <c r="H130" s="16">
        <f>IF($A130="","",VLOOKUP($A130,Items_Master!$A$2:$L$2001,6,FALSE))</f>
      </c>
      <c r="I130" s="38">
        <f>IF($A130="","",IF($G130&lt;=$H130,"LOW","OK"))</f>
      </c>
      <c r="J130" s="39">
        <f>IF($A130="","",VLOOKUP($A130,Items_Master!$A$2:$L$2001,4,FALSE))</f>
      </c>
      <c r="K130" s="39">
        <f>IF($A130="","",VLOOKUP($A130,Items_Master!$A$2:$L$2001,5,FALSE))</f>
      </c>
      <c r="L130" s="39">
        <f>IF($A130="","",$G130*$J130)</f>
      </c>
      <c r="M130" s="39">
        <f>IF($A130="","",$G130*$K130)</f>
      </c>
      <c r="N130" s="16">
        <f>IF($A130="","",COUNTIF(Transactions!$C$2:$C$5001,$A130))</f>
      </c>
    </row>
    <row x14ac:dyDescent="0.25" r="131" customHeight="1" ht="17.25">
      <c r="A131" s="12">
        <f>IF(ROW()-1&lt;=COUNTA(Items_Master!$A$2:$A$2001),INDEX(Items_Master!$A$2:$A$2001,ROW()-1),"")</f>
      </c>
      <c r="B131" s="12">
        <f>IF($A131="","",VLOOKUP($A131,Items_Master!$A$2:$L$2001,2,FALSE))</f>
      </c>
      <c r="C131" s="12">
        <f>IF($A131="","",VLOOKUP($A131,Items_Master!$A$2:$L$2001,3,FALSE))</f>
      </c>
      <c r="D131" s="13">
        <f>IF($A131="","",SUMIFS(Transactions!$G$2:$G$5001,Transactions!$C$2:$C$5001,$A131,Transactions!$E$2:$E$5001,1)-SUMIFS(Transactions!$H$2:$H$5001,Transactions!$C$2:$C$5001,$A131,Transactions!$E$2:$E$5001,1))</f>
      </c>
      <c r="E131" s="13">
        <f>IF($A131="","",SUMIFS(Transactions!$G$2:$G$5001,Transactions!$C$2:$C$5001,$A131,Transactions!$E$2:$E$5001,2)-SUMIFS(Transactions!$H$2:$H$5001,Transactions!$C$2:$C$5001,$A131,Transactions!$E$2:$E$5001,2))</f>
      </c>
      <c r="F131" s="13">
        <f>IF($A131="","",SUMIFS(Transactions!$G$2:$G$5001,Transactions!$C$2:$C$5001,$A131,Transactions!$E$2:$E$5001,3)-SUMIFS(Transactions!$H$2:$H$5001,Transactions!$C$2:$C$5001,$A131,Transactions!$E$2:$E$5001,3))</f>
      </c>
      <c r="G131" s="13">
        <f>IF($A131="","",SUM($D131:$F131))</f>
      </c>
      <c r="H131" s="13">
        <f>IF($A131="","",VLOOKUP($A131,Items_Master!$A$2:$L$2001,6,FALSE))</f>
      </c>
      <c r="I131" s="40">
        <f>IF($A131="","",IF($G131&lt;=$H131,"LOW","OK"))</f>
      </c>
      <c r="J131" s="41">
        <f>IF($A131="","",VLOOKUP($A131,Items_Master!$A$2:$L$2001,4,FALSE))</f>
      </c>
      <c r="K131" s="41">
        <f>IF($A131="","",VLOOKUP($A131,Items_Master!$A$2:$L$2001,5,FALSE))</f>
      </c>
      <c r="L131" s="41">
        <f>IF($A131="","",$G131*$J131)</f>
      </c>
      <c r="M131" s="41">
        <f>IF($A131="","",$G131*$K131)</f>
      </c>
      <c r="N131" s="13">
        <f>IF($A131="","",COUNTIF(Transactions!$C$2:$C$5001,$A131))</f>
      </c>
    </row>
    <row x14ac:dyDescent="0.25" r="132" customHeight="1" ht="17.25">
      <c r="A132" s="15">
        <f>IF(ROW()-1&lt;=COUNTA(Items_Master!$A$2:$A$2001),INDEX(Items_Master!$A$2:$A$2001,ROW()-1),"")</f>
      </c>
      <c r="B132" s="15">
        <f>IF($A132="","",VLOOKUP($A132,Items_Master!$A$2:$L$2001,2,FALSE))</f>
      </c>
      <c r="C132" s="15">
        <f>IF($A132="","",VLOOKUP($A132,Items_Master!$A$2:$L$2001,3,FALSE))</f>
      </c>
      <c r="D132" s="16">
        <f>IF($A132="","",SUMIFS(Transactions!$G$2:$G$5001,Transactions!$C$2:$C$5001,$A132,Transactions!$E$2:$E$5001,1)-SUMIFS(Transactions!$H$2:$H$5001,Transactions!$C$2:$C$5001,$A132,Transactions!$E$2:$E$5001,1))</f>
      </c>
      <c r="E132" s="16">
        <f>IF($A132="","",SUMIFS(Transactions!$G$2:$G$5001,Transactions!$C$2:$C$5001,$A132,Transactions!$E$2:$E$5001,2)-SUMIFS(Transactions!$H$2:$H$5001,Transactions!$C$2:$C$5001,$A132,Transactions!$E$2:$E$5001,2))</f>
      </c>
      <c r="F132" s="16">
        <f>IF($A132="","",SUMIFS(Transactions!$G$2:$G$5001,Transactions!$C$2:$C$5001,$A132,Transactions!$E$2:$E$5001,3)-SUMIFS(Transactions!$H$2:$H$5001,Transactions!$C$2:$C$5001,$A132,Transactions!$E$2:$E$5001,3))</f>
      </c>
      <c r="G132" s="16">
        <f>IF($A132="","",SUM($D132:$F132))</f>
      </c>
      <c r="H132" s="16">
        <f>IF($A132="","",VLOOKUP($A132,Items_Master!$A$2:$L$2001,6,FALSE))</f>
      </c>
      <c r="I132" s="38">
        <f>IF($A132="","",IF($G132&lt;=$H132,"LOW","OK"))</f>
      </c>
      <c r="J132" s="39">
        <f>IF($A132="","",VLOOKUP($A132,Items_Master!$A$2:$L$2001,4,FALSE))</f>
      </c>
      <c r="K132" s="39">
        <f>IF($A132="","",VLOOKUP($A132,Items_Master!$A$2:$L$2001,5,FALSE))</f>
      </c>
      <c r="L132" s="39">
        <f>IF($A132="","",$G132*$J132)</f>
      </c>
      <c r="M132" s="39">
        <f>IF($A132="","",$G132*$K132)</f>
      </c>
      <c r="N132" s="16">
        <f>IF($A132="","",COUNTIF(Transactions!$C$2:$C$5001,$A132))</f>
      </c>
    </row>
    <row x14ac:dyDescent="0.25" r="133" customHeight="1" ht="17.25">
      <c r="A133" s="12">
        <f>IF(ROW()-1&lt;=COUNTA(Items_Master!$A$2:$A$2001),INDEX(Items_Master!$A$2:$A$2001,ROW()-1),"")</f>
      </c>
      <c r="B133" s="12">
        <f>IF($A133="","",VLOOKUP($A133,Items_Master!$A$2:$L$2001,2,FALSE))</f>
      </c>
      <c r="C133" s="12">
        <f>IF($A133="","",VLOOKUP($A133,Items_Master!$A$2:$L$2001,3,FALSE))</f>
      </c>
      <c r="D133" s="13">
        <f>IF($A133="","",SUMIFS(Transactions!$G$2:$G$5001,Transactions!$C$2:$C$5001,$A133,Transactions!$E$2:$E$5001,1)-SUMIFS(Transactions!$H$2:$H$5001,Transactions!$C$2:$C$5001,$A133,Transactions!$E$2:$E$5001,1))</f>
      </c>
      <c r="E133" s="13">
        <f>IF($A133="","",SUMIFS(Transactions!$G$2:$G$5001,Transactions!$C$2:$C$5001,$A133,Transactions!$E$2:$E$5001,2)-SUMIFS(Transactions!$H$2:$H$5001,Transactions!$C$2:$C$5001,$A133,Transactions!$E$2:$E$5001,2))</f>
      </c>
      <c r="F133" s="13">
        <f>IF($A133="","",SUMIFS(Transactions!$G$2:$G$5001,Transactions!$C$2:$C$5001,$A133,Transactions!$E$2:$E$5001,3)-SUMIFS(Transactions!$H$2:$H$5001,Transactions!$C$2:$C$5001,$A133,Transactions!$E$2:$E$5001,3))</f>
      </c>
      <c r="G133" s="13">
        <f>IF($A133="","",SUM($D133:$F133))</f>
      </c>
      <c r="H133" s="13">
        <f>IF($A133="","",VLOOKUP($A133,Items_Master!$A$2:$L$2001,6,FALSE))</f>
      </c>
      <c r="I133" s="40">
        <f>IF($A133="","",IF($G133&lt;=$H133,"LOW","OK"))</f>
      </c>
      <c r="J133" s="41">
        <f>IF($A133="","",VLOOKUP($A133,Items_Master!$A$2:$L$2001,4,FALSE))</f>
      </c>
      <c r="K133" s="41">
        <f>IF($A133="","",VLOOKUP($A133,Items_Master!$A$2:$L$2001,5,FALSE))</f>
      </c>
      <c r="L133" s="41">
        <f>IF($A133="","",$G133*$J133)</f>
      </c>
      <c r="M133" s="41">
        <f>IF($A133="","",$G133*$K133)</f>
      </c>
      <c r="N133" s="13">
        <f>IF($A133="","",COUNTIF(Transactions!$C$2:$C$5001,$A133))</f>
      </c>
    </row>
    <row x14ac:dyDescent="0.25" r="134" customHeight="1" ht="17.25">
      <c r="A134" s="15">
        <f>IF(ROW()-1&lt;=COUNTA(Items_Master!$A$2:$A$2001),INDEX(Items_Master!$A$2:$A$2001,ROW()-1),"")</f>
      </c>
      <c r="B134" s="15">
        <f>IF($A134="","",VLOOKUP($A134,Items_Master!$A$2:$L$2001,2,FALSE))</f>
      </c>
      <c r="C134" s="15">
        <f>IF($A134="","",VLOOKUP($A134,Items_Master!$A$2:$L$2001,3,FALSE))</f>
      </c>
      <c r="D134" s="16">
        <f>IF($A134="","",SUMIFS(Transactions!$G$2:$G$5001,Transactions!$C$2:$C$5001,$A134,Transactions!$E$2:$E$5001,1)-SUMIFS(Transactions!$H$2:$H$5001,Transactions!$C$2:$C$5001,$A134,Transactions!$E$2:$E$5001,1))</f>
      </c>
      <c r="E134" s="16">
        <f>IF($A134="","",SUMIFS(Transactions!$G$2:$G$5001,Transactions!$C$2:$C$5001,$A134,Transactions!$E$2:$E$5001,2)-SUMIFS(Transactions!$H$2:$H$5001,Transactions!$C$2:$C$5001,$A134,Transactions!$E$2:$E$5001,2))</f>
      </c>
      <c r="F134" s="16">
        <f>IF($A134="","",SUMIFS(Transactions!$G$2:$G$5001,Transactions!$C$2:$C$5001,$A134,Transactions!$E$2:$E$5001,3)-SUMIFS(Transactions!$H$2:$H$5001,Transactions!$C$2:$C$5001,$A134,Transactions!$E$2:$E$5001,3))</f>
      </c>
      <c r="G134" s="16">
        <f>IF($A134="","",SUM($D134:$F134))</f>
      </c>
      <c r="H134" s="16">
        <f>IF($A134="","",VLOOKUP($A134,Items_Master!$A$2:$L$2001,6,FALSE))</f>
      </c>
      <c r="I134" s="38">
        <f>IF($A134="","",IF($G134&lt;=$H134,"LOW","OK"))</f>
      </c>
      <c r="J134" s="39">
        <f>IF($A134="","",VLOOKUP($A134,Items_Master!$A$2:$L$2001,4,FALSE))</f>
      </c>
      <c r="K134" s="39">
        <f>IF($A134="","",VLOOKUP($A134,Items_Master!$A$2:$L$2001,5,FALSE))</f>
      </c>
      <c r="L134" s="39">
        <f>IF($A134="","",$G134*$J134)</f>
      </c>
      <c r="M134" s="39">
        <f>IF($A134="","",$G134*$K134)</f>
      </c>
      <c r="N134" s="16">
        <f>IF($A134="","",COUNTIF(Transactions!$C$2:$C$5001,$A134))</f>
      </c>
    </row>
    <row x14ac:dyDescent="0.25" r="135" customHeight="1" ht="17.25">
      <c r="A135" s="12">
        <f>IF(ROW()-1&lt;=COUNTA(Items_Master!$A$2:$A$2001),INDEX(Items_Master!$A$2:$A$2001,ROW()-1),"")</f>
      </c>
      <c r="B135" s="12">
        <f>IF($A135="","",VLOOKUP($A135,Items_Master!$A$2:$L$2001,2,FALSE))</f>
      </c>
      <c r="C135" s="12">
        <f>IF($A135="","",VLOOKUP($A135,Items_Master!$A$2:$L$2001,3,FALSE))</f>
      </c>
      <c r="D135" s="13">
        <f>IF($A135="","",SUMIFS(Transactions!$G$2:$G$5001,Transactions!$C$2:$C$5001,$A135,Transactions!$E$2:$E$5001,1)-SUMIFS(Transactions!$H$2:$H$5001,Transactions!$C$2:$C$5001,$A135,Transactions!$E$2:$E$5001,1))</f>
      </c>
      <c r="E135" s="13">
        <f>IF($A135="","",SUMIFS(Transactions!$G$2:$G$5001,Transactions!$C$2:$C$5001,$A135,Transactions!$E$2:$E$5001,2)-SUMIFS(Transactions!$H$2:$H$5001,Transactions!$C$2:$C$5001,$A135,Transactions!$E$2:$E$5001,2))</f>
      </c>
      <c r="F135" s="13">
        <f>IF($A135="","",SUMIFS(Transactions!$G$2:$G$5001,Transactions!$C$2:$C$5001,$A135,Transactions!$E$2:$E$5001,3)-SUMIFS(Transactions!$H$2:$H$5001,Transactions!$C$2:$C$5001,$A135,Transactions!$E$2:$E$5001,3))</f>
      </c>
      <c r="G135" s="13">
        <f>IF($A135="","",SUM($D135:$F135))</f>
      </c>
      <c r="H135" s="13">
        <f>IF($A135="","",VLOOKUP($A135,Items_Master!$A$2:$L$2001,6,FALSE))</f>
      </c>
      <c r="I135" s="40">
        <f>IF($A135="","",IF($G135&lt;=$H135,"LOW","OK"))</f>
      </c>
      <c r="J135" s="41">
        <f>IF($A135="","",VLOOKUP($A135,Items_Master!$A$2:$L$2001,4,FALSE))</f>
      </c>
      <c r="K135" s="41">
        <f>IF($A135="","",VLOOKUP($A135,Items_Master!$A$2:$L$2001,5,FALSE))</f>
      </c>
      <c r="L135" s="41">
        <f>IF($A135="","",$G135*$J135)</f>
      </c>
      <c r="M135" s="41">
        <f>IF($A135="","",$G135*$K135)</f>
      </c>
      <c r="N135" s="13">
        <f>IF($A135="","",COUNTIF(Transactions!$C$2:$C$5001,$A135))</f>
      </c>
    </row>
    <row x14ac:dyDescent="0.25" r="136" customHeight="1" ht="17.25">
      <c r="A136" s="15">
        <f>IF(ROW()-1&lt;=COUNTA(Items_Master!$A$2:$A$2001),INDEX(Items_Master!$A$2:$A$2001,ROW()-1),"")</f>
      </c>
      <c r="B136" s="15">
        <f>IF($A136="","",VLOOKUP($A136,Items_Master!$A$2:$L$2001,2,FALSE))</f>
      </c>
      <c r="C136" s="15">
        <f>IF($A136="","",VLOOKUP($A136,Items_Master!$A$2:$L$2001,3,FALSE))</f>
      </c>
      <c r="D136" s="16">
        <f>IF($A136="","",SUMIFS(Transactions!$G$2:$G$5001,Transactions!$C$2:$C$5001,$A136,Transactions!$E$2:$E$5001,1)-SUMIFS(Transactions!$H$2:$H$5001,Transactions!$C$2:$C$5001,$A136,Transactions!$E$2:$E$5001,1))</f>
      </c>
      <c r="E136" s="16">
        <f>IF($A136="","",SUMIFS(Transactions!$G$2:$G$5001,Transactions!$C$2:$C$5001,$A136,Transactions!$E$2:$E$5001,2)-SUMIFS(Transactions!$H$2:$H$5001,Transactions!$C$2:$C$5001,$A136,Transactions!$E$2:$E$5001,2))</f>
      </c>
      <c r="F136" s="16">
        <f>IF($A136="","",SUMIFS(Transactions!$G$2:$G$5001,Transactions!$C$2:$C$5001,$A136,Transactions!$E$2:$E$5001,3)-SUMIFS(Transactions!$H$2:$H$5001,Transactions!$C$2:$C$5001,$A136,Transactions!$E$2:$E$5001,3))</f>
      </c>
      <c r="G136" s="16">
        <f>IF($A136="","",SUM($D136:$F136))</f>
      </c>
      <c r="H136" s="16">
        <f>IF($A136="","",VLOOKUP($A136,Items_Master!$A$2:$L$2001,6,FALSE))</f>
      </c>
      <c r="I136" s="38">
        <f>IF($A136="","",IF($G136&lt;=$H136,"LOW","OK"))</f>
      </c>
      <c r="J136" s="39">
        <f>IF($A136="","",VLOOKUP($A136,Items_Master!$A$2:$L$2001,4,FALSE))</f>
      </c>
      <c r="K136" s="39">
        <f>IF($A136="","",VLOOKUP($A136,Items_Master!$A$2:$L$2001,5,FALSE))</f>
      </c>
      <c r="L136" s="39">
        <f>IF($A136="","",$G136*$J136)</f>
      </c>
      <c r="M136" s="39">
        <f>IF($A136="","",$G136*$K136)</f>
      </c>
      <c r="N136" s="16">
        <f>IF($A136="","",COUNTIF(Transactions!$C$2:$C$5001,$A136))</f>
      </c>
    </row>
    <row x14ac:dyDescent="0.25" r="137" customHeight="1" ht="17.25">
      <c r="A137" s="12">
        <f>IF(ROW()-1&lt;=COUNTA(Items_Master!$A$2:$A$2001),INDEX(Items_Master!$A$2:$A$2001,ROW()-1),"")</f>
      </c>
      <c r="B137" s="12">
        <f>IF($A137="","",VLOOKUP($A137,Items_Master!$A$2:$L$2001,2,FALSE))</f>
      </c>
      <c r="C137" s="12">
        <f>IF($A137="","",VLOOKUP($A137,Items_Master!$A$2:$L$2001,3,FALSE))</f>
      </c>
      <c r="D137" s="13">
        <f>IF($A137="","",SUMIFS(Transactions!$G$2:$G$5001,Transactions!$C$2:$C$5001,$A137,Transactions!$E$2:$E$5001,1)-SUMIFS(Transactions!$H$2:$H$5001,Transactions!$C$2:$C$5001,$A137,Transactions!$E$2:$E$5001,1))</f>
      </c>
      <c r="E137" s="13">
        <f>IF($A137="","",SUMIFS(Transactions!$G$2:$G$5001,Transactions!$C$2:$C$5001,$A137,Transactions!$E$2:$E$5001,2)-SUMIFS(Transactions!$H$2:$H$5001,Transactions!$C$2:$C$5001,$A137,Transactions!$E$2:$E$5001,2))</f>
      </c>
      <c r="F137" s="13">
        <f>IF($A137="","",SUMIFS(Transactions!$G$2:$G$5001,Transactions!$C$2:$C$5001,$A137,Transactions!$E$2:$E$5001,3)-SUMIFS(Transactions!$H$2:$H$5001,Transactions!$C$2:$C$5001,$A137,Transactions!$E$2:$E$5001,3))</f>
      </c>
      <c r="G137" s="13">
        <f>IF($A137="","",SUM($D137:$F137))</f>
      </c>
      <c r="H137" s="13">
        <f>IF($A137="","",VLOOKUP($A137,Items_Master!$A$2:$L$2001,6,FALSE))</f>
      </c>
      <c r="I137" s="40">
        <f>IF($A137="","",IF($G137&lt;=$H137,"LOW","OK"))</f>
      </c>
      <c r="J137" s="41">
        <f>IF($A137="","",VLOOKUP($A137,Items_Master!$A$2:$L$2001,4,FALSE))</f>
      </c>
      <c r="K137" s="41">
        <f>IF($A137="","",VLOOKUP($A137,Items_Master!$A$2:$L$2001,5,FALSE))</f>
      </c>
      <c r="L137" s="41">
        <f>IF($A137="","",$G137*$J137)</f>
      </c>
      <c r="M137" s="41">
        <f>IF($A137="","",$G137*$K137)</f>
      </c>
      <c r="N137" s="13">
        <f>IF($A137="","",COUNTIF(Transactions!$C$2:$C$5001,$A137))</f>
      </c>
    </row>
    <row x14ac:dyDescent="0.25" r="138" customHeight="1" ht="17.25">
      <c r="A138" s="15">
        <f>IF(ROW()-1&lt;=COUNTA(Items_Master!$A$2:$A$2001),INDEX(Items_Master!$A$2:$A$2001,ROW()-1),"")</f>
      </c>
      <c r="B138" s="15">
        <f>IF($A138="","",VLOOKUP($A138,Items_Master!$A$2:$L$2001,2,FALSE))</f>
      </c>
      <c r="C138" s="15">
        <f>IF($A138="","",VLOOKUP($A138,Items_Master!$A$2:$L$2001,3,FALSE))</f>
      </c>
      <c r="D138" s="16">
        <f>IF($A138="","",SUMIFS(Transactions!$G$2:$G$5001,Transactions!$C$2:$C$5001,$A138,Transactions!$E$2:$E$5001,1)-SUMIFS(Transactions!$H$2:$H$5001,Transactions!$C$2:$C$5001,$A138,Transactions!$E$2:$E$5001,1))</f>
      </c>
      <c r="E138" s="16">
        <f>IF($A138="","",SUMIFS(Transactions!$G$2:$G$5001,Transactions!$C$2:$C$5001,$A138,Transactions!$E$2:$E$5001,2)-SUMIFS(Transactions!$H$2:$H$5001,Transactions!$C$2:$C$5001,$A138,Transactions!$E$2:$E$5001,2))</f>
      </c>
      <c r="F138" s="16">
        <f>IF($A138="","",SUMIFS(Transactions!$G$2:$G$5001,Transactions!$C$2:$C$5001,$A138,Transactions!$E$2:$E$5001,3)-SUMIFS(Transactions!$H$2:$H$5001,Transactions!$C$2:$C$5001,$A138,Transactions!$E$2:$E$5001,3))</f>
      </c>
      <c r="G138" s="16">
        <f>IF($A138="","",SUM($D138:$F138))</f>
      </c>
      <c r="H138" s="16">
        <f>IF($A138="","",VLOOKUP($A138,Items_Master!$A$2:$L$2001,6,FALSE))</f>
      </c>
      <c r="I138" s="38">
        <f>IF($A138="","",IF($G138&lt;=$H138,"LOW","OK"))</f>
      </c>
      <c r="J138" s="39">
        <f>IF($A138="","",VLOOKUP($A138,Items_Master!$A$2:$L$2001,4,FALSE))</f>
      </c>
      <c r="K138" s="39">
        <f>IF($A138="","",VLOOKUP($A138,Items_Master!$A$2:$L$2001,5,FALSE))</f>
      </c>
      <c r="L138" s="39">
        <f>IF($A138="","",$G138*$J138)</f>
      </c>
      <c r="M138" s="39">
        <f>IF($A138="","",$G138*$K138)</f>
      </c>
      <c r="N138" s="16">
        <f>IF($A138="","",COUNTIF(Transactions!$C$2:$C$5001,$A138))</f>
      </c>
    </row>
    <row x14ac:dyDescent="0.25" r="139" customHeight="1" ht="17.25">
      <c r="A139" s="12">
        <f>IF(ROW()-1&lt;=COUNTA(Items_Master!$A$2:$A$2001),INDEX(Items_Master!$A$2:$A$2001,ROW()-1),"")</f>
      </c>
      <c r="B139" s="12">
        <f>IF($A139="","",VLOOKUP($A139,Items_Master!$A$2:$L$2001,2,FALSE))</f>
      </c>
      <c r="C139" s="12">
        <f>IF($A139="","",VLOOKUP($A139,Items_Master!$A$2:$L$2001,3,FALSE))</f>
      </c>
      <c r="D139" s="13">
        <f>IF($A139="","",SUMIFS(Transactions!$G$2:$G$5001,Transactions!$C$2:$C$5001,$A139,Transactions!$E$2:$E$5001,1)-SUMIFS(Transactions!$H$2:$H$5001,Transactions!$C$2:$C$5001,$A139,Transactions!$E$2:$E$5001,1))</f>
      </c>
      <c r="E139" s="13">
        <f>IF($A139="","",SUMIFS(Transactions!$G$2:$G$5001,Transactions!$C$2:$C$5001,$A139,Transactions!$E$2:$E$5001,2)-SUMIFS(Transactions!$H$2:$H$5001,Transactions!$C$2:$C$5001,$A139,Transactions!$E$2:$E$5001,2))</f>
      </c>
      <c r="F139" s="13">
        <f>IF($A139="","",SUMIFS(Transactions!$G$2:$G$5001,Transactions!$C$2:$C$5001,$A139,Transactions!$E$2:$E$5001,3)-SUMIFS(Transactions!$H$2:$H$5001,Transactions!$C$2:$C$5001,$A139,Transactions!$E$2:$E$5001,3))</f>
      </c>
      <c r="G139" s="13">
        <f>IF($A139="","",SUM($D139:$F139))</f>
      </c>
      <c r="H139" s="13">
        <f>IF($A139="","",VLOOKUP($A139,Items_Master!$A$2:$L$2001,6,FALSE))</f>
      </c>
      <c r="I139" s="40">
        <f>IF($A139="","",IF($G139&lt;=$H139,"LOW","OK"))</f>
      </c>
      <c r="J139" s="41">
        <f>IF($A139="","",VLOOKUP($A139,Items_Master!$A$2:$L$2001,4,FALSE))</f>
      </c>
      <c r="K139" s="41">
        <f>IF($A139="","",VLOOKUP($A139,Items_Master!$A$2:$L$2001,5,FALSE))</f>
      </c>
      <c r="L139" s="41">
        <f>IF($A139="","",$G139*$J139)</f>
      </c>
      <c r="M139" s="41">
        <f>IF($A139="","",$G139*$K139)</f>
      </c>
      <c r="N139" s="13">
        <f>IF($A139="","",COUNTIF(Transactions!$C$2:$C$5001,$A139))</f>
      </c>
    </row>
    <row x14ac:dyDescent="0.25" r="140" customHeight="1" ht="17.25">
      <c r="A140" s="15">
        <f>IF(ROW()-1&lt;=COUNTA(Items_Master!$A$2:$A$2001),INDEX(Items_Master!$A$2:$A$2001,ROW()-1),"")</f>
      </c>
      <c r="B140" s="15">
        <f>IF($A140="","",VLOOKUP($A140,Items_Master!$A$2:$L$2001,2,FALSE))</f>
      </c>
      <c r="C140" s="15">
        <f>IF($A140="","",VLOOKUP($A140,Items_Master!$A$2:$L$2001,3,FALSE))</f>
      </c>
      <c r="D140" s="16">
        <f>IF($A140="","",SUMIFS(Transactions!$G$2:$G$5001,Transactions!$C$2:$C$5001,$A140,Transactions!$E$2:$E$5001,1)-SUMIFS(Transactions!$H$2:$H$5001,Transactions!$C$2:$C$5001,$A140,Transactions!$E$2:$E$5001,1))</f>
      </c>
      <c r="E140" s="16">
        <f>IF($A140="","",SUMIFS(Transactions!$G$2:$G$5001,Transactions!$C$2:$C$5001,$A140,Transactions!$E$2:$E$5001,2)-SUMIFS(Transactions!$H$2:$H$5001,Transactions!$C$2:$C$5001,$A140,Transactions!$E$2:$E$5001,2))</f>
      </c>
      <c r="F140" s="16">
        <f>IF($A140="","",SUMIFS(Transactions!$G$2:$G$5001,Transactions!$C$2:$C$5001,$A140,Transactions!$E$2:$E$5001,3)-SUMIFS(Transactions!$H$2:$H$5001,Transactions!$C$2:$C$5001,$A140,Transactions!$E$2:$E$5001,3))</f>
      </c>
      <c r="G140" s="16">
        <f>IF($A140="","",SUM($D140:$F140))</f>
      </c>
      <c r="H140" s="16">
        <f>IF($A140="","",VLOOKUP($A140,Items_Master!$A$2:$L$2001,6,FALSE))</f>
      </c>
      <c r="I140" s="38">
        <f>IF($A140="","",IF($G140&lt;=$H140,"LOW","OK"))</f>
      </c>
      <c r="J140" s="39">
        <f>IF($A140="","",VLOOKUP($A140,Items_Master!$A$2:$L$2001,4,FALSE))</f>
      </c>
      <c r="K140" s="39">
        <f>IF($A140="","",VLOOKUP($A140,Items_Master!$A$2:$L$2001,5,FALSE))</f>
      </c>
      <c r="L140" s="39">
        <f>IF($A140="","",$G140*$J140)</f>
      </c>
      <c r="M140" s="39">
        <f>IF($A140="","",$G140*$K140)</f>
      </c>
      <c r="N140" s="16">
        <f>IF($A140="","",COUNTIF(Transactions!$C$2:$C$5001,$A140))</f>
      </c>
    </row>
    <row x14ac:dyDescent="0.25" r="141" customHeight="1" ht="17.25">
      <c r="A141" s="12">
        <f>IF(ROW()-1&lt;=COUNTA(Items_Master!$A$2:$A$2001),INDEX(Items_Master!$A$2:$A$2001,ROW()-1),"")</f>
      </c>
      <c r="B141" s="12">
        <f>IF($A141="","",VLOOKUP($A141,Items_Master!$A$2:$L$2001,2,FALSE))</f>
      </c>
      <c r="C141" s="12">
        <f>IF($A141="","",VLOOKUP($A141,Items_Master!$A$2:$L$2001,3,FALSE))</f>
      </c>
      <c r="D141" s="13">
        <f>IF($A141="","",SUMIFS(Transactions!$G$2:$G$5001,Transactions!$C$2:$C$5001,$A141,Transactions!$E$2:$E$5001,1)-SUMIFS(Transactions!$H$2:$H$5001,Transactions!$C$2:$C$5001,$A141,Transactions!$E$2:$E$5001,1))</f>
      </c>
      <c r="E141" s="13">
        <f>IF($A141="","",SUMIFS(Transactions!$G$2:$G$5001,Transactions!$C$2:$C$5001,$A141,Transactions!$E$2:$E$5001,2)-SUMIFS(Transactions!$H$2:$H$5001,Transactions!$C$2:$C$5001,$A141,Transactions!$E$2:$E$5001,2))</f>
      </c>
      <c r="F141" s="13">
        <f>IF($A141="","",SUMIFS(Transactions!$G$2:$G$5001,Transactions!$C$2:$C$5001,$A141,Transactions!$E$2:$E$5001,3)-SUMIFS(Transactions!$H$2:$H$5001,Transactions!$C$2:$C$5001,$A141,Transactions!$E$2:$E$5001,3))</f>
      </c>
      <c r="G141" s="13">
        <f>IF($A141="","",SUM($D141:$F141))</f>
      </c>
      <c r="H141" s="13">
        <f>IF($A141="","",VLOOKUP($A141,Items_Master!$A$2:$L$2001,6,FALSE))</f>
      </c>
      <c r="I141" s="40">
        <f>IF($A141="","",IF($G141&lt;=$H141,"LOW","OK"))</f>
      </c>
      <c r="J141" s="41">
        <f>IF($A141="","",VLOOKUP($A141,Items_Master!$A$2:$L$2001,4,FALSE))</f>
      </c>
      <c r="K141" s="41">
        <f>IF($A141="","",VLOOKUP($A141,Items_Master!$A$2:$L$2001,5,FALSE))</f>
      </c>
      <c r="L141" s="41">
        <f>IF($A141="","",$G141*$J141)</f>
      </c>
      <c r="M141" s="41">
        <f>IF($A141="","",$G141*$K141)</f>
      </c>
      <c r="N141" s="13">
        <f>IF($A141="","",COUNTIF(Transactions!$C$2:$C$5001,$A141))</f>
      </c>
    </row>
    <row x14ac:dyDescent="0.25" r="142" customHeight="1" ht="17.25">
      <c r="A142" s="15">
        <f>IF(ROW()-1&lt;=COUNTA(Items_Master!$A$2:$A$2001),INDEX(Items_Master!$A$2:$A$2001,ROW()-1),"")</f>
      </c>
      <c r="B142" s="15">
        <f>IF($A142="","",VLOOKUP($A142,Items_Master!$A$2:$L$2001,2,FALSE))</f>
      </c>
      <c r="C142" s="15">
        <f>IF($A142="","",VLOOKUP($A142,Items_Master!$A$2:$L$2001,3,FALSE))</f>
      </c>
      <c r="D142" s="16">
        <f>IF($A142="","",SUMIFS(Transactions!$G$2:$G$5001,Transactions!$C$2:$C$5001,$A142,Transactions!$E$2:$E$5001,1)-SUMIFS(Transactions!$H$2:$H$5001,Transactions!$C$2:$C$5001,$A142,Transactions!$E$2:$E$5001,1))</f>
      </c>
      <c r="E142" s="16">
        <f>IF($A142="","",SUMIFS(Transactions!$G$2:$G$5001,Transactions!$C$2:$C$5001,$A142,Transactions!$E$2:$E$5001,2)-SUMIFS(Transactions!$H$2:$H$5001,Transactions!$C$2:$C$5001,$A142,Transactions!$E$2:$E$5001,2))</f>
      </c>
      <c r="F142" s="16">
        <f>IF($A142="","",SUMIFS(Transactions!$G$2:$G$5001,Transactions!$C$2:$C$5001,$A142,Transactions!$E$2:$E$5001,3)-SUMIFS(Transactions!$H$2:$H$5001,Transactions!$C$2:$C$5001,$A142,Transactions!$E$2:$E$5001,3))</f>
      </c>
      <c r="G142" s="16">
        <f>IF($A142="","",SUM($D142:$F142))</f>
      </c>
      <c r="H142" s="16">
        <f>IF($A142="","",VLOOKUP($A142,Items_Master!$A$2:$L$2001,6,FALSE))</f>
      </c>
      <c r="I142" s="38">
        <f>IF($A142="","",IF($G142&lt;=$H142,"LOW","OK"))</f>
      </c>
      <c r="J142" s="39">
        <f>IF($A142="","",VLOOKUP($A142,Items_Master!$A$2:$L$2001,4,FALSE))</f>
      </c>
      <c r="K142" s="39">
        <f>IF($A142="","",VLOOKUP($A142,Items_Master!$A$2:$L$2001,5,FALSE))</f>
      </c>
      <c r="L142" s="39">
        <f>IF($A142="","",$G142*$J142)</f>
      </c>
      <c r="M142" s="39">
        <f>IF($A142="","",$G142*$K142)</f>
      </c>
      <c r="N142" s="16">
        <f>IF($A142="","",COUNTIF(Transactions!$C$2:$C$5001,$A142))</f>
      </c>
    </row>
    <row x14ac:dyDescent="0.25" r="143" customHeight="1" ht="17.25">
      <c r="A143" s="12">
        <f>IF(ROW()-1&lt;=COUNTA(Items_Master!$A$2:$A$2001),INDEX(Items_Master!$A$2:$A$2001,ROW()-1),"")</f>
      </c>
      <c r="B143" s="12">
        <f>IF($A143="","",VLOOKUP($A143,Items_Master!$A$2:$L$2001,2,FALSE))</f>
      </c>
      <c r="C143" s="12">
        <f>IF($A143="","",VLOOKUP($A143,Items_Master!$A$2:$L$2001,3,FALSE))</f>
      </c>
      <c r="D143" s="13">
        <f>IF($A143="","",SUMIFS(Transactions!$G$2:$G$5001,Transactions!$C$2:$C$5001,$A143,Transactions!$E$2:$E$5001,1)-SUMIFS(Transactions!$H$2:$H$5001,Transactions!$C$2:$C$5001,$A143,Transactions!$E$2:$E$5001,1))</f>
      </c>
      <c r="E143" s="13">
        <f>IF($A143="","",SUMIFS(Transactions!$G$2:$G$5001,Transactions!$C$2:$C$5001,$A143,Transactions!$E$2:$E$5001,2)-SUMIFS(Transactions!$H$2:$H$5001,Transactions!$C$2:$C$5001,$A143,Transactions!$E$2:$E$5001,2))</f>
      </c>
      <c r="F143" s="13">
        <f>IF($A143="","",SUMIFS(Transactions!$G$2:$G$5001,Transactions!$C$2:$C$5001,$A143,Transactions!$E$2:$E$5001,3)-SUMIFS(Transactions!$H$2:$H$5001,Transactions!$C$2:$C$5001,$A143,Transactions!$E$2:$E$5001,3))</f>
      </c>
      <c r="G143" s="13">
        <f>IF($A143="","",SUM($D143:$F143))</f>
      </c>
      <c r="H143" s="13">
        <f>IF($A143="","",VLOOKUP($A143,Items_Master!$A$2:$L$2001,6,FALSE))</f>
      </c>
      <c r="I143" s="40">
        <f>IF($A143="","",IF($G143&lt;=$H143,"LOW","OK"))</f>
      </c>
      <c r="J143" s="41">
        <f>IF($A143="","",VLOOKUP($A143,Items_Master!$A$2:$L$2001,4,FALSE))</f>
      </c>
      <c r="K143" s="41">
        <f>IF($A143="","",VLOOKUP($A143,Items_Master!$A$2:$L$2001,5,FALSE))</f>
      </c>
      <c r="L143" s="41">
        <f>IF($A143="","",$G143*$J143)</f>
      </c>
      <c r="M143" s="41">
        <f>IF($A143="","",$G143*$K143)</f>
      </c>
      <c r="N143" s="13">
        <f>IF($A143="","",COUNTIF(Transactions!$C$2:$C$5001,$A143))</f>
      </c>
    </row>
    <row x14ac:dyDescent="0.25" r="144" customHeight="1" ht="17.25">
      <c r="A144" s="15">
        <f>IF(ROW()-1&lt;=COUNTA(Items_Master!$A$2:$A$2001),INDEX(Items_Master!$A$2:$A$2001,ROW()-1),"")</f>
      </c>
      <c r="B144" s="15">
        <f>IF($A144="","",VLOOKUP($A144,Items_Master!$A$2:$L$2001,2,FALSE))</f>
      </c>
      <c r="C144" s="15">
        <f>IF($A144="","",VLOOKUP($A144,Items_Master!$A$2:$L$2001,3,FALSE))</f>
      </c>
      <c r="D144" s="16">
        <f>IF($A144="","",SUMIFS(Transactions!$G$2:$G$5001,Transactions!$C$2:$C$5001,$A144,Transactions!$E$2:$E$5001,1)-SUMIFS(Transactions!$H$2:$H$5001,Transactions!$C$2:$C$5001,$A144,Transactions!$E$2:$E$5001,1))</f>
      </c>
      <c r="E144" s="16">
        <f>IF($A144="","",SUMIFS(Transactions!$G$2:$G$5001,Transactions!$C$2:$C$5001,$A144,Transactions!$E$2:$E$5001,2)-SUMIFS(Transactions!$H$2:$H$5001,Transactions!$C$2:$C$5001,$A144,Transactions!$E$2:$E$5001,2))</f>
      </c>
      <c r="F144" s="16">
        <f>IF($A144="","",SUMIFS(Transactions!$G$2:$G$5001,Transactions!$C$2:$C$5001,$A144,Transactions!$E$2:$E$5001,3)-SUMIFS(Transactions!$H$2:$H$5001,Transactions!$C$2:$C$5001,$A144,Transactions!$E$2:$E$5001,3))</f>
      </c>
      <c r="G144" s="16">
        <f>IF($A144="","",SUM($D144:$F144))</f>
      </c>
      <c r="H144" s="16">
        <f>IF($A144="","",VLOOKUP($A144,Items_Master!$A$2:$L$2001,6,FALSE))</f>
      </c>
      <c r="I144" s="38">
        <f>IF($A144="","",IF($G144&lt;=$H144,"LOW","OK"))</f>
      </c>
      <c r="J144" s="39">
        <f>IF($A144="","",VLOOKUP($A144,Items_Master!$A$2:$L$2001,4,FALSE))</f>
      </c>
      <c r="K144" s="39">
        <f>IF($A144="","",VLOOKUP($A144,Items_Master!$A$2:$L$2001,5,FALSE))</f>
      </c>
      <c r="L144" s="39">
        <f>IF($A144="","",$G144*$J144)</f>
      </c>
      <c r="M144" s="39">
        <f>IF($A144="","",$G144*$K144)</f>
      </c>
      <c r="N144" s="16">
        <f>IF($A144="","",COUNTIF(Transactions!$C$2:$C$5001,$A144))</f>
      </c>
    </row>
    <row x14ac:dyDescent="0.25" r="145" customHeight="1" ht="17.25">
      <c r="A145" s="12">
        <f>IF(ROW()-1&lt;=COUNTA(Items_Master!$A$2:$A$2001),INDEX(Items_Master!$A$2:$A$2001,ROW()-1),"")</f>
      </c>
      <c r="B145" s="12">
        <f>IF($A145="","",VLOOKUP($A145,Items_Master!$A$2:$L$2001,2,FALSE))</f>
      </c>
      <c r="C145" s="12">
        <f>IF($A145="","",VLOOKUP($A145,Items_Master!$A$2:$L$2001,3,FALSE))</f>
      </c>
      <c r="D145" s="13">
        <f>IF($A145="","",SUMIFS(Transactions!$G$2:$G$5001,Transactions!$C$2:$C$5001,$A145,Transactions!$E$2:$E$5001,1)-SUMIFS(Transactions!$H$2:$H$5001,Transactions!$C$2:$C$5001,$A145,Transactions!$E$2:$E$5001,1))</f>
      </c>
      <c r="E145" s="13">
        <f>IF($A145="","",SUMIFS(Transactions!$G$2:$G$5001,Transactions!$C$2:$C$5001,$A145,Transactions!$E$2:$E$5001,2)-SUMIFS(Transactions!$H$2:$H$5001,Transactions!$C$2:$C$5001,$A145,Transactions!$E$2:$E$5001,2))</f>
      </c>
      <c r="F145" s="13">
        <f>IF($A145="","",SUMIFS(Transactions!$G$2:$G$5001,Transactions!$C$2:$C$5001,$A145,Transactions!$E$2:$E$5001,3)-SUMIFS(Transactions!$H$2:$H$5001,Transactions!$C$2:$C$5001,$A145,Transactions!$E$2:$E$5001,3))</f>
      </c>
      <c r="G145" s="13">
        <f>IF($A145="","",SUM($D145:$F145))</f>
      </c>
      <c r="H145" s="13">
        <f>IF($A145="","",VLOOKUP($A145,Items_Master!$A$2:$L$2001,6,FALSE))</f>
      </c>
      <c r="I145" s="40">
        <f>IF($A145="","",IF($G145&lt;=$H145,"LOW","OK"))</f>
      </c>
      <c r="J145" s="41">
        <f>IF($A145="","",VLOOKUP($A145,Items_Master!$A$2:$L$2001,4,FALSE))</f>
      </c>
      <c r="K145" s="41">
        <f>IF($A145="","",VLOOKUP($A145,Items_Master!$A$2:$L$2001,5,FALSE))</f>
      </c>
      <c r="L145" s="41">
        <f>IF($A145="","",$G145*$J145)</f>
      </c>
      <c r="M145" s="41">
        <f>IF($A145="","",$G145*$K145)</f>
      </c>
      <c r="N145" s="13">
        <f>IF($A145="","",COUNTIF(Transactions!$C$2:$C$5001,$A145))</f>
      </c>
    </row>
    <row x14ac:dyDescent="0.25" r="146" customHeight="1" ht="17.25">
      <c r="A146" s="15">
        <f>IF(ROW()-1&lt;=COUNTA(Items_Master!$A$2:$A$2001),INDEX(Items_Master!$A$2:$A$2001,ROW()-1),"")</f>
      </c>
      <c r="B146" s="15">
        <f>IF($A146="","",VLOOKUP($A146,Items_Master!$A$2:$L$2001,2,FALSE))</f>
      </c>
      <c r="C146" s="15">
        <f>IF($A146="","",VLOOKUP($A146,Items_Master!$A$2:$L$2001,3,FALSE))</f>
      </c>
      <c r="D146" s="16">
        <f>IF($A146="","",SUMIFS(Transactions!$G$2:$G$5001,Transactions!$C$2:$C$5001,$A146,Transactions!$E$2:$E$5001,1)-SUMIFS(Transactions!$H$2:$H$5001,Transactions!$C$2:$C$5001,$A146,Transactions!$E$2:$E$5001,1))</f>
      </c>
      <c r="E146" s="16">
        <f>IF($A146="","",SUMIFS(Transactions!$G$2:$G$5001,Transactions!$C$2:$C$5001,$A146,Transactions!$E$2:$E$5001,2)-SUMIFS(Transactions!$H$2:$H$5001,Transactions!$C$2:$C$5001,$A146,Transactions!$E$2:$E$5001,2))</f>
      </c>
      <c r="F146" s="16">
        <f>IF($A146="","",SUMIFS(Transactions!$G$2:$G$5001,Transactions!$C$2:$C$5001,$A146,Transactions!$E$2:$E$5001,3)-SUMIFS(Transactions!$H$2:$H$5001,Transactions!$C$2:$C$5001,$A146,Transactions!$E$2:$E$5001,3))</f>
      </c>
      <c r="G146" s="16">
        <f>IF($A146="","",SUM($D146:$F146))</f>
      </c>
      <c r="H146" s="16">
        <f>IF($A146="","",VLOOKUP($A146,Items_Master!$A$2:$L$2001,6,FALSE))</f>
      </c>
      <c r="I146" s="38">
        <f>IF($A146="","",IF($G146&lt;=$H146,"LOW","OK"))</f>
      </c>
      <c r="J146" s="39">
        <f>IF($A146="","",VLOOKUP($A146,Items_Master!$A$2:$L$2001,4,FALSE))</f>
      </c>
      <c r="K146" s="39">
        <f>IF($A146="","",VLOOKUP($A146,Items_Master!$A$2:$L$2001,5,FALSE))</f>
      </c>
      <c r="L146" s="39">
        <f>IF($A146="","",$G146*$J146)</f>
      </c>
      <c r="M146" s="39">
        <f>IF($A146="","",$G146*$K146)</f>
      </c>
      <c r="N146" s="16">
        <f>IF($A146="","",COUNTIF(Transactions!$C$2:$C$5001,$A146))</f>
      </c>
    </row>
    <row x14ac:dyDescent="0.25" r="147" customHeight="1" ht="17.25">
      <c r="A147" s="12">
        <f>IF(ROW()-1&lt;=COUNTA(Items_Master!$A$2:$A$2001),INDEX(Items_Master!$A$2:$A$2001,ROW()-1),"")</f>
      </c>
      <c r="B147" s="12">
        <f>IF($A147="","",VLOOKUP($A147,Items_Master!$A$2:$L$2001,2,FALSE))</f>
      </c>
      <c r="C147" s="12">
        <f>IF($A147="","",VLOOKUP($A147,Items_Master!$A$2:$L$2001,3,FALSE))</f>
      </c>
      <c r="D147" s="13">
        <f>IF($A147="","",SUMIFS(Transactions!$G$2:$G$5001,Transactions!$C$2:$C$5001,$A147,Transactions!$E$2:$E$5001,1)-SUMIFS(Transactions!$H$2:$H$5001,Transactions!$C$2:$C$5001,$A147,Transactions!$E$2:$E$5001,1))</f>
      </c>
      <c r="E147" s="13">
        <f>IF($A147="","",SUMIFS(Transactions!$G$2:$G$5001,Transactions!$C$2:$C$5001,$A147,Transactions!$E$2:$E$5001,2)-SUMIFS(Transactions!$H$2:$H$5001,Transactions!$C$2:$C$5001,$A147,Transactions!$E$2:$E$5001,2))</f>
      </c>
      <c r="F147" s="13">
        <f>IF($A147="","",SUMIFS(Transactions!$G$2:$G$5001,Transactions!$C$2:$C$5001,$A147,Transactions!$E$2:$E$5001,3)-SUMIFS(Transactions!$H$2:$H$5001,Transactions!$C$2:$C$5001,$A147,Transactions!$E$2:$E$5001,3))</f>
      </c>
      <c r="G147" s="13">
        <f>IF($A147="","",SUM($D147:$F147))</f>
      </c>
      <c r="H147" s="13">
        <f>IF($A147="","",VLOOKUP($A147,Items_Master!$A$2:$L$2001,6,FALSE))</f>
      </c>
      <c r="I147" s="40">
        <f>IF($A147="","",IF($G147&lt;=$H147,"LOW","OK"))</f>
      </c>
      <c r="J147" s="41">
        <f>IF($A147="","",VLOOKUP($A147,Items_Master!$A$2:$L$2001,4,FALSE))</f>
      </c>
      <c r="K147" s="41">
        <f>IF($A147="","",VLOOKUP($A147,Items_Master!$A$2:$L$2001,5,FALSE))</f>
      </c>
      <c r="L147" s="41">
        <f>IF($A147="","",$G147*$J147)</f>
      </c>
      <c r="M147" s="41">
        <f>IF($A147="","",$G147*$K147)</f>
      </c>
      <c r="N147" s="13">
        <f>IF($A147="","",COUNTIF(Transactions!$C$2:$C$5001,$A147))</f>
      </c>
    </row>
    <row x14ac:dyDescent="0.25" r="148" customHeight="1" ht="17.25">
      <c r="A148" s="15">
        <f>IF(ROW()-1&lt;=COUNTA(Items_Master!$A$2:$A$2001),INDEX(Items_Master!$A$2:$A$2001,ROW()-1),"")</f>
      </c>
      <c r="B148" s="15">
        <f>IF($A148="","",VLOOKUP($A148,Items_Master!$A$2:$L$2001,2,FALSE))</f>
      </c>
      <c r="C148" s="15">
        <f>IF($A148="","",VLOOKUP($A148,Items_Master!$A$2:$L$2001,3,FALSE))</f>
      </c>
      <c r="D148" s="16">
        <f>IF($A148="","",SUMIFS(Transactions!$G$2:$G$5001,Transactions!$C$2:$C$5001,$A148,Transactions!$E$2:$E$5001,1)-SUMIFS(Transactions!$H$2:$H$5001,Transactions!$C$2:$C$5001,$A148,Transactions!$E$2:$E$5001,1))</f>
      </c>
      <c r="E148" s="16">
        <f>IF($A148="","",SUMIFS(Transactions!$G$2:$G$5001,Transactions!$C$2:$C$5001,$A148,Transactions!$E$2:$E$5001,2)-SUMIFS(Transactions!$H$2:$H$5001,Transactions!$C$2:$C$5001,$A148,Transactions!$E$2:$E$5001,2))</f>
      </c>
      <c r="F148" s="16">
        <f>IF($A148="","",SUMIFS(Transactions!$G$2:$G$5001,Transactions!$C$2:$C$5001,$A148,Transactions!$E$2:$E$5001,3)-SUMIFS(Transactions!$H$2:$H$5001,Transactions!$C$2:$C$5001,$A148,Transactions!$E$2:$E$5001,3))</f>
      </c>
      <c r="G148" s="16">
        <f>IF($A148="","",SUM($D148:$F148))</f>
      </c>
      <c r="H148" s="16">
        <f>IF($A148="","",VLOOKUP($A148,Items_Master!$A$2:$L$2001,6,FALSE))</f>
      </c>
      <c r="I148" s="38">
        <f>IF($A148="","",IF($G148&lt;=$H148,"LOW","OK"))</f>
      </c>
      <c r="J148" s="39">
        <f>IF($A148="","",VLOOKUP($A148,Items_Master!$A$2:$L$2001,4,FALSE))</f>
      </c>
      <c r="K148" s="39">
        <f>IF($A148="","",VLOOKUP($A148,Items_Master!$A$2:$L$2001,5,FALSE))</f>
      </c>
      <c r="L148" s="39">
        <f>IF($A148="","",$G148*$J148)</f>
      </c>
      <c r="M148" s="39">
        <f>IF($A148="","",$G148*$K148)</f>
      </c>
      <c r="N148" s="16">
        <f>IF($A148="","",COUNTIF(Transactions!$C$2:$C$5001,$A148))</f>
      </c>
    </row>
    <row x14ac:dyDescent="0.25" r="149" customHeight="1" ht="17.25">
      <c r="A149" s="12">
        <f>IF(ROW()-1&lt;=COUNTA(Items_Master!$A$2:$A$2001),INDEX(Items_Master!$A$2:$A$2001,ROW()-1),"")</f>
      </c>
      <c r="B149" s="12">
        <f>IF($A149="","",VLOOKUP($A149,Items_Master!$A$2:$L$2001,2,FALSE))</f>
      </c>
      <c r="C149" s="12">
        <f>IF($A149="","",VLOOKUP($A149,Items_Master!$A$2:$L$2001,3,FALSE))</f>
      </c>
      <c r="D149" s="13">
        <f>IF($A149="","",SUMIFS(Transactions!$G$2:$G$5001,Transactions!$C$2:$C$5001,$A149,Transactions!$E$2:$E$5001,1)-SUMIFS(Transactions!$H$2:$H$5001,Transactions!$C$2:$C$5001,$A149,Transactions!$E$2:$E$5001,1))</f>
      </c>
      <c r="E149" s="13">
        <f>IF($A149="","",SUMIFS(Transactions!$G$2:$G$5001,Transactions!$C$2:$C$5001,$A149,Transactions!$E$2:$E$5001,2)-SUMIFS(Transactions!$H$2:$H$5001,Transactions!$C$2:$C$5001,$A149,Transactions!$E$2:$E$5001,2))</f>
      </c>
      <c r="F149" s="13">
        <f>IF($A149="","",SUMIFS(Transactions!$G$2:$G$5001,Transactions!$C$2:$C$5001,$A149,Transactions!$E$2:$E$5001,3)-SUMIFS(Transactions!$H$2:$H$5001,Transactions!$C$2:$C$5001,$A149,Transactions!$E$2:$E$5001,3))</f>
      </c>
      <c r="G149" s="13">
        <f>IF($A149="","",SUM($D149:$F149))</f>
      </c>
      <c r="H149" s="13">
        <f>IF($A149="","",VLOOKUP($A149,Items_Master!$A$2:$L$2001,6,FALSE))</f>
      </c>
      <c r="I149" s="40">
        <f>IF($A149="","",IF($G149&lt;=$H149,"LOW","OK"))</f>
      </c>
      <c r="J149" s="41">
        <f>IF($A149="","",VLOOKUP($A149,Items_Master!$A$2:$L$2001,4,FALSE))</f>
      </c>
      <c r="K149" s="41">
        <f>IF($A149="","",VLOOKUP($A149,Items_Master!$A$2:$L$2001,5,FALSE))</f>
      </c>
      <c r="L149" s="41">
        <f>IF($A149="","",$G149*$J149)</f>
      </c>
      <c r="M149" s="41">
        <f>IF($A149="","",$G149*$K149)</f>
      </c>
      <c r="N149" s="13">
        <f>IF($A149="","",COUNTIF(Transactions!$C$2:$C$5001,$A149))</f>
      </c>
    </row>
    <row x14ac:dyDescent="0.25" r="150" customHeight="1" ht="17.25">
      <c r="A150" s="15">
        <f>IF(ROW()-1&lt;=COUNTA(Items_Master!$A$2:$A$2001),INDEX(Items_Master!$A$2:$A$2001,ROW()-1),"")</f>
      </c>
      <c r="B150" s="15">
        <f>IF($A150="","",VLOOKUP($A150,Items_Master!$A$2:$L$2001,2,FALSE))</f>
      </c>
      <c r="C150" s="15">
        <f>IF($A150="","",VLOOKUP($A150,Items_Master!$A$2:$L$2001,3,FALSE))</f>
      </c>
      <c r="D150" s="16">
        <f>IF($A150="","",SUMIFS(Transactions!$G$2:$G$5001,Transactions!$C$2:$C$5001,$A150,Transactions!$E$2:$E$5001,1)-SUMIFS(Transactions!$H$2:$H$5001,Transactions!$C$2:$C$5001,$A150,Transactions!$E$2:$E$5001,1))</f>
      </c>
      <c r="E150" s="16">
        <f>IF($A150="","",SUMIFS(Transactions!$G$2:$G$5001,Transactions!$C$2:$C$5001,$A150,Transactions!$E$2:$E$5001,2)-SUMIFS(Transactions!$H$2:$H$5001,Transactions!$C$2:$C$5001,$A150,Transactions!$E$2:$E$5001,2))</f>
      </c>
      <c r="F150" s="16">
        <f>IF($A150="","",SUMIFS(Transactions!$G$2:$G$5001,Transactions!$C$2:$C$5001,$A150,Transactions!$E$2:$E$5001,3)-SUMIFS(Transactions!$H$2:$H$5001,Transactions!$C$2:$C$5001,$A150,Transactions!$E$2:$E$5001,3))</f>
      </c>
      <c r="G150" s="16">
        <f>IF($A150="","",SUM($D150:$F150))</f>
      </c>
      <c r="H150" s="16">
        <f>IF($A150="","",VLOOKUP($A150,Items_Master!$A$2:$L$2001,6,FALSE))</f>
      </c>
      <c r="I150" s="38">
        <f>IF($A150="","",IF($G150&lt;=$H150,"LOW","OK"))</f>
      </c>
      <c r="J150" s="39">
        <f>IF($A150="","",VLOOKUP($A150,Items_Master!$A$2:$L$2001,4,FALSE))</f>
      </c>
      <c r="K150" s="39">
        <f>IF($A150="","",VLOOKUP($A150,Items_Master!$A$2:$L$2001,5,FALSE))</f>
      </c>
      <c r="L150" s="39">
        <f>IF($A150="","",$G150*$J150)</f>
      </c>
      <c r="M150" s="39">
        <f>IF($A150="","",$G150*$K150)</f>
      </c>
      <c r="N150" s="16">
        <f>IF($A150="","",COUNTIF(Transactions!$C$2:$C$5001,$A150))</f>
      </c>
    </row>
    <row x14ac:dyDescent="0.25" r="151" customHeight="1" ht="17.25">
      <c r="A151" s="12">
        <f>IF(ROW()-1&lt;=COUNTA(Items_Master!$A$2:$A$2001),INDEX(Items_Master!$A$2:$A$2001,ROW()-1),"")</f>
      </c>
      <c r="B151" s="12">
        <f>IF($A151="","",VLOOKUP($A151,Items_Master!$A$2:$L$2001,2,FALSE))</f>
      </c>
      <c r="C151" s="12">
        <f>IF($A151="","",VLOOKUP($A151,Items_Master!$A$2:$L$2001,3,FALSE))</f>
      </c>
      <c r="D151" s="13">
        <f>IF($A151="","",SUMIFS(Transactions!$G$2:$G$5001,Transactions!$C$2:$C$5001,$A151,Transactions!$E$2:$E$5001,1)-SUMIFS(Transactions!$H$2:$H$5001,Transactions!$C$2:$C$5001,$A151,Transactions!$E$2:$E$5001,1))</f>
      </c>
      <c r="E151" s="13">
        <f>IF($A151="","",SUMIFS(Transactions!$G$2:$G$5001,Transactions!$C$2:$C$5001,$A151,Transactions!$E$2:$E$5001,2)-SUMIFS(Transactions!$H$2:$H$5001,Transactions!$C$2:$C$5001,$A151,Transactions!$E$2:$E$5001,2))</f>
      </c>
      <c r="F151" s="13">
        <f>IF($A151="","",SUMIFS(Transactions!$G$2:$G$5001,Transactions!$C$2:$C$5001,$A151,Transactions!$E$2:$E$5001,3)-SUMIFS(Transactions!$H$2:$H$5001,Transactions!$C$2:$C$5001,$A151,Transactions!$E$2:$E$5001,3))</f>
      </c>
      <c r="G151" s="13">
        <f>IF($A151="","",SUM($D151:$F151))</f>
      </c>
      <c r="H151" s="13">
        <f>IF($A151="","",VLOOKUP($A151,Items_Master!$A$2:$L$2001,6,FALSE))</f>
      </c>
      <c r="I151" s="40">
        <f>IF($A151="","",IF($G151&lt;=$H151,"LOW","OK"))</f>
      </c>
      <c r="J151" s="41">
        <f>IF($A151="","",VLOOKUP($A151,Items_Master!$A$2:$L$2001,4,FALSE))</f>
      </c>
      <c r="K151" s="41">
        <f>IF($A151="","",VLOOKUP($A151,Items_Master!$A$2:$L$2001,5,FALSE))</f>
      </c>
      <c r="L151" s="41">
        <f>IF($A151="","",$G151*$J151)</f>
      </c>
      <c r="M151" s="41">
        <f>IF($A151="","",$G151*$K151)</f>
      </c>
      <c r="N151" s="13">
        <f>IF($A151="","",COUNTIF(Transactions!$C$2:$C$5001,$A151))</f>
      </c>
    </row>
    <row x14ac:dyDescent="0.25" r="152" customHeight="1" ht="17.25">
      <c r="A152" s="15">
        <f>IF(ROW()-1&lt;=COUNTA(Items_Master!$A$2:$A$2001),INDEX(Items_Master!$A$2:$A$2001,ROW()-1),"")</f>
      </c>
      <c r="B152" s="15">
        <f>IF($A152="","",VLOOKUP($A152,Items_Master!$A$2:$L$2001,2,FALSE))</f>
      </c>
      <c r="C152" s="15">
        <f>IF($A152="","",VLOOKUP($A152,Items_Master!$A$2:$L$2001,3,FALSE))</f>
      </c>
      <c r="D152" s="16">
        <f>IF($A152="","",SUMIFS(Transactions!$G$2:$G$5001,Transactions!$C$2:$C$5001,$A152,Transactions!$E$2:$E$5001,1)-SUMIFS(Transactions!$H$2:$H$5001,Transactions!$C$2:$C$5001,$A152,Transactions!$E$2:$E$5001,1))</f>
      </c>
      <c r="E152" s="16">
        <f>IF($A152="","",SUMIFS(Transactions!$G$2:$G$5001,Transactions!$C$2:$C$5001,$A152,Transactions!$E$2:$E$5001,2)-SUMIFS(Transactions!$H$2:$H$5001,Transactions!$C$2:$C$5001,$A152,Transactions!$E$2:$E$5001,2))</f>
      </c>
      <c r="F152" s="16">
        <f>IF($A152="","",SUMIFS(Transactions!$G$2:$G$5001,Transactions!$C$2:$C$5001,$A152,Transactions!$E$2:$E$5001,3)-SUMIFS(Transactions!$H$2:$H$5001,Transactions!$C$2:$C$5001,$A152,Transactions!$E$2:$E$5001,3))</f>
      </c>
      <c r="G152" s="16">
        <f>IF($A152="","",SUM($D152:$F152))</f>
      </c>
      <c r="H152" s="16">
        <f>IF($A152="","",VLOOKUP($A152,Items_Master!$A$2:$L$2001,6,FALSE))</f>
      </c>
      <c r="I152" s="38">
        <f>IF($A152="","",IF($G152&lt;=$H152,"LOW","OK"))</f>
      </c>
      <c r="J152" s="39">
        <f>IF($A152="","",VLOOKUP($A152,Items_Master!$A$2:$L$2001,4,FALSE))</f>
      </c>
      <c r="K152" s="39">
        <f>IF($A152="","",VLOOKUP($A152,Items_Master!$A$2:$L$2001,5,FALSE))</f>
      </c>
      <c r="L152" s="39">
        <f>IF($A152="","",$G152*$J152)</f>
      </c>
      <c r="M152" s="39">
        <f>IF($A152="","",$G152*$K152)</f>
      </c>
      <c r="N152" s="16">
        <f>IF($A152="","",COUNTIF(Transactions!$C$2:$C$5001,$A152))</f>
      </c>
    </row>
    <row x14ac:dyDescent="0.25" r="153" customHeight="1" ht="17.25">
      <c r="A153" s="12">
        <f>IF(ROW()-1&lt;=COUNTA(Items_Master!$A$2:$A$2001),INDEX(Items_Master!$A$2:$A$2001,ROW()-1),"")</f>
      </c>
      <c r="B153" s="12">
        <f>IF($A153="","",VLOOKUP($A153,Items_Master!$A$2:$L$2001,2,FALSE))</f>
      </c>
      <c r="C153" s="12">
        <f>IF($A153="","",VLOOKUP($A153,Items_Master!$A$2:$L$2001,3,FALSE))</f>
      </c>
      <c r="D153" s="13">
        <f>IF($A153="","",SUMIFS(Transactions!$G$2:$G$5001,Transactions!$C$2:$C$5001,$A153,Transactions!$E$2:$E$5001,1)-SUMIFS(Transactions!$H$2:$H$5001,Transactions!$C$2:$C$5001,$A153,Transactions!$E$2:$E$5001,1))</f>
      </c>
      <c r="E153" s="13">
        <f>IF($A153="","",SUMIFS(Transactions!$G$2:$G$5001,Transactions!$C$2:$C$5001,$A153,Transactions!$E$2:$E$5001,2)-SUMIFS(Transactions!$H$2:$H$5001,Transactions!$C$2:$C$5001,$A153,Transactions!$E$2:$E$5001,2))</f>
      </c>
      <c r="F153" s="13">
        <f>IF($A153="","",SUMIFS(Transactions!$G$2:$G$5001,Transactions!$C$2:$C$5001,$A153,Transactions!$E$2:$E$5001,3)-SUMIFS(Transactions!$H$2:$H$5001,Transactions!$C$2:$C$5001,$A153,Transactions!$E$2:$E$5001,3))</f>
      </c>
      <c r="G153" s="13">
        <f>IF($A153="","",SUM($D153:$F153))</f>
      </c>
      <c r="H153" s="13">
        <f>IF($A153="","",VLOOKUP($A153,Items_Master!$A$2:$L$2001,6,FALSE))</f>
      </c>
      <c r="I153" s="40">
        <f>IF($A153="","",IF($G153&lt;=$H153,"LOW","OK"))</f>
      </c>
      <c r="J153" s="41">
        <f>IF($A153="","",VLOOKUP($A153,Items_Master!$A$2:$L$2001,4,FALSE))</f>
      </c>
      <c r="K153" s="41">
        <f>IF($A153="","",VLOOKUP($A153,Items_Master!$A$2:$L$2001,5,FALSE))</f>
      </c>
      <c r="L153" s="41">
        <f>IF($A153="","",$G153*$J153)</f>
      </c>
      <c r="M153" s="41">
        <f>IF($A153="","",$G153*$K153)</f>
      </c>
      <c r="N153" s="13">
        <f>IF($A153="","",COUNTIF(Transactions!$C$2:$C$5001,$A153))</f>
      </c>
    </row>
    <row x14ac:dyDescent="0.25" r="154" customHeight="1" ht="17.25">
      <c r="A154" s="15">
        <f>IF(ROW()-1&lt;=COUNTA(Items_Master!$A$2:$A$2001),INDEX(Items_Master!$A$2:$A$2001,ROW()-1),"")</f>
      </c>
      <c r="B154" s="15">
        <f>IF($A154="","",VLOOKUP($A154,Items_Master!$A$2:$L$2001,2,FALSE))</f>
      </c>
      <c r="C154" s="15">
        <f>IF($A154="","",VLOOKUP($A154,Items_Master!$A$2:$L$2001,3,FALSE))</f>
      </c>
      <c r="D154" s="16">
        <f>IF($A154="","",SUMIFS(Transactions!$G$2:$G$5001,Transactions!$C$2:$C$5001,$A154,Transactions!$E$2:$E$5001,1)-SUMIFS(Transactions!$H$2:$H$5001,Transactions!$C$2:$C$5001,$A154,Transactions!$E$2:$E$5001,1))</f>
      </c>
      <c r="E154" s="16">
        <f>IF($A154="","",SUMIFS(Transactions!$G$2:$G$5001,Transactions!$C$2:$C$5001,$A154,Transactions!$E$2:$E$5001,2)-SUMIFS(Transactions!$H$2:$H$5001,Transactions!$C$2:$C$5001,$A154,Transactions!$E$2:$E$5001,2))</f>
      </c>
      <c r="F154" s="16">
        <f>IF($A154="","",SUMIFS(Transactions!$G$2:$G$5001,Transactions!$C$2:$C$5001,$A154,Transactions!$E$2:$E$5001,3)-SUMIFS(Transactions!$H$2:$H$5001,Transactions!$C$2:$C$5001,$A154,Transactions!$E$2:$E$5001,3))</f>
      </c>
      <c r="G154" s="16">
        <f>IF($A154="","",SUM($D154:$F154))</f>
      </c>
      <c r="H154" s="16">
        <f>IF($A154="","",VLOOKUP($A154,Items_Master!$A$2:$L$2001,6,FALSE))</f>
      </c>
      <c r="I154" s="38">
        <f>IF($A154="","",IF($G154&lt;=$H154,"LOW","OK"))</f>
      </c>
      <c r="J154" s="39">
        <f>IF($A154="","",VLOOKUP($A154,Items_Master!$A$2:$L$2001,4,FALSE))</f>
      </c>
      <c r="K154" s="39">
        <f>IF($A154="","",VLOOKUP($A154,Items_Master!$A$2:$L$2001,5,FALSE))</f>
      </c>
      <c r="L154" s="39">
        <f>IF($A154="","",$G154*$J154)</f>
      </c>
      <c r="M154" s="39">
        <f>IF($A154="","",$G154*$K154)</f>
      </c>
      <c r="N154" s="16">
        <f>IF($A154="","",COUNTIF(Transactions!$C$2:$C$5001,$A154))</f>
      </c>
    </row>
    <row x14ac:dyDescent="0.25" r="155" customHeight="1" ht="17.25">
      <c r="A155" s="12">
        <f>IF(ROW()-1&lt;=COUNTA(Items_Master!$A$2:$A$2001),INDEX(Items_Master!$A$2:$A$2001,ROW()-1),"")</f>
      </c>
      <c r="B155" s="12">
        <f>IF($A155="","",VLOOKUP($A155,Items_Master!$A$2:$L$2001,2,FALSE))</f>
      </c>
      <c r="C155" s="12">
        <f>IF($A155="","",VLOOKUP($A155,Items_Master!$A$2:$L$2001,3,FALSE))</f>
      </c>
      <c r="D155" s="13">
        <f>IF($A155="","",SUMIFS(Transactions!$G$2:$G$5001,Transactions!$C$2:$C$5001,$A155,Transactions!$E$2:$E$5001,1)-SUMIFS(Transactions!$H$2:$H$5001,Transactions!$C$2:$C$5001,$A155,Transactions!$E$2:$E$5001,1))</f>
      </c>
      <c r="E155" s="13">
        <f>IF($A155="","",SUMIFS(Transactions!$G$2:$G$5001,Transactions!$C$2:$C$5001,$A155,Transactions!$E$2:$E$5001,2)-SUMIFS(Transactions!$H$2:$H$5001,Transactions!$C$2:$C$5001,$A155,Transactions!$E$2:$E$5001,2))</f>
      </c>
      <c r="F155" s="13">
        <f>IF($A155="","",SUMIFS(Transactions!$G$2:$G$5001,Transactions!$C$2:$C$5001,$A155,Transactions!$E$2:$E$5001,3)-SUMIFS(Transactions!$H$2:$H$5001,Transactions!$C$2:$C$5001,$A155,Transactions!$E$2:$E$5001,3))</f>
      </c>
      <c r="G155" s="13">
        <f>IF($A155="","",SUM($D155:$F155))</f>
      </c>
      <c r="H155" s="13">
        <f>IF($A155="","",VLOOKUP($A155,Items_Master!$A$2:$L$2001,6,FALSE))</f>
      </c>
      <c r="I155" s="40">
        <f>IF($A155="","",IF($G155&lt;=$H155,"LOW","OK"))</f>
      </c>
      <c r="J155" s="41">
        <f>IF($A155="","",VLOOKUP($A155,Items_Master!$A$2:$L$2001,4,FALSE))</f>
      </c>
      <c r="K155" s="41">
        <f>IF($A155="","",VLOOKUP($A155,Items_Master!$A$2:$L$2001,5,FALSE))</f>
      </c>
      <c r="L155" s="41">
        <f>IF($A155="","",$G155*$J155)</f>
      </c>
      <c r="M155" s="41">
        <f>IF($A155="","",$G155*$K155)</f>
      </c>
      <c r="N155" s="13">
        <f>IF($A155="","",COUNTIF(Transactions!$C$2:$C$5001,$A155))</f>
      </c>
    </row>
    <row x14ac:dyDescent="0.25" r="156" customHeight="1" ht="17.25">
      <c r="A156" s="15">
        <f>IF(ROW()-1&lt;=COUNTA(Items_Master!$A$2:$A$2001),INDEX(Items_Master!$A$2:$A$2001,ROW()-1),"")</f>
      </c>
      <c r="B156" s="15">
        <f>IF($A156="","",VLOOKUP($A156,Items_Master!$A$2:$L$2001,2,FALSE))</f>
      </c>
      <c r="C156" s="15">
        <f>IF($A156="","",VLOOKUP($A156,Items_Master!$A$2:$L$2001,3,FALSE))</f>
      </c>
      <c r="D156" s="16">
        <f>IF($A156="","",SUMIFS(Transactions!$G$2:$G$5001,Transactions!$C$2:$C$5001,$A156,Transactions!$E$2:$E$5001,1)-SUMIFS(Transactions!$H$2:$H$5001,Transactions!$C$2:$C$5001,$A156,Transactions!$E$2:$E$5001,1))</f>
      </c>
      <c r="E156" s="16">
        <f>IF($A156="","",SUMIFS(Transactions!$G$2:$G$5001,Transactions!$C$2:$C$5001,$A156,Transactions!$E$2:$E$5001,2)-SUMIFS(Transactions!$H$2:$H$5001,Transactions!$C$2:$C$5001,$A156,Transactions!$E$2:$E$5001,2))</f>
      </c>
      <c r="F156" s="16">
        <f>IF($A156="","",SUMIFS(Transactions!$G$2:$G$5001,Transactions!$C$2:$C$5001,$A156,Transactions!$E$2:$E$5001,3)-SUMIFS(Transactions!$H$2:$H$5001,Transactions!$C$2:$C$5001,$A156,Transactions!$E$2:$E$5001,3))</f>
      </c>
      <c r="G156" s="16">
        <f>IF($A156="","",SUM($D156:$F156))</f>
      </c>
      <c r="H156" s="16">
        <f>IF($A156="","",VLOOKUP($A156,Items_Master!$A$2:$L$2001,6,FALSE))</f>
      </c>
      <c r="I156" s="38">
        <f>IF($A156="","",IF($G156&lt;=$H156,"LOW","OK"))</f>
      </c>
      <c r="J156" s="39">
        <f>IF($A156="","",VLOOKUP($A156,Items_Master!$A$2:$L$2001,4,FALSE))</f>
      </c>
      <c r="K156" s="39">
        <f>IF($A156="","",VLOOKUP($A156,Items_Master!$A$2:$L$2001,5,FALSE))</f>
      </c>
      <c r="L156" s="39">
        <f>IF($A156="","",$G156*$J156)</f>
      </c>
      <c r="M156" s="39">
        <f>IF($A156="","",$G156*$K156)</f>
      </c>
      <c r="N156" s="16">
        <f>IF($A156="","",COUNTIF(Transactions!$C$2:$C$5001,$A156))</f>
      </c>
    </row>
    <row x14ac:dyDescent="0.25" r="157" customHeight="1" ht="17.25">
      <c r="A157" s="12">
        <f>IF(ROW()-1&lt;=COUNTA(Items_Master!$A$2:$A$2001),INDEX(Items_Master!$A$2:$A$2001,ROW()-1),"")</f>
      </c>
      <c r="B157" s="12">
        <f>IF($A157="","",VLOOKUP($A157,Items_Master!$A$2:$L$2001,2,FALSE))</f>
      </c>
      <c r="C157" s="12">
        <f>IF($A157="","",VLOOKUP($A157,Items_Master!$A$2:$L$2001,3,FALSE))</f>
      </c>
      <c r="D157" s="13">
        <f>IF($A157="","",SUMIFS(Transactions!$G$2:$G$5001,Transactions!$C$2:$C$5001,$A157,Transactions!$E$2:$E$5001,1)-SUMIFS(Transactions!$H$2:$H$5001,Transactions!$C$2:$C$5001,$A157,Transactions!$E$2:$E$5001,1))</f>
      </c>
      <c r="E157" s="13">
        <f>IF($A157="","",SUMIFS(Transactions!$G$2:$G$5001,Transactions!$C$2:$C$5001,$A157,Transactions!$E$2:$E$5001,2)-SUMIFS(Transactions!$H$2:$H$5001,Transactions!$C$2:$C$5001,$A157,Transactions!$E$2:$E$5001,2))</f>
      </c>
      <c r="F157" s="13">
        <f>IF($A157="","",SUMIFS(Transactions!$G$2:$G$5001,Transactions!$C$2:$C$5001,$A157,Transactions!$E$2:$E$5001,3)-SUMIFS(Transactions!$H$2:$H$5001,Transactions!$C$2:$C$5001,$A157,Transactions!$E$2:$E$5001,3))</f>
      </c>
      <c r="G157" s="13">
        <f>IF($A157="","",SUM($D157:$F157))</f>
      </c>
      <c r="H157" s="13">
        <f>IF($A157="","",VLOOKUP($A157,Items_Master!$A$2:$L$2001,6,FALSE))</f>
      </c>
      <c r="I157" s="40">
        <f>IF($A157="","",IF($G157&lt;=$H157,"LOW","OK"))</f>
      </c>
      <c r="J157" s="41">
        <f>IF($A157="","",VLOOKUP($A157,Items_Master!$A$2:$L$2001,4,FALSE))</f>
      </c>
      <c r="K157" s="41">
        <f>IF($A157="","",VLOOKUP($A157,Items_Master!$A$2:$L$2001,5,FALSE))</f>
      </c>
      <c r="L157" s="41">
        <f>IF($A157="","",$G157*$J157)</f>
      </c>
      <c r="M157" s="41">
        <f>IF($A157="","",$G157*$K157)</f>
      </c>
      <c r="N157" s="13">
        <f>IF($A157="","",COUNTIF(Transactions!$C$2:$C$5001,$A157))</f>
      </c>
    </row>
    <row x14ac:dyDescent="0.25" r="158" customHeight="1" ht="17.25">
      <c r="A158" s="15">
        <f>IF(ROW()-1&lt;=COUNTA(Items_Master!$A$2:$A$2001),INDEX(Items_Master!$A$2:$A$2001,ROW()-1),"")</f>
      </c>
      <c r="B158" s="15">
        <f>IF($A158="","",VLOOKUP($A158,Items_Master!$A$2:$L$2001,2,FALSE))</f>
      </c>
      <c r="C158" s="15">
        <f>IF($A158="","",VLOOKUP($A158,Items_Master!$A$2:$L$2001,3,FALSE))</f>
      </c>
      <c r="D158" s="16">
        <f>IF($A158="","",SUMIFS(Transactions!$G$2:$G$5001,Transactions!$C$2:$C$5001,$A158,Transactions!$E$2:$E$5001,1)-SUMIFS(Transactions!$H$2:$H$5001,Transactions!$C$2:$C$5001,$A158,Transactions!$E$2:$E$5001,1))</f>
      </c>
      <c r="E158" s="16">
        <f>IF($A158="","",SUMIFS(Transactions!$G$2:$G$5001,Transactions!$C$2:$C$5001,$A158,Transactions!$E$2:$E$5001,2)-SUMIFS(Transactions!$H$2:$H$5001,Transactions!$C$2:$C$5001,$A158,Transactions!$E$2:$E$5001,2))</f>
      </c>
      <c r="F158" s="16">
        <f>IF($A158="","",SUMIFS(Transactions!$G$2:$G$5001,Transactions!$C$2:$C$5001,$A158,Transactions!$E$2:$E$5001,3)-SUMIFS(Transactions!$H$2:$H$5001,Transactions!$C$2:$C$5001,$A158,Transactions!$E$2:$E$5001,3))</f>
      </c>
      <c r="G158" s="16">
        <f>IF($A158="","",SUM($D158:$F158))</f>
      </c>
      <c r="H158" s="16">
        <f>IF($A158="","",VLOOKUP($A158,Items_Master!$A$2:$L$2001,6,FALSE))</f>
      </c>
      <c r="I158" s="38">
        <f>IF($A158="","",IF($G158&lt;=$H158,"LOW","OK"))</f>
      </c>
      <c r="J158" s="39">
        <f>IF($A158="","",VLOOKUP($A158,Items_Master!$A$2:$L$2001,4,FALSE))</f>
      </c>
      <c r="K158" s="39">
        <f>IF($A158="","",VLOOKUP($A158,Items_Master!$A$2:$L$2001,5,FALSE))</f>
      </c>
      <c r="L158" s="39">
        <f>IF($A158="","",$G158*$J158)</f>
      </c>
      <c r="M158" s="39">
        <f>IF($A158="","",$G158*$K158)</f>
      </c>
      <c r="N158" s="16">
        <f>IF($A158="","",COUNTIF(Transactions!$C$2:$C$5001,$A158))</f>
      </c>
    </row>
    <row x14ac:dyDescent="0.25" r="159" customHeight="1" ht="17.25">
      <c r="A159" s="12">
        <f>IF(ROW()-1&lt;=COUNTA(Items_Master!$A$2:$A$2001),INDEX(Items_Master!$A$2:$A$2001,ROW()-1),"")</f>
      </c>
      <c r="B159" s="12">
        <f>IF($A159="","",VLOOKUP($A159,Items_Master!$A$2:$L$2001,2,FALSE))</f>
      </c>
      <c r="C159" s="12">
        <f>IF($A159="","",VLOOKUP($A159,Items_Master!$A$2:$L$2001,3,FALSE))</f>
      </c>
      <c r="D159" s="13">
        <f>IF($A159="","",SUMIFS(Transactions!$G$2:$G$5001,Transactions!$C$2:$C$5001,$A159,Transactions!$E$2:$E$5001,1)-SUMIFS(Transactions!$H$2:$H$5001,Transactions!$C$2:$C$5001,$A159,Transactions!$E$2:$E$5001,1))</f>
      </c>
      <c r="E159" s="13">
        <f>IF($A159="","",SUMIFS(Transactions!$G$2:$G$5001,Transactions!$C$2:$C$5001,$A159,Transactions!$E$2:$E$5001,2)-SUMIFS(Transactions!$H$2:$H$5001,Transactions!$C$2:$C$5001,$A159,Transactions!$E$2:$E$5001,2))</f>
      </c>
      <c r="F159" s="13">
        <f>IF($A159="","",SUMIFS(Transactions!$G$2:$G$5001,Transactions!$C$2:$C$5001,$A159,Transactions!$E$2:$E$5001,3)-SUMIFS(Transactions!$H$2:$H$5001,Transactions!$C$2:$C$5001,$A159,Transactions!$E$2:$E$5001,3))</f>
      </c>
      <c r="G159" s="13">
        <f>IF($A159="","",SUM($D159:$F159))</f>
      </c>
      <c r="H159" s="13">
        <f>IF($A159="","",VLOOKUP($A159,Items_Master!$A$2:$L$2001,6,FALSE))</f>
      </c>
      <c r="I159" s="40">
        <f>IF($A159="","",IF($G159&lt;=$H159,"LOW","OK"))</f>
      </c>
      <c r="J159" s="41">
        <f>IF($A159="","",VLOOKUP($A159,Items_Master!$A$2:$L$2001,4,FALSE))</f>
      </c>
      <c r="K159" s="41">
        <f>IF($A159="","",VLOOKUP($A159,Items_Master!$A$2:$L$2001,5,FALSE))</f>
      </c>
      <c r="L159" s="41">
        <f>IF($A159="","",$G159*$J159)</f>
      </c>
      <c r="M159" s="41">
        <f>IF($A159="","",$G159*$K159)</f>
      </c>
      <c r="N159" s="13">
        <f>IF($A159="","",COUNTIF(Transactions!$C$2:$C$5001,$A159))</f>
      </c>
    </row>
    <row x14ac:dyDescent="0.25" r="160" customHeight="1" ht="17.25">
      <c r="A160" s="15">
        <f>IF(ROW()-1&lt;=COUNTA(Items_Master!$A$2:$A$2001),INDEX(Items_Master!$A$2:$A$2001,ROW()-1),"")</f>
      </c>
      <c r="B160" s="15">
        <f>IF($A160="","",VLOOKUP($A160,Items_Master!$A$2:$L$2001,2,FALSE))</f>
      </c>
      <c r="C160" s="15">
        <f>IF($A160="","",VLOOKUP($A160,Items_Master!$A$2:$L$2001,3,FALSE))</f>
      </c>
      <c r="D160" s="16">
        <f>IF($A160="","",SUMIFS(Transactions!$G$2:$G$5001,Transactions!$C$2:$C$5001,$A160,Transactions!$E$2:$E$5001,1)-SUMIFS(Transactions!$H$2:$H$5001,Transactions!$C$2:$C$5001,$A160,Transactions!$E$2:$E$5001,1))</f>
      </c>
      <c r="E160" s="16">
        <f>IF($A160="","",SUMIFS(Transactions!$G$2:$G$5001,Transactions!$C$2:$C$5001,$A160,Transactions!$E$2:$E$5001,2)-SUMIFS(Transactions!$H$2:$H$5001,Transactions!$C$2:$C$5001,$A160,Transactions!$E$2:$E$5001,2))</f>
      </c>
      <c r="F160" s="16">
        <f>IF($A160="","",SUMIFS(Transactions!$G$2:$G$5001,Transactions!$C$2:$C$5001,$A160,Transactions!$E$2:$E$5001,3)-SUMIFS(Transactions!$H$2:$H$5001,Transactions!$C$2:$C$5001,$A160,Transactions!$E$2:$E$5001,3))</f>
      </c>
      <c r="G160" s="16">
        <f>IF($A160="","",SUM($D160:$F160))</f>
      </c>
      <c r="H160" s="16">
        <f>IF($A160="","",VLOOKUP($A160,Items_Master!$A$2:$L$2001,6,FALSE))</f>
      </c>
      <c r="I160" s="38">
        <f>IF($A160="","",IF($G160&lt;=$H160,"LOW","OK"))</f>
      </c>
      <c r="J160" s="39">
        <f>IF($A160="","",VLOOKUP($A160,Items_Master!$A$2:$L$2001,4,FALSE))</f>
      </c>
      <c r="K160" s="39">
        <f>IF($A160="","",VLOOKUP($A160,Items_Master!$A$2:$L$2001,5,FALSE))</f>
      </c>
      <c r="L160" s="39">
        <f>IF($A160="","",$G160*$J160)</f>
      </c>
      <c r="M160" s="39">
        <f>IF($A160="","",$G160*$K160)</f>
      </c>
      <c r="N160" s="16">
        <f>IF($A160="","",COUNTIF(Transactions!$C$2:$C$5001,$A160))</f>
      </c>
    </row>
    <row x14ac:dyDescent="0.25" r="161" customHeight="1" ht="17.25">
      <c r="A161" s="12">
        <f>IF(ROW()-1&lt;=COUNTA(Items_Master!$A$2:$A$2001),INDEX(Items_Master!$A$2:$A$2001,ROW()-1),"")</f>
      </c>
      <c r="B161" s="12">
        <f>IF($A161="","",VLOOKUP($A161,Items_Master!$A$2:$L$2001,2,FALSE))</f>
      </c>
      <c r="C161" s="12">
        <f>IF($A161="","",VLOOKUP($A161,Items_Master!$A$2:$L$2001,3,FALSE))</f>
      </c>
      <c r="D161" s="13">
        <f>IF($A161="","",SUMIFS(Transactions!$G$2:$G$5001,Transactions!$C$2:$C$5001,$A161,Transactions!$E$2:$E$5001,1)-SUMIFS(Transactions!$H$2:$H$5001,Transactions!$C$2:$C$5001,$A161,Transactions!$E$2:$E$5001,1))</f>
      </c>
      <c r="E161" s="13">
        <f>IF($A161="","",SUMIFS(Transactions!$G$2:$G$5001,Transactions!$C$2:$C$5001,$A161,Transactions!$E$2:$E$5001,2)-SUMIFS(Transactions!$H$2:$H$5001,Transactions!$C$2:$C$5001,$A161,Transactions!$E$2:$E$5001,2))</f>
      </c>
      <c r="F161" s="13">
        <f>IF($A161="","",SUMIFS(Transactions!$G$2:$G$5001,Transactions!$C$2:$C$5001,$A161,Transactions!$E$2:$E$5001,3)-SUMIFS(Transactions!$H$2:$H$5001,Transactions!$C$2:$C$5001,$A161,Transactions!$E$2:$E$5001,3))</f>
      </c>
      <c r="G161" s="13">
        <f>IF($A161="","",SUM($D161:$F161))</f>
      </c>
      <c r="H161" s="13">
        <f>IF($A161="","",VLOOKUP($A161,Items_Master!$A$2:$L$2001,6,FALSE))</f>
      </c>
      <c r="I161" s="40">
        <f>IF($A161="","",IF($G161&lt;=$H161,"LOW","OK"))</f>
      </c>
      <c r="J161" s="41">
        <f>IF($A161="","",VLOOKUP($A161,Items_Master!$A$2:$L$2001,4,FALSE))</f>
      </c>
      <c r="K161" s="41">
        <f>IF($A161="","",VLOOKUP($A161,Items_Master!$A$2:$L$2001,5,FALSE))</f>
      </c>
      <c r="L161" s="41">
        <f>IF($A161="","",$G161*$J161)</f>
      </c>
      <c r="M161" s="41">
        <f>IF($A161="","",$G161*$K161)</f>
      </c>
      <c r="N161" s="13">
        <f>IF($A161="","",COUNTIF(Transactions!$C$2:$C$5001,$A161))</f>
      </c>
    </row>
    <row x14ac:dyDescent="0.25" r="162" customHeight="1" ht="17.25">
      <c r="A162" s="15">
        <f>IF(ROW()-1&lt;=COUNTA(Items_Master!$A$2:$A$2001),INDEX(Items_Master!$A$2:$A$2001,ROW()-1),"")</f>
      </c>
      <c r="B162" s="15">
        <f>IF($A162="","",VLOOKUP($A162,Items_Master!$A$2:$L$2001,2,FALSE))</f>
      </c>
      <c r="C162" s="15">
        <f>IF($A162="","",VLOOKUP($A162,Items_Master!$A$2:$L$2001,3,FALSE))</f>
      </c>
      <c r="D162" s="16">
        <f>IF($A162="","",SUMIFS(Transactions!$G$2:$G$5001,Transactions!$C$2:$C$5001,$A162,Transactions!$E$2:$E$5001,1)-SUMIFS(Transactions!$H$2:$H$5001,Transactions!$C$2:$C$5001,$A162,Transactions!$E$2:$E$5001,1))</f>
      </c>
      <c r="E162" s="16">
        <f>IF($A162="","",SUMIFS(Transactions!$G$2:$G$5001,Transactions!$C$2:$C$5001,$A162,Transactions!$E$2:$E$5001,2)-SUMIFS(Transactions!$H$2:$H$5001,Transactions!$C$2:$C$5001,$A162,Transactions!$E$2:$E$5001,2))</f>
      </c>
      <c r="F162" s="16">
        <f>IF($A162="","",SUMIFS(Transactions!$G$2:$G$5001,Transactions!$C$2:$C$5001,$A162,Transactions!$E$2:$E$5001,3)-SUMIFS(Transactions!$H$2:$H$5001,Transactions!$C$2:$C$5001,$A162,Transactions!$E$2:$E$5001,3))</f>
      </c>
      <c r="G162" s="16">
        <f>IF($A162="","",SUM($D162:$F162))</f>
      </c>
      <c r="H162" s="16">
        <f>IF($A162="","",VLOOKUP($A162,Items_Master!$A$2:$L$2001,6,FALSE))</f>
      </c>
      <c r="I162" s="38">
        <f>IF($A162="","",IF($G162&lt;=$H162,"LOW","OK"))</f>
      </c>
      <c r="J162" s="39">
        <f>IF($A162="","",VLOOKUP($A162,Items_Master!$A$2:$L$2001,4,FALSE))</f>
      </c>
      <c r="K162" s="39">
        <f>IF($A162="","",VLOOKUP($A162,Items_Master!$A$2:$L$2001,5,FALSE))</f>
      </c>
      <c r="L162" s="39">
        <f>IF($A162="","",$G162*$J162)</f>
      </c>
      <c r="M162" s="39">
        <f>IF($A162="","",$G162*$K162)</f>
      </c>
      <c r="N162" s="16">
        <f>IF($A162="","",COUNTIF(Transactions!$C$2:$C$5001,$A162))</f>
      </c>
    </row>
    <row x14ac:dyDescent="0.25" r="163" customHeight="1" ht="17.25">
      <c r="A163" s="12">
        <f>IF(ROW()-1&lt;=COUNTA(Items_Master!$A$2:$A$2001),INDEX(Items_Master!$A$2:$A$2001,ROW()-1),"")</f>
      </c>
      <c r="B163" s="12">
        <f>IF($A163="","",VLOOKUP($A163,Items_Master!$A$2:$L$2001,2,FALSE))</f>
      </c>
      <c r="C163" s="12">
        <f>IF($A163="","",VLOOKUP($A163,Items_Master!$A$2:$L$2001,3,FALSE))</f>
      </c>
      <c r="D163" s="13">
        <f>IF($A163="","",SUMIFS(Transactions!$G$2:$G$5001,Transactions!$C$2:$C$5001,$A163,Transactions!$E$2:$E$5001,1)-SUMIFS(Transactions!$H$2:$H$5001,Transactions!$C$2:$C$5001,$A163,Transactions!$E$2:$E$5001,1))</f>
      </c>
      <c r="E163" s="13">
        <f>IF($A163="","",SUMIFS(Transactions!$G$2:$G$5001,Transactions!$C$2:$C$5001,$A163,Transactions!$E$2:$E$5001,2)-SUMIFS(Transactions!$H$2:$H$5001,Transactions!$C$2:$C$5001,$A163,Transactions!$E$2:$E$5001,2))</f>
      </c>
      <c r="F163" s="13">
        <f>IF($A163="","",SUMIFS(Transactions!$G$2:$G$5001,Transactions!$C$2:$C$5001,$A163,Transactions!$E$2:$E$5001,3)-SUMIFS(Transactions!$H$2:$H$5001,Transactions!$C$2:$C$5001,$A163,Transactions!$E$2:$E$5001,3))</f>
      </c>
      <c r="G163" s="13">
        <f>IF($A163="","",SUM($D163:$F163))</f>
      </c>
      <c r="H163" s="13">
        <f>IF($A163="","",VLOOKUP($A163,Items_Master!$A$2:$L$2001,6,FALSE))</f>
      </c>
      <c r="I163" s="40">
        <f>IF($A163="","",IF($G163&lt;=$H163,"LOW","OK"))</f>
      </c>
      <c r="J163" s="41">
        <f>IF($A163="","",VLOOKUP($A163,Items_Master!$A$2:$L$2001,4,FALSE))</f>
      </c>
      <c r="K163" s="41">
        <f>IF($A163="","",VLOOKUP($A163,Items_Master!$A$2:$L$2001,5,FALSE))</f>
      </c>
      <c r="L163" s="41">
        <f>IF($A163="","",$G163*$J163)</f>
      </c>
      <c r="M163" s="41">
        <f>IF($A163="","",$G163*$K163)</f>
      </c>
      <c r="N163" s="13">
        <f>IF($A163="","",COUNTIF(Transactions!$C$2:$C$5001,$A163))</f>
      </c>
    </row>
    <row x14ac:dyDescent="0.25" r="164" customHeight="1" ht="17.25">
      <c r="A164" s="15">
        <f>IF(ROW()-1&lt;=COUNTA(Items_Master!$A$2:$A$2001),INDEX(Items_Master!$A$2:$A$2001,ROW()-1),"")</f>
      </c>
      <c r="B164" s="15">
        <f>IF($A164="","",VLOOKUP($A164,Items_Master!$A$2:$L$2001,2,FALSE))</f>
      </c>
      <c r="C164" s="15">
        <f>IF($A164="","",VLOOKUP($A164,Items_Master!$A$2:$L$2001,3,FALSE))</f>
      </c>
      <c r="D164" s="16">
        <f>IF($A164="","",SUMIFS(Transactions!$G$2:$G$5001,Transactions!$C$2:$C$5001,$A164,Transactions!$E$2:$E$5001,1)-SUMIFS(Transactions!$H$2:$H$5001,Transactions!$C$2:$C$5001,$A164,Transactions!$E$2:$E$5001,1))</f>
      </c>
      <c r="E164" s="16">
        <f>IF($A164="","",SUMIFS(Transactions!$G$2:$G$5001,Transactions!$C$2:$C$5001,$A164,Transactions!$E$2:$E$5001,2)-SUMIFS(Transactions!$H$2:$H$5001,Transactions!$C$2:$C$5001,$A164,Transactions!$E$2:$E$5001,2))</f>
      </c>
      <c r="F164" s="16">
        <f>IF($A164="","",SUMIFS(Transactions!$G$2:$G$5001,Transactions!$C$2:$C$5001,$A164,Transactions!$E$2:$E$5001,3)-SUMIFS(Transactions!$H$2:$H$5001,Transactions!$C$2:$C$5001,$A164,Transactions!$E$2:$E$5001,3))</f>
      </c>
      <c r="G164" s="16">
        <f>IF($A164="","",SUM($D164:$F164))</f>
      </c>
      <c r="H164" s="16">
        <f>IF($A164="","",VLOOKUP($A164,Items_Master!$A$2:$L$2001,6,FALSE))</f>
      </c>
      <c r="I164" s="38">
        <f>IF($A164="","",IF($G164&lt;=$H164,"LOW","OK"))</f>
      </c>
      <c r="J164" s="39">
        <f>IF($A164="","",VLOOKUP($A164,Items_Master!$A$2:$L$2001,4,FALSE))</f>
      </c>
      <c r="K164" s="39">
        <f>IF($A164="","",VLOOKUP($A164,Items_Master!$A$2:$L$2001,5,FALSE))</f>
      </c>
      <c r="L164" s="39">
        <f>IF($A164="","",$G164*$J164)</f>
      </c>
      <c r="M164" s="39">
        <f>IF($A164="","",$G164*$K164)</f>
      </c>
      <c r="N164" s="16">
        <f>IF($A164="","",COUNTIF(Transactions!$C$2:$C$5001,$A164))</f>
      </c>
    </row>
    <row x14ac:dyDescent="0.25" r="165" customHeight="1" ht="17.25">
      <c r="A165" s="12">
        <f>IF(ROW()-1&lt;=COUNTA(Items_Master!$A$2:$A$2001),INDEX(Items_Master!$A$2:$A$2001,ROW()-1),"")</f>
      </c>
      <c r="B165" s="12">
        <f>IF($A165="","",VLOOKUP($A165,Items_Master!$A$2:$L$2001,2,FALSE))</f>
      </c>
      <c r="C165" s="12">
        <f>IF($A165="","",VLOOKUP($A165,Items_Master!$A$2:$L$2001,3,FALSE))</f>
      </c>
      <c r="D165" s="13">
        <f>IF($A165="","",SUMIFS(Transactions!$G$2:$G$5001,Transactions!$C$2:$C$5001,$A165,Transactions!$E$2:$E$5001,1)-SUMIFS(Transactions!$H$2:$H$5001,Transactions!$C$2:$C$5001,$A165,Transactions!$E$2:$E$5001,1))</f>
      </c>
      <c r="E165" s="13">
        <f>IF($A165="","",SUMIFS(Transactions!$G$2:$G$5001,Transactions!$C$2:$C$5001,$A165,Transactions!$E$2:$E$5001,2)-SUMIFS(Transactions!$H$2:$H$5001,Transactions!$C$2:$C$5001,$A165,Transactions!$E$2:$E$5001,2))</f>
      </c>
      <c r="F165" s="13">
        <f>IF($A165="","",SUMIFS(Transactions!$G$2:$G$5001,Transactions!$C$2:$C$5001,$A165,Transactions!$E$2:$E$5001,3)-SUMIFS(Transactions!$H$2:$H$5001,Transactions!$C$2:$C$5001,$A165,Transactions!$E$2:$E$5001,3))</f>
      </c>
      <c r="G165" s="13">
        <f>IF($A165="","",SUM($D165:$F165))</f>
      </c>
      <c r="H165" s="13">
        <f>IF($A165="","",VLOOKUP($A165,Items_Master!$A$2:$L$2001,6,FALSE))</f>
      </c>
      <c r="I165" s="40">
        <f>IF($A165="","",IF($G165&lt;=$H165,"LOW","OK"))</f>
      </c>
      <c r="J165" s="41">
        <f>IF($A165="","",VLOOKUP($A165,Items_Master!$A$2:$L$2001,4,FALSE))</f>
      </c>
      <c r="K165" s="41">
        <f>IF($A165="","",VLOOKUP($A165,Items_Master!$A$2:$L$2001,5,FALSE))</f>
      </c>
      <c r="L165" s="41">
        <f>IF($A165="","",$G165*$J165)</f>
      </c>
      <c r="M165" s="41">
        <f>IF($A165="","",$G165*$K165)</f>
      </c>
      <c r="N165" s="13">
        <f>IF($A165="","",COUNTIF(Transactions!$C$2:$C$5001,$A165))</f>
      </c>
    </row>
    <row x14ac:dyDescent="0.25" r="166" customHeight="1" ht="17.25">
      <c r="A166" s="15">
        <f>IF(ROW()-1&lt;=COUNTA(Items_Master!$A$2:$A$2001),INDEX(Items_Master!$A$2:$A$2001,ROW()-1),"")</f>
      </c>
      <c r="B166" s="15">
        <f>IF($A166="","",VLOOKUP($A166,Items_Master!$A$2:$L$2001,2,FALSE))</f>
      </c>
      <c r="C166" s="15">
        <f>IF($A166="","",VLOOKUP($A166,Items_Master!$A$2:$L$2001,3,FALSE))</f>
      </c>
      <c r="D166" s="16">
        <f>IF($A166="","",SUMIFS(Transactions!$G$2:$G$5001,Transactions!$C$2:$C$5001,$A166,Transactions!$E$2:$E$5001,1)-SUMIFS(Transactions!$H$2:$H$5001,Transactions!$C$2:$C$5001,$A166,Transactions!$E$2:$E$5001,1))</f>
      </c>
      <c r="E166" s="16">
        <f>IF($A166="","",SUMIFS(Transactions!$G$2:$G$5001,Transactions!$C$2:$C$5001,$A166,Transactions!$E$2:$E$5001,2)-SUMIFS(Transactions!$H$2:$H$5001,Transactions!$C$2:$C$5001,$A166,Transactions!$E$2:$E$5001,2))</f>
      </c>
      <c r="F166" s="16">
        <f>IF($A166="","",SUMIFS(Transactions!$G$2:$G$5001,Transactions!$C$2:$C$5001,$A166,Transactions!$E$2:$E$5001,3)-SUMIFS(Transactions!$H$2:$H$5001,Transactions!$C$2:$C$5001,$A166,Transactions!$E$2:$E$5001,3))</f>
      </c>
      <c r="G166" s="16">
        <f>IF($A166="","",SUM($D166:$F166))</f>
      </c>
      <c r="H166" s="16">
        <f>IF($A166="","",VLOOKUP($A166,Items_Master!$A$2:$L$2001,6,FALSE))</f>
      </c>
      <c r="I166" s="38">
        <f>IF($A166="","",IF($G166&lt;=$H166,"LOW","OK"))</f>
      </c>
      <c r="J166" s="39">
        <f>IF($A166="","",VLOOKUP($A166,Items_Master!$A$2:$L$2001,4,FALSE))</f>
      </c>
      <c r="K166" s="39">
        <f>IF($A166="","",VLOOKUP($A166,Items_Master!$A$2:$L$2001,5,FALSE))</f>
      </c>
      <c r="L166" s="39">
        <f>IF($A166="","",$G166*$J166)</f>
      </c>
      <c r="M166" s="39">
        <f>IF($A166="","",$G166*$K166)</f>
      </c>
      <c r="N166" s="16">
        <f>IF($A166="","",COUNTIF(Transactions!$C$2:$C$5001,$A166))</f>
      </c>
    </row>
    <row x14ac:dyDescent="0.25" r="167" customHeight="1" ht="17.25">
      <c r="A167" s="12">
        <f>IF(ROW()-1&lt;=COUNTA(Items_Master!$A$2:$A$2001),INDEX(Items_Master!$A$2:$A$2001,ROW()-1),"")</f>
      </c>
      <c r="B167" s="12">
        <f>IF($A167="","",VLOOKUP($A167,Items_Master!$A$2:$L$2001,2,FALSE))</f>
      </c>
      <c r="C167" s="12">
        <f>IF($A167="","",VLOOKUP($A167,Items_Master!$A$2:$L$2001,3,FALSE))</f>
      </c>
      <c r="D167" s="13">
        <f>IF($A167="","",SUMIFS(Transactions!$G$2:$G$5001,Transactions!$C$2:$C$5001,$A167,Transactions!$E$2:$E$5001,1)-SUMIFS(Transactions!$H$2:$H$5001,Transactions!$C$2:$C$5001,$A167,Transactions!$E$2:$E$5001,1))</f>
      </c>
      <c r="E167" s="13">
        <f>IF($A167="","",SUMIFS(Transactions!$G$2:$G$5001,Transactions!$C$2:$C$5001,$A167,Transactions!$E$2:$E$5001,2)-SUMIFS(Transactions!$H$2:$H$5001,Transactions!$C$2:$C$5001,$A167,Transactions!$E$2:$E$5001,2))</f>
      </c>
      <c r="F167" s="13">
        <f>IF($A167="","",SUMIFS(Transactions!$G$2:$G$5001,Transactions!$C$2:$C$5001,$A167,Transactions!$E$2:$E$5001,3)-SUMIFS(Transactions!$H$2:$H$5001,Transactions!$C$2:$C$5001,$A167,Transactions!$E$2:$E$5001,3))</f>
      </c>
      <c r="G167" s="13">
        <f>IF($A167="","",SUM($D167:$F167))</f>
      </c>
      <c r="H167" s="13">
        <f>IF($A167="","",VLOOKUP($A167,Items_Master!$A$2:$L$2001,6,FALSE))</f>
      </c>
      <c r="I167" s="40">
        <f>IF($A167="","",IF($G167&lt;=$H167,"LOW","OK"))</f>
      </c>
      <c r="J167" s="41">
        <f>IF($A167="","",VLOOKUP($A167,Items_Master!$A$2:$L$2001,4,FALSE))</f>
      </c>
      <c r="K167" s="41">
        <f>IF($A167="","",VLOOKUP($A167,Items_Master!$A$2:$L$2001,5,FALSE))</f>
      </c>
      <c r="L167" s="41">
        <f>IF($A167="","",$G167*$J167)</f>
      </c>
      <c r="M167" s="41">
        <f>IF($A167="","",$G167*$K167)</f>
      </c>
      <c r="N167" s="13">
        <f>IF($A167="","",COUNTIF(Transactions!$C$2:$C$5001,$A167))</f>
      </c>
    </row>
    <row x14ac:dyDescent="0.25" r="168" customHeight="1" ht="17.25">
      <c r="A168" s="15">
        <f>IF(ROW()-1&lt;=COUNTA(Items_Master!$A$2:$A$2001),INDEX(Items_Master!$A$2:$A$2001,ROW()-1),"")</f>
      </c>
      <c r="B168" s="15">
        <f>IF($A168="","",VLOOKUP($A168,Items_Master!$A$2:$L$2001,2,FALSE))</f>
      </c>
      <c r="C168" s="15">
        <f>IF($A168="","",VLOOKUP($A168,Items_Master!$A$2:$L$2001,3,FALSE))</f>
      </c>
      <c r="D168" s="16">
        <f>IF($A168="","",SUMIFS(Transactions!$G$2:$G$5001,Transactions!$C$2:$C$5001,$A168,Transactions!$E$2:$E$5001,1)-SUMIFS(Transactions!$H$2:$H$5001,Transactions!$C$2:$C$5001,$A168,Transactions!$E$2:$E$5001,1))</f>
      </c>
      <c r="E168" s="16">
        <f>IF($A168="","",SUMIFS(Transactions!$G$2:$G$5001,Transactions!$C$2:$C$5001,$A168,Transactions!$E$2:$E$5001,2)-SUMIFS(Transactions!$H$2:$H$5001,Transactions!$C$2:$C$5001,$A168,Transactions!$E$2:$E$5001,2))</f>
      </c>
      <c r="F168" s="16">
        <f>IF($A168="","",SUMIFS(Transactions!$G$2:$G$5001,Transactions!$C$2:$C$5001,$A168,Transactions!$E$2:$E$5001,3)-SUMIFS(Transactions!$H$2:$H$5001,Transactions!$C$2:$C$5001,$A168,Transactions!$E$2:$E$5001,3))</f>
      </c>
      <c r="G168" s="16">
        <f>IF($A168="","",SUM($D168:$F168))</f>
      </c>
      <c r="H168" s="16">
        <f>IF($A168="","",VLOOKUP($A168,Items_Master!$A$2:$L$2001,6,FALSE))</f>
      </c>
      <c r="I168" s="38">
        <f>IF($A168="","",IF($G168&lt;=$H168,"LOW","OK"))</f>
      </c>
      <c r="J168" s="39">
        <f>IF($A168="","",VLOOKUP($A168,Items_Master!$A$2:$L$2001,4,FALSE))</f>
      </c>
      <c r="K168" s="39">
        <f>IF($A168="","",VLOOKUP($A168,Items_Master!$A$2:$L$2001,5,FALSE))</f>
      </c>
      <c r="L168" s="39">
        <f>IF($A168="","",$G168*$J168)</f>
      </c>
      <c r="M168" s="39">
        <f>IF($A168="","",$G168*$K168)</f>
      </c>
      <c r="N168" s="16">
        <f>IF($A168="","",COUNTIF(Transactions!$C$2:$C$5001,$A168))</f>
      </c>
    </row>
    <row x14ac:dyDescent="0.25" r="169" customHeight="1" ht="17.25">
      <c r="A169" s="12">
        <f>IF(ROW()-1&lt;=COUNTA(Items_Master!$A$2:$A$2001),INDEX(Items_Master!$A$2:$A$2001,ROW()-1),"")</f>
      </c>
      <c r="B169" s="12">
        <f>IF($A169="","",VLOOKUP($A169,Items_Master!$A$2:$L$2001,2,FALSE))</f>
      </c>
      <c r="C169" s="12">
        <f>IF($A169="","",VLOOKUP($A169,Items_Master!$A$2:$L$2001,3,FALSE))</f>
      </c>
      <c r="D169" s="13">
        <f>IF($A169="","",SUMIFS(Transactions!$G$2:$G$5001,Transactions!$C$2:$C$5001,$A169,Transactions!$E$2:$E$5001,1)-SUMIFS(Transactions!$H$2:$H$5001,Transactions!$C$2:$C$5001,$A169,Transactions!$E$2:$E$5001,1))</f>
      </c>
      <c r="E169" s="13">
        <f>IF($A169="","",SUMIFS(Transactions!$G$2:$G$5001,Transactions!$C$2:$C$5001,$A169,Transactions!$E$2:$E$5001,2)-SUMIFS(Transactions!$H$2:$H$5001,Transactions!$C$2:$C$5001,$A169,Transactions!$E$2:$E$5001,2))</f>
      </c>
      <c r="F169" s="13">
        <f>IF($A169="","",SUMIFS(Transactions!$G$2:$G$5001,Transactions!$C$2:$C$5001,$A169,Transactions!$E$2:$E$5001,3)-SUMIFS(Transactions!$H$2:$H$5001,Transactions!$C$2:$C$5001,$A169,Transactions!$E$2:$E$5001,3))</f>
      </c>
      <c r="G169" s="13">
        <f>IF($A169="","",SUM($D169:$F169))</f>
      </c>
      <c r="H169" s="13">
        <f>IF($A169="","",VLOOKUP($A169,Items_Master!$A$2:$L$2001,6,FALSE))</f>
      </c>
      <c r="I169" s="40">
        <f>IF($A169="","",IF($G169&lt;=$H169,"LOW","OK"))</f>
      </c>
      <c r="J169" s="41">
        <f>IF($A169="","",VLOOKUP($A169,Items_Master!$A$2:$L$2001,4,FALSE))</f>
      </c>
      <c r="K169" s="41">
        <f>IF($A169="","",VLOOKUP($A169,Items_Master!$A$2:$L$2001,5,FALSE))</f>
      </c>
      <c r="L169" s="41">
        <f>IF($A169="","",$G169*$J169)</f>
      </c>
      <c r="M169" s="41">
        <f>IF($A169="","",$G169*$K169)</f>
      </c>
      <c r="N169" s="13">
        <f>IF($A169="","",COUNTIF(Transactions!$C$2:$C$5001,$A169))</f>
      </c>
    </row>
    <row x14ac:dyDescent="0.25" r="170" customHeight="1" ht="17.25">
      <c r="A170" s="15">
        <f>IF(ROW()-1&lt;=COUNTA(Items_Master!$A$2:$A$2001),INDEX(Items_Master!$A$2:$A$2001,ROW()-1),"")</f>
      </c>
      <c r="B170" s="15">
        <f>IF($A170="","",VLOOKUP($A170,Items_Master!$A$2:$L$2001,2,FALSE))</f>
      </c>
      <c r="C170" s="15">
        <f>IF($A170="","",VLOOKUP($A170,Items_Master!$A$2:$L$2001,3,FALSE))</f>
      </c>
      <c r="D170" s="16">
        <f>IF($A170="","",SUMIFS(Transactions!$G$2:$G$5001,Transactions!$C$2:$C$5001,$A170,Transactions!$E$2:$E$5001,1)-SUMIFS(Transactions!$H$2:$H$5001,Transactions!$C$2:$C$5001,$A170,Transactions!$E$2:$E$5001,1))</f>
      </c>
      <c r="E170" s="16">
        <f>IF($A170="","",SUMIFS(Transactions!$G$2:$G$5001,Transactions!$C$2:$C$5001,$A170,Transactions!$E$2:$E$5001,2)-SUMIFS(Transactions!$H$2:$H$5001,Transactions!$C$2:$C$5001,$A170,Transactions!$E$2:$E$5001,2))</f>
      </c>
      <c r="F170" s="16">
        <f>IF($A170="","",SUMIFS(Transactions!$G$2:$G$5001,Transactions!$C$2:$C$5001,$A170,Transactions!$E$2:$E$5001,3)-SUMIFS(Transactions!$H$2:$H$5001,Transactions!$C$2:$C$5001,$A170,Transactions!$E$2:$E$5001,3))</f>
      </c>
      <c r="G170" s="16">
        <f>IF($A170="","",SUM($D170:$F170))</f>
      </c>
      <c r="H170" s="16">
        <f>IF($A170="","",VLOOKUP($A170,Items_Master!$A$2:$L$2001,6,FALSE))</f>
      </c>
      <c r="I170" s="38">
        <f>IF($A170="","",IF($G170&lt;=$H170,"LOW","OK"))</f>
      </c>
      <c r="J170" s="39">
        <f>IF($A170="","",VLOOKUP($A170,Items_Master!$A$2:$L$2001,4,FALSE))</f>
      </c>
      <c r="K170" s="39">
        <f>IF($A170="","",VLOOKUP($A170,Items_Master!$A$2:$L$2001,5,FALSE))</f>
      </c>
      <c r="L170" s="39">
        <f>IF($A170="","",$G170*$J170)</f>
      </c>
      <c r="M170" s="39">
        <f>IF($A170="","",$G170*$K170)</f>
      </c>
      <c r="N170" s="16">
        <f>IF($A170="","",COUNTIF(Transactions!$C$2:$C$5001,$A170))</f>
      </c>
    </row>
    <row x14ac:dyDescent="0.25" r="171" customHeight="1" ht="17.25">
      <c r="A171" s="12">
        <f>IF(ROW()-1&lt;=COUNTA(Items_Master!$A$2:$A$2001),INDEX(Items_Master!$A$2:$A$2001,ROW()-1),"")</f>
      </c>
      <c r="B171" s="12">
        <f>IF($A171="","",VLOOKUP($A171,Items_Master!$A$2:$L$2001,2,FALSE))</f>
      </c>
      <c r="C171" s="12">
        <f>IF($A171="","",VLOOKUP($A171,Items_Master!$A$2:$L$2001,3,FALSE))</f>
      </c>
      <c r="D171" s="13">
        <f>IF($A171="","",SUMIFS(Transactions!$G$2:$G$5001,Transactions!$C$2:$C$5001,$A171,Transactions!$E$2:$E$5001,1)-SUMIFS(Transactions!$H$2:$H$5001,Transactions!$C$2:$C$5001,$A171,Transactions!$E$2:$E$5001,1))</f>
      </c>
      <c r="E171" s="13">
        <f>IF($A171="","",SUMIFS(Transactions!$G$2:$G$5001,Transactions!$C$2:$C$5001,$A171,Transactions!$E$2:$E$5001,2)-SUMIFS(Transactions!$H$2:$H$5001,Transactions!$C$2:$C$5001,$A171,Transactions!$E$2:$E$5001,2))</f>
      </c>
      <c r="F171" s="13">
        <f>IF($A171="","",SUMIFS(Transactions!$G$2:$G$5001,Transactions!$C$2:$C$5001,$A171,Transactions!$E$2:$E$5001,3)-SUMIFS(Transactions!$H$2:$H$5001,Transactions!$C$2:$C$5001,$A171,Transactions!$E$2:$E$5001,3))</f>
      </c>
      <c r="G171" s="13">
        <f>IF($A171="","",SUM($D171:$F171))</f>
      </c>
      <c r="H171" s="13">
        <f>IF($A171="","",VLOOKUP($A171,Items_Master!$A$2:$L$2001,6,FALSE))</f>
      </c>
      <c r="I171" s="40">
        <f>IF($A171="","",IF($G171&lt;=$H171,"LOW","OK"))</f>
      </c>
      <c r="J171" s="41">
        <f>IF($A171="","",VLOOKUP($A171,Items_Master!$A$2:$L$2001,4,FALSE))</f>
      </c>
      <c r="K171" s="41">
        <f>IF($A171="","",VLOOKUP($A171,Items_Master!$A$2:$L$2001,5,FALSE))</f>
      </c>
      <c r="L171" s="41">
        <f>IF($A171="","",$G171*$J171)</f>
      </c>
      <c r="M171" s="41">
        <f>IF($A171="","",$G171*$K171)</f>
      </c>
      <c r="N171" s="13">
        <f>IF($A171="","",COUNTIF(Transactions!$C$2:$C$5001,$A171))</f>
      </c>
    </row>
    <row x14ac:dyDescent="0.25" r="172" customHeight="1" ht="17.25">
      <c r="A172" s="15">
        <f>IF(ROW()-1&lt;=COUNTA(Items_Master!$A$2:$A$2001),INDEX(Items_Master!$A$2:$A$2001,ROW()-1),"")</f>
      </c>
      <c r="B172" s="15">
        <f>IF($A172="","",VLOOKUP($A172,Items_Master!$A$2:$L$2001,2,FALSE))</f>
      </c>
      <c r="C172" s="15">
        <f>IF($A172="","",VLOOKUP($A172,Items_Master!$A$2:$L$2001,3,FALSE))</f>
      </c>
      <c r="D172" s="16">
        <f>IF($A172="","",SUMIFS(Transactions!$G$2:$G$5001,Transactions!$C$2:$C$5001,$A172,Transactions!$E$2:$E$5001,1)-SUMIFS(Transactions!$H$2:$H$5001,Transactions!$C$2:$C$5001,$A172,Transactions!$E$2:$E$5001,1))</f>
      </c>
      <c r="E172" s="16">
        <f>IF($A172="","",SUMIFS(Transactions!$G$2:$G$5001,Transactions!$C$2:$C$5001,$A172,Transactions!$E$2:$E$5001,2)-SUMIFS(Transactions!$H$2:$H$5001,Transactions!$C$2:$C$5001,$A172,Transactions!$E$2:$E$5001,2))</f>
      </c>
      <c r="F172" s="16">
        <f>IF($A172="","",SUMIFS(Transactions!$G$2:$G$5001,Transactions!$C$2:$C$5001,$A172,Transactions!$E$2:$E$5001,3)-SUMIFS(Transactions!$H$2:$H$5001,Transactions!$C$2:$C$5001,$A172,Transactions!$E$2:$E$5001,3))</f>
      </c>
      <c r="G172" s="16">
        <f>IF($A172="","",SUM($D172:$F172))</f>
      </c>
      <c r="H172" s="16">
        <f>IF($A172="","",VLOOKUP($A172,Items_Master!$A$2:$L$2001,6,FALSE))</f>
      </c>
      <c r="I172" s="38">
        <f>IF($A172="","",IF($G172&lt;=$H172,"LOW","OK"))</f>
      </c>
      <c r="J172" s="39">
        <f>IF($A172="","",VLOOKUP($A172,Items_Master!$A$2:$L$2001,4,FALSE))</f>
      </c>
      <c r="K172" s="39">
        <f>IF($A172="","",VLOOKUP($A172,Items_Master!$A$2:$L$2001,5,FALSE))</f>
      </c>
      <c r="L172" s="39">
        <f>IF($A172="","",$G172*$J172)</f>
      </c>
      <c r="M172" s="39">
        <f>IF($A172="","",$G172*$K172)</f>
      </c>
      <c r="N172" s="16">
        <f>IF($A172="","",COUNTIF(Transactions!$C$2:$C$5001,$A172))</f>
      </c>
    </row>
    <row x14ac:dyDescent="0.25" r="173" customHeight="1" ht="17.25">
      <c r="A173" s="12">
        <f>IF(ROW()-1&lt;=COUNTA(Items_Master!$A$2:$A$2001),INDEX(Items_Master!$A$2:$A$2001,ROW()-1),"")</f>
      </c>
      <c r="B173" s="12">
        <f>IF($A173="","",VLOOKUP($A173,Items_Master!$A$2:$L$2001,2,FALSE))</f>
      </c>
      <c r="C173" s="12">
        <f>IF($A173="","",VLOOKUP($A173,Items_Master!$A$2:$L$2001,3,FALSE))</f>
      </c>
      <c r="D173" s="13">
        <f>IF($A173="","",SUMIFS(Transactions!$G$2:$G$5001,Transactions!$C$2:$C$5001,$A173,Transactions!$E$2:$E$5001,1)-SUMIFS(Transactions!$H$2:$H$5001,Transactions!$C$2:$C$5001,$A173,Transactions!$E$2:$E$5001,1))</f>
      </c>
      <c r="E173" s="13">
        <f>IF($A173="","",SUMIFS(Transactions!$G$2:$G$5001,Transactions!$C$2:$C$5001,$A173,Transactions!$E$2:$E$5001,2)-SUMIFS(Transactions!$H$2:$H$5001,Transactions!$C$2:$C$5001,$A173,Transactions!$E$2:$E$5001,2))</f>
      </c>
      <c r="F173" s="13">
        <f>IF($A173="","",SUMIFS(Transactions!$G$2:$G$5001,Transactions!$C$2:$C$5001,$A173,Transactions!$E$2:$E$5001,3)-SUMIFS(Transactions!$H$2:$H$5001,Transactions!$C$2:$C$5001,$A173,Transactions!$E$2:$E$5001,3))</f>
      </c>
      <c r="G173" s="13">
        <f>IF($A173="","",SUM($D173:$F173))</f>
      </c>
      <c r="H173" s="13">
        <f>IF($A173="","",VLOOKUP($A173,Items_Master!$A$2:$L$2001,6,FALSE))</f>
      </c>
      <c r="I173" s="40">
        <f>IF($A173="","",IF($G173&lt;=$H173,"LOW","OK"))</f>
      </c>
      <c r="J173" s="41">
        <f>IF($A173="","",VLOOKUP($A173,Items_Master!$A$2:$L$2001,4,FALSE))</f>
      </c>
      <c r="K173" s="41">
        <f>IF($A173="","",VLOOKUP($A173,Items_Master!$A$2:$L$2001,5,FALSE))</f>
      </c>
      <c r="L173" s="41">
        <f>IF($A173="","",$G173*$J173)</f>
      </c>
      <c r="M173" s="41">
        <f>IF($A173="","",$G173*$K173)</f>
      </c>
      <c r="N173" s="13">
        <f>IF($A173="","",COUNTIF(Transactions!$C$2:$C$5001,$A173))</f>
      </c>
    </row>
    <row x14ac:dyDescent="0.25" r="174" customHeight="1" ht="17.25">
      <c r="A174" s="15">
        <f>IF(ROW()-1&lt;=COUNTA(Items_Master!$A$2:$A$2001),INDEX(Items_Master!$A$2:$A$2001,ROW()-1),"")</f>
      </c>
      <c r="B174" s="15">
        <f>IF($A174="","",VLOOKUP($A174,Items_Master!$A$2:$L$2001,2,FALSE))</f>
      </c>
      <c r="C174" s="15">
        <f>IF($A174="","",VLOOKUP($A174,Items_Master!$A$2:$L$2001,3,FALSE))</f>
      </c>
      <c r="D174" s="16">
        <f>IF($A174="","",SUMIFS(Transactions!$G$2:$G$5001,Transactions!$C$2:$C$5001,$A174,Transactions!$E$2:$E$5001,1)-SUMIFS(Transactions!$H$2:$H$5001,Transactions!$C$2:$C$5001,$A174,Transactions!$E$2:$E$5001,1))</f>
      </c>
      <c r="E174" s="16">
        <f>IF($A174="","",SUMIFS(Transactions!$G$2:$G$5001,Transactions!$C$2:$C$5001,$A174,Transactions!$E$2:$E$5001,2)-SUMIFS(Transactions!$H$2:$H$5001,Transactions!$C$2:$C$5001,$A174,Transactions!$E$2:$E$5001,2))</f>
      </c>
      <c r="F174" s="16">
        <f>IF($A174="","",SUMIFS(Transactions!$G$2:$G$5001,Transactions!$C$2:$C$5001,$A174,Transactions!$E$2:$E$5001,3)-SUMIFS(Transactions!$H$2:$H$5001,Transactions!$C$2:$C$5001,$A174,Transactions!$E$2:$E$5001,3))</f>
      </c>
      <c r="G174" s="16">
        <f>IF($A174="","",SUM($D174:$F174))</f>
      </c>
      <c r="H174" s="16">
        <f>IF($A174="","",VLOOKUP($A174,Items_Master!$A$2:$L$2001,6,FALSE))</f>
      </c>
      <c r="I174" s="38">
        <f>IF($A174="","",IF($G174&lt;=$H174,"LOW","OK"))</f>
      </c>
      <c r="J174" s="39">
        <f>IF($A174="","",VLOOKUP($A174,Items_Master!$A$2:$L$2001,4,FALSE))</f>
      </c>
      <c r="K174" s="39">
        <f>IF($A174="","",VLOOKUP($A174,Items_Master!$A$2:$L$2001,5,FALSE))</f>
      </c>
      <c r="L174" s="39">
        <f>IF($A174="","",$G174*$J174)</f>
      </c>
      <c r="M174" s="39">
        <f>IF($A174="","",$G174*$K174)</f>
      </c>
      <c r="N174" s="16">
        <f>IF($A174="","",COUNTIF(Transactions!$C$2:$C$5001,$A174))</f>
      </c>
    </row>
    <row x14ac:dyDescent="0.25" r="175" customHeight="1" ht="17.25">
      <c r="A175" s="12">
        <f>IF(ROW()-1&lt;=COUNTA(Items_Master!$A$2:$A$2001),INDEX(Items_Master!$A$2:$A$2001,ROW()-1),"")</f>
      </c>
      <c r="B175" s="12">
        <f>IF($A175="","",VLOOKUP($A175,Items_Master!$A$2:$L$2001,2,FALSE))</f>
      </c>
      <c r="C175" s="12">
        <f>IF($A175="","",VLOOKUP($A175,Items_Master!$A$2:$L$2001,3,FALSE))</f>
      </c>
      <c r="D175" s="13">
        <f>IF($A175="","",SUMIFS(Transactions!$G$2:$G$5001,Transactions!$C$2:$C$5001,$A175,Transactions!$E$2:$E$5001,1)-SUMIFS(Transactions!$H$2:$H$5001,Transactions!$C$2:$C$5001,$A175,Transactions!$E$2:$E$5001,1))</f>
      </c>
      <c r="E175" s="13">
        <f>IF($A175="","",SUMIFS(Transactions!$G$2:$G$5001,Transactions!$C$2:$C$5001,$A175,Transactions!$E$2:$E$5001,2)-SUMIFS(Transactions!$H$2:$H$5001,Transactions!$C$2:$C$5001,$A175,Transactions!$E$2:$E$5001,2))</f>
      </c>
      <c r="F175" s="13">
        <f>IF($A175="","",SUMIFS(Transactions!$G$2:$G$5001,Transactions!$C$2:$C$5001,$A175,Transactions!$E$2:$E$5001,3)-SUMIFS(Transactions!$H$2:$H$5001,Transactions!$C$2:$C$5001,$A175,Transactions!$E$2:$E$5001,3))</f>
      </c>
      <c r="G175" s="13">
        <f>IF($A175="","",SUM($D175:$F175))</f>
      </c>
      <c r="H175" s="13">
        <f>IF($A175="","",VLOOKUP($A175,Items_Master!$A$2:$L$2001,6,FALSE))</f>
      </c>
      <c r="I175" s="40">
        <f>IF($A175="","",IF($G175&lt;=$H175,"LOW","OK"))</f>
      </c>
      <c r="J175" s="41">
        <f>IF($A175="","",VLOOKUP($A175,Items_Master!$A$2:$L$2001,4,FALSE))</f>
      </c>
      <c r="K175" s="41">
        <f>IF($A175="","",VLOOKUP($A175,Items_Master!$A$2:$L$2001,5,FALSE))</f>
      </c>
      <c r="L175" s="41">
        <f>IF($A175="","",$G175*$J175)</f>
      </c>
      <c r="M175" s="41">
        <f>IF($A175="","",$G175*$K175)</f>
      </c>
      <c r="N175" s="13">
        <f>IF($A175="","",COUNTIF(Transactions!$C$2:$C$5001,$A175))</f>
      </c>
    </row>
    <row x14ac:dyDescent="0.25" r="176" customHeight="1" ht="17.25">
      <c r="A176" s="15">
        <f>IF(ROW()-1&lt;=COUNTA(Items_Master!$A$2:$A$2001),INDEX(Items_Master!$A$2:$A$2001,ROW()-1),"")</f>
      </c>
      <c r="B176" s="15">
        <f>IF($A176="","",VLOOKUP($A176,Items_Master!$A$2:$L$2001,2,FALSE))</f>
      </c>
      <c r="C176" s="15">
        <f>IF($A176="","",VLOOKUP($A176,Items_Master!$A$2:$L$2001,3,FALSE))</f>
      </c>
      <c r="D176" s="16">
        <f>IF($A176="","",SUMIFS(Transactions!$G$2:$G$5001,Transactions!$C$2:$C$5001,$A176,Transactions!$E$2:$E$5001,1)-SUMIFS(Transactions!$H$2:$H$5001,Transactions!$C$2:$C$5001,$A176,Transactions!$E$2:$E$5001,1))</f>
      </c>
      <c r="E176" s="16">
        <f>IF($A176="","",SUMIFS(Transactions!$G$2:$G$5001,Transactions!$C$2:$C$5001,$A176,Transactions!$E$2:$E$5001,2)-SUMIFS(Transactions!$H$2:$H$5001,Transactions!$C$2:$C$5001,$A176,Transactions!$E$2:$E$5001,2))</f>
      </c>
      <c r="F176" s="16">
        <f>IF($A176="","",SUMIFS(Transactions!$G$2:$G$5001,Transactions!$C$2:$C$5001,$A176,Transactions!$E$2:$E$5001,3)-SUMIFS(Transactions!$H$2:$H$5001,Transactions!$C$2:$C$5001,$A176,Transactions!$E$2:$E$5001,3))</f>
      </c>
      <c r="G176" s="16">
        <f>IF($A176="","",SUM($D176:$F176))</f>
      </c>
      <c r="H176" s="16">
        <f>IF($A176="","",VLOOKUP($A176,Items_Master!$A$2:$L$2001,6,FALSE))</f>
      </c>
      <c r="I176" s="38">
        <f>IF($A176="","",IF($G176&lt;=$H176,"LOW","OK"))</f>
      </c>
      <c r="J176" s="39">
        <f>IF($A176="","",VLOOKUP($A176,Items_Master!$A$2:$L$2001,4,FALSE))</f>
      </c>
      <c r="K176" s="39">
        <f>IF($A176="","",VLOOKUP($A176,Items_Master!$A$2:$L$2001,5,FALSE))</f>
      </c>
      <c r="L176" s="39">
        <f>IF($A176="","",$G176*$J176)</f>
      </c>
      <c r="M176" s="39">
        <f>IF($A176="","",$G176*$K176)</f>
      </c>
      <c r="N176" s="16">
        <f>IF($A176="","",COUNTIF(Transactions!$C$2:$C$5001,$A176))</f>
      </c>
    </row>
    <row x14ac:dyDescent="0.25" r="177" customHeight="1" ht="17.25">
      <c r="A177" s="12">
        <f>IF(ROW()-1&lt;=COUNTA(Items_Master!$A$2:$A$2001),INDEX(Items_Master!$A$2:$A$2001,ROW()-1),"")</f>
      </c>
      <c r="B177" s="12">
        <f>IF($A177="","",VLOOKUP($A177,Items_Master!$A$2:$L$2001,2,FALSE))</f>
      </c>
      <c r="C177" s="12">
        <f>IF($A177="","",VLOOKUP($A177,Items_Master!$A$2:$L$2001,3,FALSE))</f>
      </c>
      <c r="D177" s="13">
        <f>IF($A177="","",SUMIFS(Transactions!$G$2:$G$5001,Transactions!$C$2:$C$5001,$A177,Transactions!$E$2:$E$5001,1)-SUMIFS(Transactions!$H$2:$H$5001,Transactions!$C$2:$C$5001,$A177,Transactions!$E$2:$E$5001,1))</f>
      </c>
      <c r="E177" s="13">
        <f>IF($A177="","",SUMIFS(Transactions!$G$2:$G$5001,Transactions!$C$2:$C$5001,$A177,Transactions!$E$2:$E$5001,2)-SUMIFS(Transactions!$H$2:$H$5001,Transactions!$C$2:$C$5001,$A177,Transactions!$E$2:$E$5001,2))</f>
      </c>
      <c r="F177" s="13">
        <f>IF($A177="","",SUMIFS(Transactions!$G$2:$G$5001,Transactions!$C$2:$C$5001,$A177,Transactions!$E$2:$E$5001,3)-SUMIFS(Transactions!$H$2:$H$5001,Transactions!$C$2:$C$5001,$A177,Transactions!$E$2:$E$5001,3))</f>
      </c>
      <c r="G177" s="13">
        <f>IF($A177="","",SUM($D177:$F177))</f>
      </c>
      <c r="H177" s="13">
        <f>IF($A177="","",VLOOKUP($A177,Items_Master!$A$2:$L$2001,6,FALSE))</f>
      </c>
      <c r="I177" s="40">
        <f>IF($A177="","",IF($G177&lt;=$H177,"LOW","OK"))</f>
      </c>
      <c r="J177" s="41">
        <f>IF($A177="","",VLOOKUP($A177,Items_Master!$A$2:$L$2001,4,FALSE))</f>
      </c>
      <c r="K177" s="41">
        <f>IF($A177="","",VLOOKUP($A177,Items_Master!$A$2:$L$2001,5,FALSE))</f>
      </c>
      <c r="L177" s="41">
        <f>IF($A177="","",$G177*$J177)</f>
      </c>
      <c r="M177" s="41">
        <f>IF($A177="","",$G177*$K177)</f>
      </c>
      <c r="N177" s="13">
        <f>IF($A177="","",COUNTIF(Transactions!$C$2:$C$5001,$A177))</f>
      </c>
    </row>
    <row x14ac:dyDescent="0.25" r="178" customHeight="1" ht="17.25">
      <c r="A178" s="15">
        <f>IF(ROW()-1&lt;=COUNTA(Items_Master!$A$2:$A$2001),INDEX(Items_Master!$A$2:$A$2001,ROW()-1),"")</f>
      </c>
      <c r="B178" s="15">
        <f>IF($A178="","",VLOOKUP($A178,Items_Master!$A$2:$L$2001,2,FALSE))</f>
      </c>
      <c r="C178" s="15">
        <f>IF($A178="","",VLOOKUP($A178,Items_Master!$A$2:$L$2001,3,FALSE))</f>
      </c>
      <c r="D178" s="16">
        <f>IF($A178="","",SUMIFS(Transactions!$G$2:$G$5001,Transactions!$C$2:$C$5001,$A178,Transactions!$E$2:$E$5001,1)-SUMIFS(Transactions!$H$2:$H$5001,Transactions!$C$2:$C$5001,$A178,Transactions!$E$2:$E$5001,1))</f>
      </c>
      <c r="E178" s="16">
        <f>IF($A178="","",SUMIFS(Transactions!$G$2:$G$5001,Transactions!$C$2:$C$5001,$A178,Transactions!$E$2:$E$5001,2)-SUMIFS(Transactions!$H$2:$H$5001,Transactions!$C$2:$C$5001,$A178,Transactions!$E$2:$E$5001,2))</f>
      </c>
      <c r="F178" s="16">
        <f>IF($A178="","",SUMIFS(Transactions!$G$2:$G$5001,Transactions!$C$2:$C$5001,$A178,Transactions!$E$2:$E$5001,3)-SUMIFS(Transactions!$H$2:$H$5001,Transactions!$C$2:$C$5001,$A178,Transactions!$E$2:$E$5001,3))</f>
      </c>
      <c r="G178" s="16">
        <f>IF($A178="","",SUM($D178:$F178))</f>
      </c>
      <c r="H178" s="16">
        <f>IF($A178="","",VLOOKUP($A178,Items_Master!$A$2:$L$2001,6,FALSE))</f>
      </c>
      <c r="I178" s="38">
        <f>IF($A178="","",IF($G178&lt;=$H178,"LOW","OK"))</f>
      </c>
      <c r="J178" s="39">
        <f>IF($A178="","",VLOOKUP($A178,Items_Master!$A$2:$L$2001,4,FALSE))</f>
      </c>
      <c r="K178" s="39">
        <f>IF($A178="","",VLOOKUP($A178,Items_Master!$A$2:$L$2001,5,FALSE))</f>
      </c>
      <c r="L178" s="39">
        <f>IF($A178="","",$G178*$J178)</f>
      </c>
      <c r="M178" s="39">
        <f>IF($A178="","",$G178*$K178)</f>
      </c>
      <c r="N178" s="16">
        <f>IF($A178="","",COUNTIF(Transactions!$C$2:$C$5001,$A178))</f>
      </c>
    </row>
    <row x14ac:dyDescent="0.25" r="179" customHeight="1" ht="17.25">
      <c r="A179" s="12">
        <f>IF(ROW()-1&lt;=COUNTA(Items_Master!$A$2:$A$2001),INDEX(Items_Master!$A$2:$A$2001,ROW()-1),"")</f>
      </c>
      <c r="B179" s="12">
        <f>IF($A179="","",VLOOKUP($A179,Items_Master!$A$2:$L$2001,2,FALSE))</f>
      </c>
      <c r="C179" s="12">
        <f>IF($A179="","",VLOOKUP($A179,Items_Master!$A$2:$L$2001,3,FALSE))</f>
      </c>
      <c r="D179" s="13">
        <f>IF($A179="","",SUMIFS(Transactions!$G$2:$G$5001,Transactions!$C$2:$C$5001,$A179,Transactions!$E$2:$E$5001,1)-SUMIFS(Transactions!$H$2:$H$5001,Transactions!$C$2:$C$5001,$A179,Transactions!$E$2:$E$5001,1))</f>
      </c>
      <c r="E179" s="13">
        <f>IF($A179="","",SUMIFS(Transactions!$G$2:$G$5001,Transactions!$C$2:$C$5001,$A179,Transactions!$E$2:$E$5001,2)-SUMIFS(Transactions!$H$2:$H$5001,Transactions!$C$2:$C$5001,$A179,Transactions!$E$2:$E$5001,2))</f>
      </c>
      <c r="F179" s="13">
        <f>IF($A179="","",SUMIFS(Transactions!$G$2:$G$5001,Transactions!$C$2:$C$5001,$A179,Transactions!$E$2:$E$5001,3)-SUMIFS(Transactions!$H$2:$H$5001,Transactions!$C$2:$C$5001,$A179,Transactions!$E$2:$E$5001,3))</f>
      </c>
      <c r="G179" s="13">
        <f>IF($A179="","",SUM($D179:$F179))</f>
      </c>
      <c r="H179" s="13">
        <f>IF($A179="","",VLOOKUP($A179,Items_Master!$A$2:$L$2001,6,FALSE))</f>
      </c>
      <c r="I179" s="40">
        <f>IF($A179="","",IF($G179&lt;=$H179,"LOW","OK"))</f>
      </c>
      <c r="J179" s="41">
        <f>IF($A179="","",VLOOKUP($A179,Items_Master!$A$2:$L$2001,4,FALSE))</f>
      </c>
      <c r="K179" s="41">
        <f>IF($A179="","",VLOOKUP($A179,Items_Master!$A$2:$L$2001,5,FALSE))</f>
      </c>
      <c r="L179" s="41">
        <f>IF($A179="","",$G179*$J179)</f>
      </c>
      <c r="M179" s="41">
        <f>IF($A179="","",$G179*$K179)</f>
      </c>
      <c r="N179" s="13">
        <f>IF($A179="","",COUNTIF(Transactions!$C$2:$C$5001,$A179))</f>
      </c>
    </row>
    <row x14ac:dyDescent="0.25" r="180" customHeight="1" ht="17.25">
      <c r="A180" s="15">
        <f>IF(ROW()-1&lt;=COUNTA(Items_Master!$A$2:$A$2001),INDEX(Items_Master!$A$2:$A$2001,ROW()-1),"")</f>
      </c>
      <c r="B180" s="15">
        <f>IF($A180="","",VLOOKUP($A180,Items_Master!$A$2:$L$2001,2,FALSE))</f>
      </c>
      <c r="C180" s="15">
        <f>IF($A180="","",VLOOKUP($A180,Items_Master!$A$2:$L$2001,3,FALSE))</f>
      </c>
      <c r="D180" s="16">
        <f>IF($A180="","",SUMIFS(Transactions!$G$2:$G$5001,Transactions!$C$2:$C$5001,$A180,Transactions!$E$2:$E$5001,1)-SUMIFS(Transactions!$H$2:$H$5001,Transactions!$C$2:$C$5001,$A180,Transactions!$E$2:$E$5001,1))</f>
      </c>
      <c r="E180" s="16">
        <f>IF($A180="","",SUMIFS(Transactions!$G$2:$G$5001,Transactions!$C$2:$C$5001,$A180,Transactions!$E$2:$E$5001,2)-SUMIFS(Transactions!$H$2:$H$5001,Transactions!$C$2:$C$5001,$A180,Transactions!$E$2:$E$5001,2))</f>
      </c>
      <c r="F180" s="16">
        <f>IF($A180="","",SUMIFS(Transactions!$G$2:$G$5001,Transactions!$C$2:$C$5001,$A180,Transactions!$E$2:$E$5001,3)-SUMIFS(Transactions!$H$2:$H$5001,Transactions!$C$2:$C$5001,$A180,Transactions!$E$2:$E$5001,3))</f>
      </c>
      <c r="G180" s="16">
        <f>IF($A180="","",SUM($D180:$F180))</f>
      </c>
      <c r="H180" s="16">
        <f>IF($A180="","",VLOOKUP($A180,Items_Master!$A$2:$L$2001,6,FALSE))</f>
      </c>
      <c r="I180" s="38">
        <f>IF($A180="","",IF($G180&lt;=$H180,"LOW","OK"))</f>
      </c>
      <c r="J180" s="39">
        <f>IF($A180="","",VLOOKUP($A180,Items_Master!$A$2:$L$2001,4,FALSE))</f>
      </c>
      <c r="K180" s="39">
        <f>IF($A180="","",VLOOKUP($A180,Items_Master!$A$2:$L$2001,5,FALSE))</f>
      </c>
      <c r="L180" s="39">
        <f>IF($A180="","",$G180*$J180)</f>
      </c>
      <c r="M180" s="39">
        <f>IF($A180="","",$G180*$K180)</f>
      </c>
      <c r="N180" s="16">
        <f>IF($A180="","",COUNTIF(Transactions!$C$2:$C$5001,$A180))</f>
      </c>
    </row>
    <row x14ac:dyDescent="0.25" r="181" customHeight="1" ht="17.25">
      <c r="A181" s="12">
        <f>IF(ROW()-1&lt;=COUNTA(Items_Master!$A$2:$A$2001),INDEX(Items_Master!$A$2:$A$2001,ROW()-1),"")</f>
      </c>
      <c r="B181" s="12">
        <f>IF($A181="","",VLOOKUP($A181,Items_Master!$A$2:$L$2001,2,FALSE))</f>
      </c>
      <c r="C181" s="12">
        <f>IF($A181="","",VLOOKUP($A181,Items_Master!$A$2:$L$2001,3,FALSE))</f>
      </c>
      <c r="D181" s="13">
        <f>IF($A181="","",SUMIFS(Transactions!$G$2:$G$5001,Transactions!$C$2:$C$5001,$A181,Transactions!$E$2:$E$5001,1)-SUMIFS(Transactions!$H$2:$H$5001,Transactions!$C$2:$C$5001,$A181,Transactions!$E$2:$E$5001,1))</f>
      </c>
      <c r="E181" s="13">
        <f>IF($A181="","",SUMIFS(Transactions!$G$2:$G$5001,Transactions!$C$2:$C$5001,$A181,Transactions!$E$2:$E$5001,2)-SUMIFS(Transactions!$H$2:$H$5001,Transactions!$C$2:$C$5001,$A181,Transactions!$E$2:$E$5001,2))</f>
      </c>
      <c r="F181" s="13">
        <f>IF($A181="","",SUMIFS(Transactions!$G$2:$G$5001,Transactions!$C$2:$C$5001,$A181,Transactions!$E$2:$E$5001,3)-SUMIFS(Transactions!$H$2:$H$5001,Transactions!$C$2:$C$5001,$A181,Transactions!$E$2:$E$5001,3))</f>
      </c>
      <c r="G181" s="13">
        <f>IF($A181="","",SUM($D181:$F181))</f>
      </c>
      <c r="H181" s="13">
        <f>IF($A181="","",VLOOKUP($A181,Items_Master!$A$2:$L$2001,6,FALSE))</f>
      </c>
      <c r="I181" s="40">
        <f>IF($A181="","",IF($G181&lt;=$H181,"LOW","OK"))</f>
      </c>
      <c r="J181" s="41">
        <f>IF($A181="","",VLOOKUP($A181,Items_Master!$A$2:$L$2001,4,FALSE))</f>
      </c>
      <c r="K181" s="41">
        <f>IF($A181="","",VLOOKUP($A181,Items_Master!$A$2:$L$2001,5,FALSE))</f>
      </c>
      <c r="L181" s="41">
        <f>IF($A181="","",$G181*$J181)</f>
      </c>
      <c r="M181" s="41">
        <f>IF($A181="","",$G181*$K181)</f>
      </c>
      <c r="N181" s="13">
        <f>IF($A181="","",COUNTIF(Transactions!$C$2:$C$5001,$A181))</f>
      </c>
    </row>
    <row x14ac:dyDescent="0.25" r="182" customHeight="1" ht="17.25">
      <c r="A182" s="15">
        <f>IF(ROW()-1&lt;=COUNTA(Items_Master!$A$2:$A$2001),INDEX(Items_Master!$A$2:$A$2001,ROW()-1),"")</f>
      </c>
      <c r="B182" s="15">
        <f>IF($A182="","",VLOOKUP($A182,Items_Master!$A$2:$L$2001,2,FALSE))</f>
      </c>
      <c r="C182" s="15">
        <f>IF($A182="","",VLOOKUP($A182,Items_Master!$A$2:$L$2001,3,FALSE))</f>
      </c>
      <c r="D182" s="16">
        <f>IF($A182="","",SUMIFS(Transactions!$G$2:$G$5001,Transactions!$C$2:$C$5001,$A182,Transactions!$E$2:$E$5001,1)-SUMIFS(Transactions!$H$2:$H$5001,Transactions!$C$2:$C$5001,$A182,Transactions!$E$2:$E$5001,1))</f>
      </c>
      <c r="E182" s="16">
        <f>IF($A182="","",SUMIFS(Transactions!$G$2:$G$5001,Transactions!$C$2:$C$5001,$A182,Transactions!$E$2:$E$5001,2)-SUMIFS(Transactions!$H$2:$H$5001,Transactions!$C$2:$C$5001,$A182,Transactions!$E$2:$E$5001,2))</f>
      </c>
      <c r="F182" s="16">
        <f>IF($A182="","",SUMIFS(Transactions!$G$2:$G$5001,Transactions!$C$2:$C$5001,$A182,Transactions!$E$2:$E$5001,3)-SUMIFS(Transactions!$H$2:$H$5001,Transactions!$C$2:$C$5001,$A182,Transactions!$E$2:$E$5001,3))</f>
      </c>
      <c r="G182" s="16">
        <f>IF($A182="","",SUM($D182:$F182))</f>
      </c>
      <c r="H182" s="16">
        <f>IF($A182="","",VLOOKUP($A182,Items_Master!$A$2:$L$2001,6,FALSE))</f>
      </c>
      <c r="I182" s="38">
        <f>IF($A182="","",IF($G182&lt;=$H182,"LOW","OK"))</f>
      </c>
      <c r="J182" s="39">
        <f>IF($A182="","",VLOOKUP($A182,Items_Master!$A$2:$L$2001,4,FALSE))</f>
      </c>
      <c r="K182" s="39">
        <f>IF($A182="","",VLOOKUP($A182,Items_Master!$A$2:$L$2001,5,FALSE))</f>
      </c>
      <c r="L182" s="39">
        <f>IF($A182="","",$G182*$J182)</f>
      </c>
      <c r="M182" s="39">
        <f>IF($A182="","",$G182*$K182)</f>
      </c>
      <c r="N182" s="16">
        <f>IF($A182="","",COUNTIF(Transactions!$C$2:$C$5001,$A182))</f>
      </c>
    </row>
    <row x14ac:dyDescent="0.25" r="183" customHeight="1" ht="17.25">
      <c r="A183" s="12">
        <f>IF(ROW()-1&lt;=COUNTA(Items_Master!$A$2:$A$2001),INDEX(Items_Master!$A$2:$A$2001,ROW()-1),"")</f>
      </c>
      <c r="B183" s="12">
        <f>IF($A183="","",VLOOKUP($A183,Items_Master!$A$2:$L$2001,2,FALSE))</f>
      </c>
      <c r="C183" s="12">
        <f>IF($A183="","",VLOOKUP($A183,Items_Master!$A$2:$L$2001,3,FALSE))</f>
      </c>
      <c r="D183" s="13">
        <f>IF($A183="","",SUMIFS(Transactions!$G$2:$G$5001,Transactions!$C$2:$C$5001,$A183,Transactions!$E$2:$E$5001,1)-SUMIFS(Transactions!$H$2:$H$5001,Transactions!$C$2:$C$5001,$A183,Transactions!$E$2:$E$5001,1))</f>
      </c>
      <c r="E183" s="13">
        <f>IF($A183="","",SUMIFS(Transactions!$G$2:$G$5001,Transactions!$C$2:$C$5001,$A183,Transactions!$E$2:$E$5001,2)-SUMIFS(Transactions!$H$2:$H$5001,Transactions!$C$2:$C$5001,$A183,Transactions!$E$2:$E$5001,2))</f>
      </c>
      <c r="F183" s="13">
        <f>IF($A183="","",SUMIFS(Transactions!$G$2:$G$5001,Transactions!$C$2:$C$5001,$A183,Transactions!$E$2:$E$5001,3)-SUMIFS(Transactions!$H$2:$H$5001,Transactions!$C$2:$C$5001,$A183,Transactions!$E$2:$E$5001,3))</f>
      </c>
      <c r="G183" s="13">
        <f>IF($A183="","",SUM($D183:$F183))</f>
      </c>
      <c r="H183" s="13">
        <f>IF($A183="","",VLOOKUP($A183,Items_Master!$A$2:$L$2001,6,FALSE))</f>
      </c>
      <c r="I183" s="40">
        <f>IF($A183="","",IF($G183&lt;=$H183,"LOW","OK"))</f>
      </c>
      <c r="J183" s="41">
        <f>IF($A183="","",VLOOKUP($A183,Items_Master!$A$2:$L$2001,4,FALSE))</f>
      </c>
      <c r="K183" s="41">
        <f>IF($A183="","",VLOOKUP($A183,Items_Master!$A$2:$L$2001,5,FALSE))</f>
      </c>
      <c r="L183" s="41">
        <f>IF($A183="","",$G183*$J183)</f>
      </c>
      <c r="M183" s="41">
        <f>IF($A183="","",$G183*$K183)</f>
      </c>
      <c r="N183" s="13">
        <f>IF($A183="","",COUNTIF(Transactions!$C$2:$C$5001,$A183))</f>
      </c>
    </row>
    <row x14ac:dyDescent="0.25" r="184" customHeight="1" ht="17.25">
      <c r="A184" s="15">
        <f>IF(ROW()-1&lt;=COUNTA(Items_Master!$A$2:$A$2001),INDEX(Items_Master!$A$2:$A$2001,ROW()-1),"")</f>
      </c>
      <c r="B184" s="15">
        <f>IF($A184="","",VLOOKUP($A184,Items_Master!$A$2:$L$2001,2,FALSE))</f>
      </c>
      <c r="C184" s="15">
        <f>IF($A184="","",VLOOKUP($A184,Items_Master!$A$2:$L$2001,3,FALSE))</f>
      </c>
      <c r="D184" s="16">
        <f>IF($A184="","",SUMIFS(Transactions!$G$2:$G$5001,Transactions!$C$2:$C$5001,$A184,Transactions!$E$2:$E$5001,1)-SUMIFS(Transactions!$H$2:$H$5001,Transactions!$C$2:$C$5001,$A184,Transactions!$E$2:$E$5001,1))</f>
      </c>
      <c r="E184" s="16">
        <f>IF($A184="","",SUMIFS(Transactions!$G$2:$G$5001,Transactions!$C$2:$C$5001,$A184,Transactions!$E$2:$E$5001,2)-SUMIFS(Transactions!$H$2:$H$5001,Transactions!$C$2:$C$5001,$A184,Transactions!$E$2:$E$5001,2))</f>
      </c>
      <c r="F184" s="16">
        <f>IF($A184="","",SUMIFS(Transactions!$G$2:$G$5001,Transactions!$C$2:$C$5001,$A184,Transactions!$E$2:$E$5001,3)-SUMIFS(Transactions!$H$2:$H$5001,Transactions!$C$2:$C$5001,$A184,Transactions!$E$2:$E$5001,3))</f>
      </c>
      <c r="G184" s="16">
        <f>IF($A184="","",SUM($D184:$F184))</f>
      </c>
      <c r="H184" s="16">
        <f>IF($A184="","",VLOOKUP($A184,Items_Master!$A$2:$L$2001,6,FALSE))</f>
      </c>
      <c r="I184" s="38">
        <f>IF($A184="","",IF($G184&lt;=$H184,"LOW","OK"))</f>
      </c>
      <c r="J184" s="39">
        <f>IF($A184="","",VLOOKUP($A184,Items_Master!$A$2:$L$2001,4,FALSE))</f>
      </c>
      <c r="K184" s="39">
        <f>IF($A184="","",VLOOKUP($A184,Items_Master!$A$2:$L$2001,5,FALSE))</f>
      </c>
      <c r="L184" s="39">
        <f>IF($A184="","",$G184*$J184)</f>
      </c>
      <c r="M184" s="39">
        <f>IF($A184="","",$G184*$K184)</f>
      </c>
      <c r="N184" s="16">
        <f>IF($A184="","",COUNTIF(Transactions!$C$2:$C$5001,$A184))</f>
      </c>
    </row>
    <row x14ac:dyDescent="0.25" r="185" customHeight="1" ht="17.25">
      <c r="A185" s="12">
        <f>IF(ROW()-1&lt;=COUNTA(Items_Master!$A$2:$A$2001),INDEX(Items_Master!$A$2:$A$2001,ROW()-1),"")</f>
      </c>
      <c r="B185" s="12">
        <f>IF($A185="","",VLOOKUP($A185,Items_Master!$A$2:$L$2001,2,FALSE))</f>
      </c>
      <c r="C185" s="12">
        <f>IF($A185="","",VLOOKUP($A185,Items_Master!$A$2:$L$2001,3,FALSE))</f>
      </c>
      <c r="D185" s="13">
        <f>IF($A185="","",SUMIFS(Transactions!$G$2:$G$5001,Transactions!$C$2:$C$5001,$A185,Transactions!$E$2:$E$5001,1)-SUMIFS(Transactions!$H$2:$H$5001,Transactions!$C$2:$C$5001,$A185,Transactions!$E$2:$E$5001,1))</f>
      </c>
      <c r="E185" s="13">
        <f>IF($A185="","",SUMIFS(Transactions!$G$2:$G$5001,Transactions!$C$2:$C$5001,$A185,Transactions!$E$2:$E$5001,2)-SUMIFS(Transactions!$H$2:$H$5001,Transactions!$C$2:$C$5001,$A185,Transactions!$E$2:$E$5001,2))</f>
      </c>
      <c r="F185" s="13">
        <f>IF($A185="","",SUMIFS(Transactions!$G$2:$G$5001,Transactions!$C$2:$C$5001,$A185,Transactions!$E$2:$E$5001,3)-SUMIFS(Transactions!$H$2:$H$5001,Transactions!$C$2:$C$5001,$A185,Transactions!$E$2:$E$5001,3))</f>
      </c>
      <c r="G185" s="13">
        <f>IF($A185="","",SUM($D185:$F185))</f>
      </c>
      <c r="H185" s="13">
        <f>IF($A185="","",VLOOKUP($A185,Items_Master!$A$2:$L$2001,6,FALSE))</f>
      </c>
      <c r="I185" s="40">
        <f>IF($A185="","",IF($G185&lt;=$H185,"LOW","OK"))</f>
      </c>
      <c r="J185" s="41">
        <f>IF($A185="","",VLOOKUP($A185,Items_Master!$A$2:$L$2001,4,FALSE))</f>
      </c>
      <c r="K185" s="41">
        <f>IF($A185="","",VLOOKUP($A185,Items_Master!$A$2:$L$2001,5,FALSE))</f>
      </c>
      <c r="L185" s="41">
        <f>IF($A185="","",$G185*$J185)</f>
      </c>
      <c r="M185" s="41">
        <f>IF($A185="","",$G185*$K185)</f>
      </c>
      <c r="N185" s="13">
        <f>IF($A185="","",COUNTIF(Transactions!$C$2:$C$5001,$A185))</f>
      </c>
    </row>
    <row x14ac:dyDescent="0.25" r="186" customHeight="1" ht="17.25">
      <c r="A186" s="15">
        <f>IF(ROW()-1&lt;=COUNTA(Items_Master!$A$2:$A$2001),INDEX(Items_Master!$A$2:$A$2001,ROW()-1),"")</f>
      </c>
      <c r="B186" s="15">
        <f>IF($A186="","",VLOOKUP($A186,Items_Master!$A$2:$L$2001,2,FALSE))</f>
      </c>
      <c r="C186" s="15">
        <f>IF($A186="","",VLOOKUP($A186,Items_Master!$A$2:$L$2001,3,FALSE))</f>
      </c>
      <c r="D186" s="16">
        <f>IF($A186="","",SUMIFS(Transactions!$G$2:$G$5001,Transactions!$C$2:$C$5001,$A186,Transactions!$E$2:$E$5001,1)-SUMIFS(Transactions!$H$2:$H$5001,Transactions!$C$2:$C$5001,$A186,Transactions!$E$2:$E$5001,1))</f>
      </c>
      <c r="E186" s="16">
        <f>IF($A186="","",SUMIFS(Transactions!$G$2:$G$5001,Transactions!$C$2:$C$5001,$A186,Transactions!$E$2:$E$5001,2)-SUMIFS(Transactions!$H$2:$H$5001,Transactions!$C$2:$C$5001,$A186,Transactions!$E$2:$E$5001,2))</f>
      </c>
      <c r="F186" s="16">
        <f>IF($A186="","",SUMIFS(Transactions!$G$2:$G$5001,Transactions!$C$2:$C$5001,$A186,Transactions!$E$2:$E$5001,3)-SUMIFS(Transactions!$H$2:$H$5001,Transactions!$C$2:$C$5001,$A186,Transactions!$E$2:$E$5001,3))</f>
      </c>
      <c r="G186" s="16">
        <f>IF($A186="","",SUM($D186:$F186))</f>
      </c>
      <c r="H186" s="16">
        <f>IF($A186="","",VLOOKUP($A186,Items_Master!$A$2:$L$2001,6,FALSE))</f>
      </c>
      <c r="I186" s="38">
        <f>IF($A186="","",IF($G186&lt;=$H186,"LOW","OK"))</f>
      </c>
      <c r="J186" s="39">
        <f>IF($A186="","",VLOOKUP($A186,Items_Master!$A$2:$L$2001,4,FALSE))</f>
      </c>
      <c r="K186" s="39">
        <f>IF($A186="","",VLOOKUP($A186,Items_Master!$A$2:$L$2001,5,FALSE))</f>
      </c>
      <c r="L186" s="39">
        <f>IF($A186="","",$G186*$J186)</f>
      </c>
      <c r="M186" s="39">
        <f>IF($A186="","",$G186*$K186)</f>
      </c>
      <c r="N186" s="16">
        <f>IF($A186="","",COUNTIF(Transactions!$C$2:$C$5001,$A186))</f>
      </c>
    </row>
    <row x14ac:dyDescent="0.25" r="187" customHeight="1" ht="17.25">
      <c r="A187" s="12">
        <f>IF(ROW()-1&lt;=COUNTA(Items_Master!$A$2:$A$2001),INDEX(Items_Master!$A$2:$A$2001,ROW()-1),"")</f>
      </c>
      <c r="B187" s="12">
        <f>IF($A187="","",VLOOKUP($A187,Items_Master!$A$2:$L$2001,2,FALSE))</f>
      </c>
      <c r="C187" s="12">
        <f>IF($A187="","",VLOOKUP($A187,Items_Master!$A$2:$L$2001,3,FALSE))</f>
      </c>
      <c r="D187" s="13">
        <f>IF($A187="","",SUMIFS(Transactions!$G$2:$G$5001,Transactions!$C$2:$C$5001,$A187,Transactions!$E$2:$E$5001,1)-SUMIFS(Transactions!$H$2:$H$5001,Transactions!$C$2:$C$5001,$A187,Transactions!$E$2:$E$5001,1))</f>
      </c>
      <c r="E187" s="13">
        <f>IF($A187="","",SUMIFS(Transactions!$G$2:$G$5001,Transactions!$C$2:$C$5001,$A187,Transactions!$E$2:$E$5001,2)-SUMIFS(Transactions!$H$2:$H$5001,Transactions!$C$2:$C$5001,$A187,Transactions!$E$2:$E$5001,2))</f>
      </c>
      <c r="F187" s="13">
        <f>IF($A187="","",SUMIFS(Transactions!$G$2:$G$5001,Transactions!$C$2:$C$5001,$A187,Transactions!$E$2:$E$5001,3)-SUMIFS(Transactions!$H$2:$H$5001,Transactions!$C$2:$C$5001,$A187,Transactions!$E$2:$E$5001,3))</f>
      </c>
      <c r="G187" s="13">
        <f>IF($A187="","",SUM($D187:$F187))</f>
      </c>
      <c r="H187" s="13">
        <f>IF($A187="","",VLOOKUP($A187,Items_Master!$A$2:$L$2001,6,FALSE))</f>
      </c>
      <c r="I187" s="40">
        <f>IF($A187="","",IF($G187&lt;=$H187,"LOW","OK"))</f>
      </c>
      <c r="J187" s="41">
        <f>IF($A187="","",VLOOKUP($A187,Items_Master!$A$2:$L$2001,4,FALSE))</f>
      </c>
      <c r="K187" s="41">
        <f>IF($A187="","",VLOOKUP($A187,Items_Master!$A$2:$L$2001,5,FALSE))</f>
      </c>
      <c r="L187" s="41">
        <f>IF($A187="","",$G187*$J187)</f>
      </c>
      <c r="M187" s="41">
        <f>IF($A187="","",$G187*$K187)</f>
      </c>
      <c r="N187" s="13">
        <f>IF($A187="","",COUNTIF(Transactions!$C$2:$C$5001,$A187))</f>
      </c>
    </row>
    <row x14ac:dyDescent="0.25" r="188" customHeight="1" ht="17.25">
      <c r="A188" s="15">
        <f>IF(ROW()-1&lt;=COUNTA(Items_Master!$A$2:$A$2001),INDEX(Items_Master!$A$2:$A$2001,ROW()-1),"")</f>
      </c>
      <c r="B188" s="15">
        <f>IF($A188="","",VLOOKUP($A188,Items_Master!$A$2:$L$2001,2,FALSE))</f>
      </c>
      <c r="C188" s="15">
        <f>IF($A188="","",VLOOKUP($A188,Items_Master!$A$2:$L$2001,3,FALSE))</f>
      </c>
      <c r="D188" s="16">
        <f>IF($A188="","",SUMIFS(Transactions!$G$2:$G$5001,Transactions!$C$2:$C$5001,$A188,Transactions!$E$2:$E$5001,1)-SUMIFS(Transactions!$H$2:$H$5001,Transactions!$C$2:$C$5001,$A188,Transactions!$E$2:$E$5001,1))</f>
      </c>
      <c r="E188" s="16">
        <f>IF($A188="","",SUMIFS(Transactions!$G$2:$G$5001,Transactions!$C$2:$C$5001,$A188,Transactions!$E$2:$E$5001,2)-SUMIFS(Transactions!$H$2:$H$5001,Transactions!$C$2:$C$5001,$A188,Transactions!$E$2:$E$5001,2))</f>
      </c>
      <c r="F188" s="16">
        <f>IF($A188="","",SUMIFS(Transactions!$G$2:$G$5001,Transactions!$C$2:$C$5001,$A188,Transactions!$E$2:$E$5001,3)-SUMIFS(Transactions!$H$2:$H$5001,Transactions!$C$2:$C$5001,$A188,Transactions!$E$2:$E$5001,3))</f>
      </c>
      <c r="G188" s="16">
        <f>IF($A188="","",SUM($D188:$F188))</f>
      </c>
      <c r="H188" s="16">
        <f>IF($A188="","",VLOOKUP($A188,Items_Master!$A$2:$L$2001,6,FALSE))</f>
      </c>
      <c r="I188" s="38">
        <f>IF($A188="","",IF($G188&lt;=$H188,"LOW","OK"))</f>
      </c>
      <c r="J188" s="39">
        <f>IF($A188="","",VLOOKUP($A188,Items_Master!$A$2:$L$2001,4,FALSE))</f>
      </c>
      <c r="K188" s="39">
        <f>IF($A188="","",VLOOKUP($A188,Items_Master!$A$2:$L$2001,5,FALSE))</f>
      </c>
      <c r="L188" s="39">
        <f>IF($A188="","",$G188*$J188)</f>
      </c>
      <c r="M188" s="39">
        <f>IF($A188="","",$G188*$K188)</f>
      </c>
      <c r="N188" s="16">
        <f>IF($A188="","",COUNTIF(Transactions!$C$2:$C$5001,$A188))</f>
      </c>
    </row>
    <row x14ac:dyDescent="0.25" r="189" customHeight="1" ht="17.25">
      <c r="A189" s="12">
        <f>IF(ROW()-1&lt;=COUNTA(Items_Master!$A$2:$A$2001),INDEX(Items_Master!$A$2:$A$2001,ROW()-1),"")</f>
      </c>
      <c r="B189" s="12">
        <f>IF($A189="","",VLOOKUP($A189,Items_Master!$A$2:$L$2001,2,FALSE))</f>
      </c>
      <c r="C189" s="12">
        <f>IF($A189="","",VLOOKUP($A189,Items_Master!$A$2:$L$2001,3,FALSE))</f>
      </c>
      <c r="D189" s="13">
        <f>IF($A189="","",SUMIFS(Transactions!$G$2:$G$5001,Transactions!$C$2:$C$5001,$A189,Transactions!$E$2:$E$5001,1)-SUMIFS(Transactions!$H$2:$H$5001,Transactions!$C$2:$C$5001,$A189,Transactions!$E$2:$E$5001,1))</f>
      </c>
      <c r="E189" s="13">
        <f>IF($A189="","",SUMIFS(Transactions!$G$2:$G$5001,Transactions!$C$2:$C$5001,$A189,Transactions!$E$2:$E$5001,2)-SUMIFS(Transactions!$H$2:$H$5001,Transactions!$C$2:$C$5001,$A189,Transactions!$E$2:$E$5001,2))</f>
      </c>
      <c r="F189" s="13">
        <f>IF($A189="","",SUMIFS(Transactions!$G$2:$G$5001,Transactions!$C$2:$C$5001,$A189,Transactions!$E$2:$E$5001,3)-SUMIFS(Transactions!$H$2:$H$5001,Transactions!$C$2:$C$5001,$A189,Transactions!$E$2:$E$5001,3))</f>
      </c>
      <c r="G189" s="13">
        <f>IF($A189="","",SUM($D189:$F189))</f>
      </c>
      <c r="H189" s="13">
        <f>IF($A189="","",VLOOKUP($A189,Items_Master!$A$2:$L$2001,6,FALSE))</f>
      </c>
      <c r="I189" s="40">
        <f>IF($A189="","",IF($G189&lt;=$H189,"LOW","OK"))</f>
      </c>
      <c r="J189" s="41">
        <f>IF($A189="","",VLOOKUP($A189,Items_Master!$A$2:$L$2001,4,FALSE))</f>
      </c>
      <c r="K189" s="41">
        <f>IF($A189="","",VLOOKUP($A189,Items_Master!$A$2:$L$2001,5,FALSE))</f>
      </c>
      <c r="L189" s="41">
        <f>IF($A189="","",$G189*$J189)</f>
      </c>
      <c r="M189" s="41">
        <f>IF($A189="","",$G189*$K189)</f>
      </c>
      <c r="N189" s="13">
        <f>IF($A189="","",COUNTIF(Transactions!$C$2:$C$5001,$A189))</f>
      </c>
    </row>
    <row x14ac:dyDescent="0.25" r="190" customHeight="1" ht="17.25">
      <c r="A190" s="15">
        <f>IF(ROW()-1&lt;=COUNTA(Items_Master!$A$2:$A$2001),INDEX(Items_Master!$A$2:$A$2001,ROW()-1),"")</f>
      </c>
      <c r="B190" s="15">
        <f>IF($A190="","",VLOOKUP($A190,Items_Master!$A$2:$L$2001,2,FALSE))</f>
      </c>
      <c r="C190" s="15">
        <f>IF($A190="","",VLOOKUP($A190,Items_Master!$A$2:$L$2001,3,FALSE))</f>
      </c>
      <c r="D190" s="16">
        <f>IF($A190="","",SUMIFS(Transactions!$G$2:$G$5001,Transactions!$C$2:$C$5001,$A190,Transactions!$E$2:$E$5001,1)-SUMIFS(Transactions!$H$2:$H$5001,Transactions!$C$2:$C$5001,$A190,Transactions!$E$2:$E$5001,1))</f>
      </c>
      <c r="E190" s="16">
        <f>IF($A190="","",SUMIFS(Transactions!$G$2:$G$5001,Transactions!$C$2:$C$5001,$A190,Transactions!$E$2:$E$5001,2)-SUMIFS(Transactions!$H$2:$H$5001,Transactions!$C$2:$C$5001,$A190,Transactions!$E$2:$E$5001,2))</f>
      </c>
      <c r="F190" s="16">
        <f>IF($A190="","",SUMIFS(Transactions!$G$2:$G$5001,Transactions!$C$2:$C$5001,$A190,Transactions!$E$2:$E$5001,3)-SUMIFS(Transactions!$H$2:$H$5001,Transactions!$C$2:$C$5001,$A190,Transactions!$E$2:$E$5001,3))</f>
      </c>
      <c r="G190" s="16">
        <f>IF($A190="","",SUM($D190:$F190))</f>
      </c>
      <c r="H190" s="16">
        <f>IF($A190="","",VLOOKUP($A190,Items_Master!$A$2:$L$2001,6,FALSE))</f>
      </c>
      <c r="I190" s="38">
        <f>IF($A190="","",IF($G190&lt;=$H190,"LOW","OK"))</f>
      </c>
      <c r="J190" s="39">
        <f>IF($A190="","",VLOOKUP($A190,Items_Master!$A$2:$L$2001,4,FALSE))</f>
      </c>
      <c r="K190" s="39">
        <f>IF($A190="","",VLOOKUP($A190,Items_Master!$A$2:$L$2001,5,FALSE))</f>
      </c>
      <c r="L190" s="39">
        <f>IF($A190="","",$G190*$J190)</f>
      </c>
      <c r="M190" s="39">
        <f>IF($A190="","",$G190*$K190)</f>
      </c>
      <c r="N190" s="16">
        <f>IF($A190="","",COUNTIF(Transactions!$C$2:$C$5001,$A190))</f>
      </c>
    </row>
    <row x14ac:dyDescent="0.25" r="191" customHeight="1" ht="17.25">
      <c r="A191" s="12">
        <f>IF(ROW()-1&lt;=COUNTA(Items_Master!$A$2:$A$2001),INDEX(Items_Master!$A$2:$A$2001,ROW()-1),"")</f>
      </c>
      <c r="B191" s="12">
        <f>IF($A191="","",VLOOKUP($A191,Items_Master!$A$2:$L$2001,2,FALSE))</f>
      </c>
      <c r="C191" s="12">
        <f>IF($A191="","",VLOOKUP($A191,Items_Master!$A$2:$L$2001,3,FALSE))</f>
      </c>
      <c r="D191" s="13">
        <f>IF($A191="","",SUMIFS(Transactions!$G$2:$G$5001,Transactions!$C$2:$C$5001,$A191,Transactions!$E$2:$E$5001,1)-SUMIFS(Transactions!$H$2:$H$5001,Transactions!$C$2:$C$5001,$A191,Transactions!$E$2:$E$5001,1))</f>
      </c>
      <c r="E191" s="13">
        <f>IF($A191="","",SUMIFS(Transactions!$G$2:$G$5001,Transactions!$C$2:$C$5001,$A191,Transactions!$E$2:$E$5001,2)-SUMIFS(Transactions!$H$2:$H$5001,Transactions!$C$2:$C$5001,$A191,Transactions!$E$2:$E$5001,2))</f>
      </c>
      <c r="F191" s="13">
        <f>IF($A191="","",SUMIFS(Transactions!$G$2:$G$5001,Transactions!$C$2:$C$5001,$A191,Transactions!$E$2:$E$5001,3)-SUMIFS(Transactions!$H$2:$H$5001,Transactions!$C$2:$C$5001,$A191,Transactions!$E$2:$E$5001,3))</f>
      </c>
      <c r="G191" s="13">
        <f>IF($A191="","",SUM($D191:$F191))</f>
      </c>
      <c r="H191" s="13">
        <f>IF($A191="","",VLOOKUP($A191,Items_Master!$A$2:$L$2001,6,FALSE))</f>
      </c>
      <c r="I191" s="40">
        <f>IF($A191="","",IF($G191&lt;=$H191,"LOW","OK"))</f>
      </c>
      <c r="J191" s="41">
        <f>IF($A191="","",VLOOKUP($A191,Items_Master!$A$2:$L$2001,4,FALSE))</f>
      </c>
      <c r="K191" s="41">
        <f>IF($A191="","",VLOOKUP($A191,Items_Master!$A$2:$L$2001,5,FALSE))</f>
      </c>
      <c r="L191" s="41">
        <f>IF($A191="","",$G191*$J191)</f>
      </c>
      <c r="M191" s="41">
        <f>IF($A191="","",$G191*$K191)</f>
      </c>
      <c r="N191" s="13">
        <f>IF($A191="","",COUNTIF(Transactions!$C$2:$C$5001,$A191))</f>
      </c>
    </row>
    <row x14ac:dyDescent="0.25" r="192" customHeight="1" ht="17.25">
      <c r="A192" s="15">
        <f>IF(ROW()-1&lt;=COUNTA(Items_Master!$A$2:$A$2001),INDEX(Items_Master!$A$2:$A$2001,ROW()-1),"")</f>
      </c>
      <c r="B192" s="15">
        <f>IF($A192="","",VLOOKUP($A192,Items_Master!$A$2:$L$2001,2,FALSE))</f>
      </c>
      <c r="C192" s="15">
        <f>IF($A192="","",VLOOKUP($A192,Items_Master!$A$2:$L$2001,3,FALSE))</f>
      </c>
      <c r="D192" s="16">
        <f>IF($A192="","",SUMIFS(Transactions!$G$2:$G$5001,Transactions!$C$2:$C$5001,$A192,Transactions!$E$2:$E$5001,1)-SUMIFS(Transactions!$H$2:$H$5001,Transactions!$C$2:$C$5001,$A192,Transactions!$E$2:$E$5001,1))</f>
      </c>
      <c r="E192" s="16">
        <f>IF($A192="","",SUMIFS(Transactions!$G$2:$G$5001,Transactions!$C$2:$C$5001,$A192,Transactions!$E$2:$E$5001,2)-SUMIFS(Transactions!$H$2:$H$5001,Transactions!$C$2:$C$5001,$A192,Transactions!$E$2:$E$5001,2))</f>
      </c>
      <c r="F192" s="16">
        <f>IF($A192="","",SUMIFS(Transactions!$G$2:$G$5001,Transactions!$C$2:$C$5001,$A192,Transactions!$E$2:$E$5001,3)-SUMIFS(Transactions!$H$2:$H$5001,Transactions!$C$2:$C$5001,$A192,Transactions!$E$2:$E$5001,3))</f>
      </c>
      <c r="G192" s="16">
        <f>IF($A192="","",SUM($D192:$F192))</f>
      </c>
      <c r="H192" s="16">
        <f>IF($A192="","",VLOOKUP($A192,Items_Master!$A$2:$L$2001,6,FALSE))</f>
      </c>
      <c r="I192" s="38">
        <f>IF($A192="","",IF($G192&lt;=$H192,"LOW","OK"))</f>
      </c>
      <c r="J192" s="39">
        <f>IF($A192="","",VLOOKUP($A192,Items_Master!$A$2:$L$2001,4,FALSE))</f>
      </c>
      <c r="K192" s="39">
        <f>IF($A192="","",VLOOKUP($A192,Items_Master!$A$2:$L$2001,5,FALSE))</f>
      </c>
      <c r="L192" s="39">
        <f>IF($A192="","",$G192*$J192)</f>
      </c>
      <c r="M192" s="39">
        <f>IF($A192="","",$G192*$K192)</f>
      </c>
      <c r="N192" s="16">
        <f>IF($A192="","",COUNTIF(Transactions!$C$2:$C$5001,$A192))</f>
      </c>
    </row>
    <row x14ac:dyDescent="0.25" r="193" customHeight="1" ht="17.25">
      <c r="A193" s="12">
        <f>IF(ROW()-1&lt;=COUNTA(Items_Master!$A$2:$A$2001),INDEX(Items_Master!$A$2:$A$2001,ROW()-1),"")</f>
      </c>
      <c r="B193" s="12">
        <f>IF($A193="","",VLOOKUP($A193,Items_Master!$A$2:$L$2001,2,FALSE))</f>
      </c>
      <c r="C193" s="12">
        <f>IF($A193="","",VLOOKUP($A193,Items_Master!$A$2:$L$2001,3,FALSE))</f>
      </c>
      <c r="D193" s="13">
        <f>IF($A193="","",SUMIFS(Transactions!$G$2:$G$5001,Transactions!$C$2:$C$5001,$A193,Transactions!$E$2:$E$5001,1)-SUMIFS(Transactions!$H$2:$H$5001,Transactions!$C$2:$C$5001,$A193,Transactions!$E$2:$E$5001,1))</f>
      </c>
      <c r="E193" s="13">
        <f>IF($A193="","",SUMIFS(Transactions!$G$2:$G$5001,Transactions!$C$2:$C$5001,$A193,Transactions!$E$2:$E$5001,2)-SUMIFS(Transactions!$H$2:$H$5001,Transactions!$C$2:$C$5001,$A193,Transactions!$E$2:$E$5001,2))</f>
      </c>
      <c r="F193" s="13">
        <f>IF($A193="","",SUMIFS(Transactions!$G$2:$G$5001,Transactions!$C$2:$C$5001,$A193,Transactions!$E$2:$E$5001,3)-SUMIFS(Transactions!$H$2:$H$5001,Transactions!$C$2:$C$5001,$A193,Transactions!$E$2:$E$5001,3))</f>
      </c>
      <c r="G193" s="13">
        <f>IF($A193="","",SUM($D193:$F193))</f>
      </c>
      <c r="H193" s="13">
        <f>IF($A193="","",VLOOKUP($A193,Items_Master!$A$2:$L$2001,6,FALSE))</f>
      </c>
      <c r="I193" s="40">
        <f>IF($A193="","",IF($G193&lt;=$H193,"LOW","OK"))</f>
      </c>
      <c r="J193" s="41">
        <f>IF($A193="","",VLOOKUP($A193,Items_Master!$A$2:$L$2001,4,FALSE))</f>
      </c>
      <c r="K193" s="41">
        <f>IF($A193="","",VLOOKUP($A193,Items_Master!$A$2:$L$2001,5,FALSE))</f>
      </c>
      <c r="L193" s="41">
        <f>IF($A193="","",$G193*$J193)</f>
      </c>
      <c r="M193" s="41">
        <f>IF($A193="","",$G193*$K193)</f>
      </c>
      <c r="N193" s="13">
        <f>IF($A193="","",COUNTIF(Transactions!$C$2:$C$5001,$A193))</f>
      </c>
    </row>
    <row x14ac:dyDescent="0.25" r="194" customHeight="1" ht="17.25">
      <c r="A194" s="15">
        <f>IF(ROW()-1&lt;=COUNTA(Items_Master!$A$2:$A$2001),INDEX(Items_Master!$A$2:$A$2001,ROW()-1),"")</f>
      </c>
      <c r="B194" s="15">
        <f>IF($A194="","",VLOOKUP($A194,Items_Master!$A$2:$L$2001,2,FALSE))</f>
      </c>
      <c r="C194" s="15">
        <f>IF($A194="","",VLOOKUP($A194,Items_Master!$A$2:$L$2001,3,FALSE))</f>
      </c>
      <c r="D194" s="16">
        <f>IF($A194="","",SUMIFS(Transactions!$G$2:$G$5001,Transactions!$C$2:$C$5001,$A194,Transactions!$E$2:$E$5001,1)-SUMIFS(Transactions!$H$2:$H$5001,Transactions!$C$2:$C$5001,$A194,Transactions!$E$2:$E$5001,1))</f>
      </c>
      <c r="E194" s="16">
        <f>IF($A194="","",SUMIFS(Transactions!$G$2:$G$5001,Transactions!$C$2:$C$5001,$A194,Transactions!$E$2:$E$5001,2)-SUMIFS(Transactions!$H$2:$H$5001,Transactions!$C$2:$C$5001,$A194,Transactions!$E$2:$E$5001,2))</f>
      </c>
      <c r="F194" s="16">
        <f>IF($A194="","",SUMIFS(Transactions!$G$2:$G$5001,Transactions!$C$2:$C$5001,$A194,Transactions!$E$2:$E$5001,3)-SUMIFS(Transactions!$H$2:$H$5001,Transactions!$C$2:$C$5001,$A194,Transactions!$E$2:$E$5001,3))</f>
      </c>
      <c r="G194" s="16">
        <f>IF($A194="","",SUM($D194:$F194))</f>
      </c>
      <c r="H194" s="16">
        <f>IF($A194="","",VLOOKUP($A194,Items_Master!$A$2:$L$2001,6,FALSE))</f>
      </c>
      <c r="I194" s="38">
        <f>IF($A194="","",IF($G194&lt;=$H194,"LOW","OK"))</f>
      </c>
      <c r="J194" s="39">
        <f>IF($A194="","",VLOOKUP($A194,Items_Master!$A$2:$L$2001,4,FALSE))</f>
      </c>
      <c r="K194" s="39">
        <f>IF($A194="","",VLOOKUP($A194,Items_Master!$A$2:$L$2001,5,FALSE))</f>
      </c>
      <c r="L194" s="39">
        <f>IF($A194="","",$G194*$J194)</f>
      </c>
      <c r="M194" s="39">
        <f>IF($A194="","",$G194*$K194)</f>
      </c>
      <c r="N194" s="16">
        <f>IF($A194="","",COUNTIF(Transactions!$C$2:$C$5001,$A194))</f>
      </c>
    </row>
    <row x14ac:dyDescent="0.25" r="195" customHeight="1" ht="17.25">
      <c r="A195" s="12">
        <f>IF(ROW()-1&lt;=COUNTA(Items_Master!$A$2:$A$2001),INDEX(Items_Master!$A$2:$A$2001,ROW()-1),"")</f>
      </c>
      <c r="B195" s="12">
        <f>IF($A195="","",VLOOKUP($A195,Items_Master!$A$2:$L$2001,2,FALSE))</f>
      </c>
      <c r="C195" s="12">
        <f>IF($A195="","",VLOOKUP($A195,Items_Master!$A$2:$L$2001,3,FALSE))</f>
      </c>
      <c r="D195" s="13">
        <f>IF($A195="","",SUMIFS(Transactions!$G$2:$G$5001,Transactions!$C$2:$C$5001,$A195,Transactions!$E$2:$E$5001,1)-SUMIFS(Transactions!$H$2:$H$5001,Transactions!$C$2:$C$5001,$A195,Transactions!$E$2:$E$5001,1))</f>
      </c>
      <c r="E195" s="13">
        <f>IF($A195="","",SUMIFS(Transactions!$G$2:$G$5001,Transactions!$C$2:$C$5001,$A195,Transactions!$E$2:$E$5001,2)-SUMIFS(Transactions!$H$2:$H$5001,Transactions!$C$2:$C$5001,$A195,Transactions!$E$2:$E$5001,2))</f>
      </c>
      <c r="F195" s="13">
        <f>IF($A195="","",SUMIFS(Transactions!$G$2:$G$5001,Transactions!$C$2:$C$5001,$A195,Transactions!$E$2:$E$5001,3)-SUMIFS(Transactions!$H$2:$H$5001,Transactions!$C$2:$C$5001,$A195,Transactions!$E$2:$E$5001,3))</f>
      </c>
      <c r="G195" s="13">
        <f>IF($A195="","",SUM($D195:$F195))</f>
      </c>
      <c r="H195" s="13">
        <f>IF($A195="","",VLOOKUP($A195,Items_Master!$A$2:$L$2001,6,FALSE))</f>
      </c>
      <c r="I195" s="40">
        <f>IF($A195="","",IF($G195&lt;=$H195,"LOW","OK"))</f>
      </c>
      <c r="J195" s="41">
        <f>IF($A195="","",VLOOKUP($A195,Items_Master!$A$2:$L$2001,4,FALSE))</f>
      </c>
      <c r="K195" s="41">
        <f>IF($A195="","",VLOOKUP($A195,Items_Master!$A$2:$L$2001,5,FALSE))</f>
      </c>
      <c r="L195" s="41">
        <f>IF($A195="","",$G195*$J195)</f>
      </c>
      <c r="M195" s="41">
        <f>IF($A195="","",$G195*$K195)</f>
      </c>
      <c r="N195" s="13">
        <f>IF($A195="","",COUNTIF(Transactions!$C$2:$C$5001,$A195))</f>
      </c>
    </row>
    <row x14ac:dyDescent="0.25" r="196" customHeight="1" ht="17.25">
      <c r="A196" s="15">
        <f>IF(ROW()-1&lt;=COUNTA(Items_Master!$A$2:$A$2001),INDEX(Items_Master!$A$2:$A$2001,ROW()-1),"")</f>
      </c>
      <c r="B196" s="15">
        <f>IF($A196="","",VLOOKUP($A196,Items_Master!$A$2:$L$2001,2,FALSE))</f>
      </c>
      <c r="C196" s="15">
        <f>IF($A196="","",VLOOKUP($A196,Items_Master!$A$2:$L$2001,3,FALSE))</f>
      </c>
      <c r="D196" s="16">
        <f>IF($A196="","",SUMIFS(Transactions!$G$2:$G$5001,Transactions!$C$2:$C$5001,$A196,Transactions!$E$2:$E$5001,1)-SUMIFS(Transactions!$H$2:$H$5001,Transactions!$C$2:$C$5001,$A196,Transactions!$E$2:$E$5001,1))</f>
      </c>
      <c r="E196" s="16">
        <f>IF($A196="","",SUMIFS(Transactions!$G$2:$G$5001,Transactions!$C$2:$C$5001,$A196,Transactions!$E$2:$E$5001,2)-SUMIFS(Transactions!$H$2:$H$5001,Transactions!$C$2:$C$5001,$A196,Transactions!$E$2:$E$5001,2))</f>
      </c>
      <c r="F196" s="16">
        <f>IF($A196="","",SUMIFS(Transactions!$G$2:$G$5001,Transactions!$C$2:$C$5001,$A196,Transactions!$E$2:$E$5001,3)-SUMIFS(Transactions!$H$2:$H$5001,Transactions!$C$2:$C$5001,$A196,Transactions!$E$2:$E$5001,3))</f>
      </c>
      <c r="G196" s="16">
        <f>IF($A196="","",SUM($D196:$F196))</f>
      </c>
      <c r="H196" s="16">
        <f>IF($A196="","",VLOOKUP($A196,Items_Master!$A$2:$L$2001,6,FALSE))</f>
      </c>
      <c r="I196" s="38">
        <f>IF($A196="","",IF($G196&lt;=$H196,"LOW","OK"))</f>
      </c>
      <c r="J196" s="39">
        <f>IF($A196="","",VLOOKUP($A196,Items_Master!$A$2:$L$2001,4,FALSE))</f>
      </c>
      <c r="K196" s="39">
        <f>IF($A196="","",VLOOKUP($A196,Items_Master!$A$2:$L$2001,5,FALSE))</f>
      </c>
      <c r="L196" s="39">
        <f>IF($A196="","",$G196*$J196)</f>
      </c>
      <c r="M196" s="39">
        <f>IF($A196="","",$G196*$K196)</f>
      </c>
      <c r="N196" s="16">
        <f>IF($A196="","",COUNTIF(Transactions!$C$2:$C$5001,$A196))</f>
      </c>
    </row>
    <row x14ac:dyDescent="0.25" r="197" customHeight="1" ht="17.25">
      <c r="A197" s="12">
        <f>IF(ROW()-1&lt;=COUNTA(Items_Master!$A$2:$A$2001),INDEX(Items_Master!$A$2:$A$2001,ROW()-1),"")</f>
      </c>
      <c r="B197" s="12">
        <f>IF($A197="","",VLOOKUP($A197,Items_Master!$A$2:$L$2001,2,FALSE))</f>
      </c>
      <c r="C197" s="12">
        <f>IF($A197="","",VLOOKUP($A197,Items_Master!$A$2:$L$2001,3,FALSE))</f>
      </c>
      <c r="D197" s="13">
        <f>IF($A197="","",SUMIFS(Transactions!$G$2:$G$5001,Transactions!$C$2:$C$5001,$A197,Transactions!$E$2:$E$5001,1)-SUMIFS(Transactions!$H$2:$H$5001,Transactions!$C$2:$C$5001,$A197,Transactions!$E$2:$E$5001,1))</f>
      </c>
      <c r="E197" s="13">
        <f>IF($A197="","",SUMIFS(Transactions!$G$2:$G$5001,Transactions!$C$2:$C$5001,$A197,Transactions!$E$2:$E$5001,2)-SUMIFS(Transactions!$H$2:$H$5001,Transactions!$C$2:$C$5001,$A197,Transactions!$E$2:$E$5001,2))</f>
      </c>
      <c r="F197" s="13">
        <f>IF($A197="","",SUMIFS(Transactions!$G$2:$G$5001,Transactions!$C$2:$C$5001,$A197,Transactions!$E$2:$E$5001,3)-SUMIFS(Transactions!$H$2:$H$5001,Transactions!$C$2:$C$5001,$A197,Transactions!$E$2:$E$5001,3))</f>
      </c>
      <c r="G197" s="13">
        <f>IF($A197="","",SUM($D197:$F197))</f>
      </c>
      <c r="H197" s="13">
        <f>IF($A197="","",VLOOKUP($A197,Items_Master!$A$2:$L$2001,6,FALSE))</f>
      </c>
      <c r="I197" s="40">
        <f>IF($A197="","",IF($G197&lt;=$H197,"LOW","OK"))</f>
      </c>
      <c r="J197" s="41">
        <f>IF($A197="","",VLOOKUP($A197,Items_Master!$A$2:$L$2001,4,FALSE))</f>
      </c>
      <c r="K197" s="41">
        <f>IF($A197="","",VLOOKUP($A197,Items_Master!$A$2:$L$2001,5,FALSE))</f>
      </c>
      <c r="L197" s="41">
        <f>IF($A197="","",$G197*$J197)</f>
      </c>
      <c r="M197" s="41">
        <f>IF($A197="","",$G197*$K197)</f>
      </c>
      <c r="N197" s="13">
        <f>IF($A197="","",COUNTIF(Transactions!$C$2:$C$5001,$A197))</f>
      </c>
    </row>
    <row x14ac:dyDescent="0.25" r="198" customHeight="1" ht="17.25">
      <c r="A198" s="15">
        <f>IF(ROW()-1&lt;=COUNTA(Items_Master!$A$2:$A$2001),INDEX(Items_Master!$A$2:$A$2001,ROW()-1),"")</f>
      </c>
      <c r="B198" s="15">
        <f>IF($A198="","",VLOOKUP($A198,Items_Master!$A$2:$L$2001,2,FALSE))</f>
      </c>
      <c r="C198" s="15">
        <f>IF($A198="","",VLOOKUP($A198,Items_Master!$A$2:$L$2001,3,FALSE))</f>
      </c>
      <c r="D198" s="16">
        <f>IF($A198="","",SUMIFS(Transactions!$G$2:$G$5001,Transactions!$C$2:$C$5001,$A198,Transactions!$E$2:$E$5001,1)-SUMIFS(Transactions!$H$2:$H$5001,Transactions!$C$2:$C$5001,$A198,Transactions!$E$2:$E$5001,1))</f>
      </c>
      <c r="E198" s="16">
        <f>IF($A198="","",SUMIFS(Transactions!$G$2:$G$5001,Transactions!$C$2:$C$5001,$A198,Transactions!$E$2:$E$5001,2)-SUMIFS(Transactions!$H$2:$H$5001,Transactions!$C$2:$C$5001,$A198,Transactions!$E$2:$E$5001,2))</f>
      </c>
      <c r="F198" s="16">
        <f>IF($A198="","",SUMIFS(Transactions!$G$2:$G$5001,Transactions!$C$2:$C$5001,$A198,Transactions!$E$2:$E$5001,3)-SUMIFS(Transactions!$H$2:$H$5001,Transactions!$C$2:$C$5001,$A198,Transactions!$E$2:$E$5001,3))</f>
      </c>
      <c r="G198" s="16">
        <f>IF($A198="","",SUM($D198:$F198))</f>
      </c>
      <c r="H198" s="16">
        <f>IF($A198="","",VLOOKUP($A198,Items_Master!$A$2:$L$2001,6,FALSE))</f>
      </c>
      <c r="I198" s="38">
        <f>IF($A198="","",IF($G198&lt;=$H198,"LOW","OK"))</f>
      </c>
      <c r="J198" s="39">
        <f>IF($A198="","",VLOOKUP($A198,Items_Master!$A$2:$L$2001,4,FALSE))</f>
      </c>
      <c r="K198" s="39">
        <f>IF($A198="","",VLOOKUP($A198,Items_Master!$A$2:$L$2001,5,FALSE))</f>
      </c>
      <c r="L198" s="39">
        <f>IF($A198="","",$G198*$J198)</f>
      </c>
      <c r="M198" s="39">
        <f>IF($A198="","",$G198*$K198)</f>
      </c>
      <c r="N198" s="16">
        <f>IF($A198="","",COUNTIF(Transactions!$C$2:$C$5001,$A198))</f>
      </c>
    </row>
    <row x14ac:dyDescent="0.25" r="199" customHeight="1" ht="17.25">
      <c r="A199" s="12">
        <f>IF(ROW()-1&lt;=COUNTA(Items_Master!$A$2:$A$2001),INDEX(Items_Master!$A$2:$A$2001,ROW()-1),"")</f>
      </c>
      <c r="B199" s="12">
        <f>IF($A199="","",VLOOKUP($A199,Items_Master!$A$2:$L$2001,2,FALSE))</f>
      </c>
      <c r="C199" s="12">
        <f>IF($A199="","",VLOOKUP($A199,Items_Master!$A$2:$L$2001,3,FALSE))</f>
      </c>
      <c r="D199" s="13">
        <f>IF($A199="","",SUMIFS(Transactions!$G$2:$G$5001,Transactions!$C$2:$C$5001,$A199,Transactions!$E$2:$E$5001,1)-SUMIFS(Transactions!$H$2:$H$5001,Transactions!$C$2:$C$5001,$A199,Transactions!$E$2:$E$5001,1))</f>
      </c>
      <c r="E199" s="13">
        <f>IF($A199="","",SUMIFS(Transactions!$G$2:$G$5001,Transactions!$C$2:$C$5001,$A199,Transactions!$E$2:$E$5001,2)-SUMIFS(Transactions!$H$2:$H$5001,Transactions!$C$2:$C$5001,$A199,Transactions!$E$2:$E$5001,2))</f>
      </c>
      <c r="F199" s="13">
        <f>IF($A199="","",SUMIFS(Transactions!$G$2:$G$5001,Transactions!$C$2:$C$5001,$A199,Transactions!$E$2:$E$5001,3)-SUMIFS(Transactions!$H$2:$H$5001,Transactions!$C$2:$C$5001,$A199,Transactions!$E$2:$E$5001,3))</f>
      </c>
      <c r="G199" s="13">
        <f>IF($A199="","",SUM($D199:$F199))</f>
      </c>
      <c r="H199" s="13">
        <f>IF($A199="","",VLOOKUP($A199,Items_Master!$A$2:$L$2001,6,FALSE))</f>
      </c>
      <c r="I199" s="40">
        <f>IF($A199="","",IF($G199&lt;=$H199,"LOW","OK"))</f>
      </c>
      <c r="J199" s="41">
        <f>IF($A199="","",VLOOKUP($A199,Items_Master!$A$2:$L$2001,4,FALSE))</f>
      </c>
      <c r="K199" s="41">
        <f>IF($A199="","",VLOOKUP($A199,Items_Master!$A$2:$L$2001,5,FALSE))</f>
      </c>
      <c r="L199" s="41">
        <f>IF($A199="","",$G199*$J199)</f>
      </c>
      <c r="M199" s="41">
        <f>IF($A199="","",$G199*$K199)</f>
      </c>
      <c r="N199" s="13">
        <f>IF($A199="","",COUNTIF(Transactions!$C$2:$C$5001,$A199))</f>
      </c>
    </row>
    <row x14ac:dyDescent="0.25" r="200" customHeight="1" ht="17.25">
      <c r="A200" s="15">
        <f>IF(ROW()-1&lt;=COUNTA(Items_Master!$A$2:$A$2001),INDEX(Items_Master!$A$2:$A$2001,ROW()-1),"")</f>
      </c>
      <c r="B200" s="15">
        <f>IF($A200="","",VLOOKUP($A200,Items_Master!$A$2:$L$2001,2,FALSE))</f>
      </c>
      <c r="C200" s="15">
        <f>IF($A200="","",VLOOKUP($A200,Items_Master!$A$2:$L$2001,3,FALSE))</f>
      </c>
      <c r="D200" s="16">
        <f>IF($A200="","",SUMIFS(Transactions!$G$2:$G$5001,Transactions!$C$2:$C$5001,$A200,Transactions!$E$2:$E$5001,1)-SUMIFS(Transactions!$H$2:$H$5001,Transactions!$C$2:$C$5001,$A200,Transactions!$E$2:$E$5001,1))</f>
      </c>
      <c r="E200" s="16">
        <f>IF($A200="","",SUMIFS(Transactions!$G$2:$G$5001,Transactions!$C$2:$C$5001,$A200,Transactions!$E$2:$E$5001,2)-SUMIFS(Transactions!$H$2:$H$5001,Transactions!$C$2:$C$5001,$A200,Transactions!$E$2:$E$5001,2))</f>
      </c>
      <c r="F200" s="16">
        <f>IF($A200="","",SUMIFS(Transactions!$G$2:$G$5001,Transactions!$C$2:$C$5001,$A200,Transactions!$E$2:$E$5001,3)-SUMIFS(Transactions!$H$2:$H$5001,Transactions!$C$2:$C$5001,$A200,Transactions!$E$2:$E$5001,3))</f>
      </c>
      <c r="G200" s="16">
        <f>IF($A200="","",SUM($D200:$F200))</f>
      </c>
      <c r="H200" s="16">
        <f>IF($A200="","",VLOOKUP($A200,Items_Master!$A$2:$L$2001,6,FALSE))</f>
      </c>
      <c r="I200" s="38">
        <f>IF($A200="","",IF($G200&lt;=$H200,"LOW","OK"))</f>
      </c>
      <c r="J200" s="39">
        <f>IF($A200="","",VLOOKUP($A200,Items_Master!$A$2:$L$2001,4,FALSE))</f>
      </c>
      <c r="K200" s="39">
        <f>IF($A200="","",VLOOKUP($A200,Items_Master!$A$2:$L$2001,5,FALSE))</f>
      </c>
      <c r="L200" s="39">
        <f>IF($A200="","",$G200*$J200)</f>
      </c>
      <c r="M200" s="39">
        <f>IF($A200="","",$G200*$K200)</f>
      </c>
      <c r="N200" s="16">
        <f>IF($A200="","",COUNTIF(Transactions!$C$2:$C$5001,$A200))</f>
      </c>
    </row>
    <row x14ac:dyDescent="0.25" r="201" customHeight="1" ht="17.25">
      <c r="A201" s="12">
        <f>IF(ROW()-1&lt;=COUNTA(Items_Master!$A$2:$A$2001),INDEX(Items_Master!$A$2:$A$2001,ROW()-1),"")</f>
      </c>
      <c r="B201" s="12">
        <f>IF($A201="","",VLOOKUP($A201,Items_Master!$A$2:$L$2001,2,FALSE))</f>
      </c>
      <c r="C201" s="12">
        <f>IF($A201="","",VLOOKUP($A201,Items_Master!$A$2:$L$2001,3,FALSE))</f>
      </c>
      <c r="D201" s="13">
        <f>IF($A201="","",SUMIFS(Transactions!$G$2:$G$5001,Transactions!$C$2:$C$5001,$A201,Transactions!$E$2:$E$5001,1)-SUMIFS(Transactions!$H$2:$H$5001,Transactions!$C$2:$C$5001,$A201,Transactions!$E$2:$E$5001,1))</f>
      </c>
      <c r="E201" s="13">
        <f>IF($A201="","",SUMIFS(Transactions!$G$2:$G$5001,Transactions!$C$2:$C$5001,$A201,Transactions!$E$2:$E$5001,2)-SUMIFS(Transactions!$H$2:$H$5001,Transactions!$C$2:$C$5001,$A201,Transactions!$E$2:$E$5001,2))</f>
      </c>
      <c r="F201" s="13">
        <f>IF($A201="","",SUMIFS(Transactions!$G$2:$G$5001,Transactions!$C$2:$C$5001,$A201,Transactions!$E$2:$E$5001,3)-SUMIFS(Transactions!$H$2:$H$5001,Transactions!$C$2:$C$5001,$A201,Transactions!$E$2:$E$5001,3))</f>
      </c>
      <c r="G201" s="13">
        <f>IF($A201="","",SUM($D201:$F201))</f>
      </c>
      <c r="H201" s="13">
        <f>IF($A201="","",VLOOKUP($A201,Items_Master!$A$2:$L$2001,6,FALSE))</f>
      </c>
      <c r="I201" s="40">
        <f>IF($A201="","",IF($G201&lt;=$H201,"LOW","OK"))</f>
      </c>
      <c r="J201" s="41">
        <f>IF($A201="","",VLOOKUP($A201,Items_Master!$A$2:$L$2001,4,FALSE))</f>
      </c>
      <c r="K201" s="41">
        <f>IF($A201="","",VLOOKUP($A201,Items_Master!$A$2:$L$2001,5,FALSE))</f>
      </c>
      <c r="L201" s="41">
        <f>IF($A201="","",$G201*$J201)</f>
      </c>
      <c r="M201" s="41">
        <f>IF($A201="","",$G201*$K201)</f>
      </c>
      <c r="N201" s="13">
        <f>IF($A201="","",COUNTIF(Transactions!$C$2:$C$5001,$A201))</f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4"/>
  <sheetViews>
    <sheetView workbookViewId="0"/>
  </sheetViews>
  <sheetFormatPr defaultRowHeight="15" x14ac:dyDescent="0.25"/>
  <cols>
    <col min="1" max="1" style="21" width="18.005" customWidth="1" bestFit="1"/>
    <col min="2" max="2" style="21" width="30.005" customWidth="1" bestFit="1"/>
    <col min="3" max="3" style="21" width="16.005" customWidth="1" bestFit="1"/>
    <col min="4" max="4" style="21" width="18.005" customWidth="1" bestFit="1"/>
  </cols>
  <sheetData>
    <row x14ac:dyDescent="0.25" r="1" customHeight="1" ht="28">
      <c r="A1" s="31" t="s">
        <v>19</v>
      </c>
      <c r="B1" s="32" t="s">
        <v>20</v>
      </c>
      <c r="C1" s="2"/>
      <c r="D1" s="2"/>
    </row>
    <row x14ac:dyDescent="0.25" r="2" customHeight="1" ht="17.25">
      <c r="A2" s="2"/>
      <c r="B2" s="2"/>
      <c r="C2" s="2"/>
      <c r="D2" s="2"/>
    </row>
    <row x14ac:dyDescent="0.25" r="3" customHeight="1" ht="20">
      <c r="A3" s="31" t="s">
        <v>9</v>
      </c>
      <c r="B3" s="33">
        <f>IF($B$1="","",VLOOKUP($B$1,Items_Master!$A$2:$L$2001,2,FALSE))</f>
      </c>
      <c r="C3" s="34" t="s">
        <v>21</v>
      </c>
      <c r="D3" s="35">
        <f>IF($B$1="","",SUMIFS(Transactions!$G$2:$G$5001,Transactions!$C$2:$C$5001,$B$1,Transactions!$E$2:$E$5001,1)-SUMIFS(Transactions!$H$2:$H$5001,Transactions!$C$2:$C$5001,$B$1,Transactions!$E$2:$E$5001,1))</f>
      </c>
    </row>
    <row x14ac:dyDescent="0.25" r="4" customHeight="1" ht="20">
      <c r="A4" s="31" t="s">
        <v>22</v>
      </c>
      <c r="B4" s="33">
        <f>IF($B$1="","",VLOOKUP($B$1,Items_Master!$A$2:$L$2001,3,FALSE))</f>
      </c>
      <c r="C4" s="34" t="s">
        <v>23</v>
      </c>
      <c r="D4" s="35">
        <f>IF($B$1="","",SUMIFS(Transactions!$G$2:$G$5001,Transactions!$C$2:$C$5001,$B$1,Transactions!$E$2:$E$5001,2)-SUMIFS(Transactions!$H$2:$H$5001,Transactions!$C$2:$C$5001,$B$1,Transactions!$E$2:$E$5001,2))</f>
      </c>
    </row>
    <row x14ac:dyDescent="0.25" r="5" customHeight="1" ht="20">
      <c r="A5" s="31" t="s">
        <v>24</v>
      </c>
      <c r="B5" s="35">
        <f>IF($B$1="","",VLOOKUP($B$1,Items_Master!$A$2:$L$2001,6,FALSE))</f>
      </c>
      <c r="C5" s="34" t="s">
        <v>25</v>
      </c>
      <c r="D5" s="35">
        <f>IF($B$1="","",SUMIFS(Transactions!$G$2:$G$5001,Transactions!$C$2:$C$5001,$B$1,Transactions!$E$2:$E$5001,3)-SUMIFS(Transactions!$H$2:$H$5001,Transactions!$C$2:$C$5001,$B$1,Transactions!$E$2:$E$5001,3))</f>
      </c>
    </row>
    <row x14ac:dyDescent="0.25" r="6" customHeight="1" ht="20">
      <c r="A6" s="31" t="s">
        <v>26</v>
      </c>
      <c r="B6" s="35">
        <f>IF($B$1="","",VLOOKUP($B$1,Items_Master!$A$2:$L$2001,7,FALSE))</f>
      </c>
      <c r="C6" s="34" t="s">
        <v>27</v>
      </c>
      <c r="D6" s="35">
        <f>IF($B$1="","",SUM(D3:D5))</f>
      </c>
    </row>
    <row x14ac:dyDescent="0.25" r="7" customHeight="1" ht="20">
      <c r="A7" s="31" t="s">
        <v>28</v>
      </c>
      <c r="B7" s="33">
        <f>IF($B$1="","",VLOOKUP($B$1,Items_Master!$A$2:$L$2001,8,FALSE))</f>
      </c>
      <c r="C7" s="2"/>
      <c r="D7" s="2"/>
    </row>
    <row x14ac:dyDescent="0.25" r="8" customHeight="1" ht="20">
      <c r="A8" s="31" t="s">
        <v>29</v>
      </c>
      <c r="B8" s="36">
        <f>IF($B$1="","",VLOOKUP($B$1,Items_Master!$A$2:$L$2001,4,FALSE))</f>
      </c>
      <c r="C8" s="2"/>
      <c r="D8" s="2"/>
    </row>
    <row x14ac:dyDescent="0.25" r="9" customHeight="1" ht="20">
      <c r="A9" s="31" t="s">
        <v>30</v>
      </c>
      <c r="B9" s="36">
        <f>IF($B$1="","",VLOOKUP($B$1,Items_Master!$A$2:$L$2001,5,FALSE))</f>
      </c>
      <c r="C9" s="2"/>
      <c r="D9" s="2"/>
    </row>
    <row x14ac:dyDescent="0.25" r="10" customHeight="1" ht="17.25">
      <c r="A10" s="2"/>
      <c r="B10" s="2"/>
      <c r="C10" s="2"/>
      <c r="D10" s="2"/>
    </row>
    <row x14ac:dyDescent="0.25" r="11" customHeight="1" ht="17.25">
      <c r="A11" s="2"/>
      <c r="B11" s="2"/>
      <c r="C11" s="2"/>
      <c r="D11" s="2"/>
    </row>
    <row x14ac:dyDescent="0.25" r="12" customHeight="1" ht="22">
      <c r="A12" s="31" t="s">
        <v>31</v>
      </c>
      <c r="B12" s="37">
        <f>IF($B$1="","",IF($D$6&lt;=$B$5,"LOW - Reorder","OK"))</f>
      </c>
      <c r="C12" s="2"/>
      <c r="D12" s="2"/>
    </row>
    <row x14ac:dyDescent="0.25" r="13" customHeight="1" ht="17.25">
      <c r="A13" s="2"/>
      <c r="B13" s="2"/>
      <c r="C13" s="2"/>
      <c r="D13" s="2"/>
    </row>
    <row x14ac:dyDescent="0.25" r="14" customHeight="1" ht="17.25">
      <c r="A14" s="27" t="s">
        <v>32</v>
      </c>
      <c r="B14" s="2"/>
      <c r="C14" s="2"/>
      <c r="D14" s="2"/>
    </row>
  </sheetData>
  <mergeCells count="1">
    <mergeCell ref="A14:D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01"/>
  <sheetViews>
    <sheetView workbookViewId="0" tabSelected="1"/>
  </sheetViews>
  <sheetFormatPr defaultRowHeight="15" x14ac:dyDescent="0.25"/>
  <cols>
    <col min="1" max="1" style="29" width="14.005" customWidth="1" bestFit="1"/>
    <col min="2" max="2" style="30" width="14.005" customWidth="1" bestFit="1"/>
  </cols>
  <sheetData>
    <row x14ac:dyDescent="0.25" r="1" customHeight="1" ht="17.25" customFormat="1" s="8">
      <c r="A1" s="28" t="s">
        <v>8</v>
      </c>
      <c r="B1" s="28" t="s">
        <v>18</v>
      </c>
    </row>
    <row x14ac:dyDescent="0.25" r="2" customHeight="1" ht="17.25">
      <c r="A2" s="12">
        <f>IF(Inventory_Summary!$A2="","",Inventory_Summary!$A2)</f>
      </c>
      <c r="B2" s="13">
        <f>IF(Inventory_Summary!$A2="","",Inventory_Summary!$G2)</f>
      </c>
    </row>
    <row x14ac:dyDescent="0.25" r="3" customHeight="1" ht="17.25">
      <c r="A3" s="12">
        <f>IF(Inventory_Summary!$A3="","",Inventory_Summary!$A3)</f>
      </c>
      <c r="B3" s="13">
        <f>IF(Inventory_Summary!$A3="","",Inventory_Summary!$G3)</f>
      </c>
    </row>
    <row x14ac:dyDescent="0.25" r="4" customHeight="1" ht="17.25">
      <c r="A4" s="12">
        <f>IF(Inventory_Summary!$A4="","",Inventory_Summary!$A4)</f>
      </c>
      <c r="B4" s="13">
        <f>IF(Inventory_Summary!$A4="","",Inventory_Summary!$G4)</f>
      </c>
    </row>
    <row x14ac:dyDescent="0.25" r="5" customHeight="1" ht="17.25">
      <c r="A5" s="12">
        <f>IF(Inventory_Summary!$A5="","",Inventory_Summary!$A5)</f>
      </c>
      <c r="B5" s="13">
        <f>IF(Inventory_Summary!$A5="","",Inventory_Summary!$G5)</f>
      </c>
    </row>
    <row x14ac:dyDescent="0.25" r="6" customHeight="1" ht="17.25">
      <c r="A6" s="12">
        <f>IF(Inventory_Summary!$A6="","",Inventory_Summary!$A6)</f>
      </c>
      <c r="B6" s="13">
        <f>IF(Inventory_Summary!$A6="","",Inventory_Summary!$G6)</f>
      </c>
    </row>
    <row x14ac:dyDescent="0.25" r="7" customHeight="1" ht="17.25">
      <c r="A7" s="12">
        <f>IF(Inventory_Summary!$A7="","",Inventory_Summary!$A7)</f>
      </c>
      <c r="B7" s="13">
        <f>IF(Inventory_Summary!$A7="","",Inventory_Summary!$G7)</f>
      </c>
    </row>
    <row x14ac:dyDescent="0.25" r="8" customHeight="1" ht="17.25">
      <c r="A8" s="12">
        <f>IF(Inventory_Summary!$A8="","",Inventory_Summary!$A8)</f>
      </c>
      <c r="B8" s="13">
        <f>IF(Inventory_Summary!$A8="","",Inventory_Summary!$G8)</f>
      </c>
    </row>
    <row x14ac:dyDescent="0.25" r="9" customHeight="1" ht="17.25">
      <c r="A9" s="12">
        <f>IF(Inventory_Summary!$A9="","",Inventory_Summary!$A9)</f>
      </c>
      <c r="B9" s="13">
        <f>IF(Inventory_Summary!$A9="","",Inventory_Summary!$G9)</f>
      </c>
    </row>
    <row x14ac:dyDescent="0.25" r="10" customHeight="1" ht="17.25">
      <c r="A10" s="12">
        <f>IF(Inventory_Summary!$A10="","",Inventory_Summary!$A10)</f>
      </c>
      <c r="B10" s="13">
        <f>IF(Inventory_Summary!$A10="","",Inventory_Summary!$G10)</f>
      </c>
    </row>
    <row x14ac:dyDescent="0.25" r="11" customHeight="1" ht="17.25">
      <c r="A11" s="12">
        <f>IF(Inventory_Summary!$A11="","",Inventory_Summary!$A11)</f>
      </c>
      <c r="B11" s="13">
        <f>IF(Inventory_Summary!$A11="","",Inventory_Summary!$G11)</f>
      </c>
    </row>
    <row x14ac:dyDescent="0.25" r="12" customHeight="1" ht="17.25">
      <c r="A12" s="12">
        <f>IF(Inventory_Summary!$A12="","",Inventory_Summary!$A12)</f>
      </c>
      <c r="B12" s="13">
        <f>IF(Inventory_Summary!$A12="","",Inventory_Summary!$G12)</f>
      </c>
    </row>
    <row x14ac:dyDescent="0.25" r="13" customHeight="1" ht="17.25">
      <c r="A13" s="12">
        <f>IF(Inventory_Summary!$A13="","",Inventory_Summary!$A13)</f>
      </c>
      <c r="B13" s="13">
        <f>IF(Inventory_Summary!$A13="","",Inventory_Summary!$G13)</f>
      </c>
    </row>
    <row x14ac:dyDescent="0.25" r="14" customHeight="1" ht="17.25">
      <c r="A14" s="12">
        <f>IF(Inventory_Summary!$A14="","",Inventory_Summary!$A14)</f>
      </c>
      <c r="B14" s="13">
        <f>IF(Inventory_Summary!$A14="","",Inventory_Summary!$G14)</f>
      </c>
    </row>
    <row x14ac:dyDescent="0.25" r="15" customHeight="1" ht="17.25">
      <c r="A15" s="12">
        <f>IF(Inventory_Summary!$A15="","",Inventory_Summary!$A15)</f>
      </c>
      <c r="B15" s="13">
        <f>IF(Inventory_Summary!$A15="","",Inventory_Summary!$G15)</f>
      </c>
    </row>
    <row x14ac:dyDescent="0.25" r="16" customHeight="1" ht="17.25">
      <c r="A16" s="12">
        <f>IF(Inventory_Summary!$A16="","",Inventory_Summary!$A16)</f>
      </c>
      <c r="B16" s="13">
        <f>IF(Inventory_Summary!$A16="","",Inventory_Summary!$G16)</f>
      </c>
    </row>
    <row x14ac:dyDescent="0.25" r="17" customHeight="1" ht="17.25">
      <c r="A17" s="12">
        <f>IF(Inventory_Summary!$A17="","",Inventory_Summary!$A17)</f>
      </c>
      <c r="B17" s="13">
        <f>IF(Inventory_Summary!$A17="","",Inventory_Summary!$G17)</f>
      </c>
    </row>
    <row x14ac:dyDescent="0.25" r="18" customHeight="1" ht="17.25">
      <c r="A18" s="12">
        <f>IF(Inventory_Summary!$A18="","",Inventory_Summary!$A18)</f>
      </c>
      <c r="B18" s="13">
        <f>IF(Inventory_Summary!$A18="","",Inventory_Summary!$G18)</f>
      </c>
    </row>
    <row x14ac:dyDescent="0.25" r="19" customHeight="1" ht="17.25">
      <c r="A19" s="12">
        <f>IF(Inventory_Summary!$A19="","",Inventory_Summary!$A19)</f>
      </c>
      <c r="B19" s="13">
        <f>IF(Inventory_Summary!$A19="","",Inventory_Summary!$G19)</f>
      </c>
    </row>
    <row x14ac:dyDescent="0.25" r="20" customHeight="1" ht="17.25">
      <c r="A20" s="12">
        <f>IF(Inventory_Summary!$A20="","",Inventory_Summary!$A20)</f>
      </c>
      <c r="B20" s="13">
        <f>IF(Inventory_Summary!$A20="","",Inventory_Summary!$G20)</f>
      </c>
    </row>
    <row x14ac:dyDescent="0.25" r="21" customHeight="1" ht="17.25">
      <c r="A21" s="12">
        <f>IF(Inventory_Summary!$A21="","",Inventory_Summary!$A21)</f>
      </c>
      <c r="B21" s="13">
        <f>IF(Inventory_Summary!$A21="","",Inventory_Summary!$G21)</f>
      </c>
    </row>
    <row x14ac:dyDescent="0.25" r="22" customHeight="1" ht="17.25">
      <c r="A22" s="12">
        <f>IF(Inventory_Summary!$A22="","",Inventory_Summary!$A22)</f>
      </c>
      <c r="B22" s="13">
        <f>IF(Inventory_Summary!$A22="","",Inventory_Summary!$G22)</f>
      </c>
    </row>
    <row x14ac:dyDescent="0.25" r="23" customHeight="1" ht="17.25">
      <c r="A23" s="12">
        <f>IF(Inventory_Summary!$A23="","",Inventory_Summary!$A23)</f>
      </c>
      <c r="B23" s="13">
        <f>IF(Inventory_Summary!$A23="","",Inventory_Summary!$G23)</f>
      </c>
    </row>
    <row x14ac:dyDescent="0.25" r="24" customHeight="1" ht="17.25">
      <c r="A24" s="12">
        <f>IF(Inventory_Summary!$A24="","",Inventory_Summary!$A24)</f>
      </c>
      <c r="B24" s="13">
        <f>IF(Inventory_Summary!$A24="","",Inventory_Summary!$G24)</f>
      </c>
    </row>
    <row x14ac:dyDescent="0.25" r="25" customHeight="1" ht="17.25">
      <c r="A25" s="12">
        <f>IF(Inventory_Summary!$A25="","",Inventory_Summary!$A25)</f>
      </c>
      <c r="B25" s="13">
        <f>IF(Inventory_Summary!$A25="","",Inventory_Summary!$G25)</f>
      </c>
    </row>
    <row x14ac:dyDescent="0.25" r="26" customHeight="1" ht="17.25">
      <c r="A26" s="12">
        <f>IF(Inventory_Summary!$A26="","",Inventory_Summary!$A26)</f>
      </c>
      <c r="B26" s="13">
        <f>IF(Inventory_Summary!$A26="","",Inventory_Summary!$G26)</f>
      </c>
    </row>
    <row x14ac:dyDescent="0.25" r="27" customHeight="1" ht="17.25">
      <c r="A27" s="12">
        <f>IF(Inventory_Summary!$A27="","",Inventory_Summary!$A27)</f>
      </c>
      <c r="B27" s="13">
        <f>IF(Inventory_Summary!$A27="","",Inventory_Summary!$G27)</f>
      </c>
    </row>
    <row x14ac:dyDescent="0.25" r="28" customHeight="1" ht="17.25">
      <c r="A28" s="12">
        <f>IF(Inventory_Summary!$A28="","",Inventory_Summary!$A28)</f>
      </c>
      <c r="B28" s="13">
        <f>IF(Inventory_Summary!$A28="","",Inventory_Summary!$G28)</f>
      </c>
    </row>
    <row x14ac:dyDescent="0.25" r="29" customHeight="1" ht="17.25">
      <c r="A29" s="12">
        <f>IF(Inventory_Summary!$A29="","",Inventory_Summary!$A29)</f>
      </c>
      <c r="B29" s="13">
        <f>IF(Inventory_Summary!$A29="","",Inventory_Summary!$G29)</f>
      </c>
    </row>
    <row x14ac:dyDescent="0.25" r="30" customHeight="1" ht="17.25">
      <c r="A30" s="12">
        <f>IF(Inventory_Summary!$A30="","",Inventory_Summary!$A30)</f>
      </c>
      <c r="B30" s="13">
        <f>IF(Inventory_Summary!$A30="","",Inventory_Summary!$G30)</f>
      </c>
    </row>
    <row x14ac:dyDescent="0.25" r="31" customHeight="1" ht="17.25">
      <c r="A31" s="12">
        <f>IF(Inventory_Summary!$A31="","",Inventory_Summary!$A31)</f>
      </c>
      <c r="B31" s="13">
        <f>IF(Inventory_Summary!$A31="","",Inventory_Summary!$G31)</f>
      </c>
    </row>
    <row x14ac:dyDescent="0.25" r="32" customHeight="1" ht="17.25">
      <c r="A32" s="12">
        <f>IF(Inventory_Summary!$A32="","",Inventory_Summary!$A32)</f>
      </c>
      <c r="B32" s="13">
        <f>IF(Inventory_Summary!$A32="","",Inventory_Summary!$G32)</f>
      </c>
    </row>
    <row x14ac:dyDescent="0.25" r="33" customHeight="1" ht="17.25">
      <c r="A33" s="12">
        <f>IF(Inventory_Summary!$A33="","",Inventory_Summary!$A33)</f>
      </c>
      <c r="B33" s="13">
        <f>IF(Inventory_Summary!$A33="","",Inventory_Summary!$G33)</f>
      </c>
    </row>
    <row x14ac:dyDescent="0.25" r="34" customHeight="1" ht="17.25">
      <c r="A34" s="12">
        <f>IF(Inventory_Summary!$A34="","",Inventory_Summary!$A34)</f>
      </c>
      <c r="B34" s="13">
        <f>IF(Inventory_Summary!$A34="","",Inventory_Summary!$G34)</f>
      </c>
    </row>
    <row x14ac:dyDescent="0.25" r="35" customHeight="1" ht="17.25">
      <c r="A35" s="12">
        <f>IF(Inventory_Summary!$A35="","",Inventory_Summary!$A35)</f>
      </c>
      <c r="B35" s="13">
        <f>IF(Inventory_Summary!$A35="","",Inventory_Summary!$G35)</f>
      </c>
    </row>
    <row x14ac:dyDescent="0.25" r="36" customHeight="1" ht="17.25">
      <c r="A36" s="12">
        <f>IF(Inventory_Summary!$A36="","",Inventory_Summary!$A36)</f>
      </c>
      <c r="B36" s="13">
        <f>IF(Inventory_Summary!$A36="","",Inventory_Summary!$G36)</f>
      </c>
    </row>
    <row x14ac:dyDescent="0.25" r="37" customHeight="1" ht="17.25">
      <c r="A37" s="12">
        <f>IF(Inventory_Summary!$A37="","",Inventory_Summary!$A37)</f>
      </c>
      <c r="B37" s="13">
        <f>IF(Inventory_Summary!$A37="","",Inventory_Summary!$G37)</f>
      </c>
    </row>
    <row x14ac:dyDescent="0.25" r="38" customHeight="1" ht="17.25">
      <c r="A38" s="12">
        <f>IF(Inventory_Summary!$A38="","",Inventory_Summary!$A38)</f>
      </c>
      <c r="B38" s="13">
        <f>IF(Inventory_Summary!$A38="","",Inventory_Summary!$G38)</f>
      </c>
    </row>
    <row x14ac:dyDescent="0.25" r="39" customHeight="1" ht="17.25">
      <c r="A39" s="12">
        <f>IF(Inventory_Summary!$A39="","",Inventory_Summary!$A39)</f>
      </c>
      <c r="B39" s="13">
        <f>IF(Inventory_Summary!$A39="","",Inventory_Summary!$G39)</f>
      </c>
    </row>
    <row x14ac:dyDescent="0.25" r="40" customHeight="1" ht="17.25">
      <c r="A40" s="12">
        <f>IF(Inventory_Summary!$A40="","",Inventory_Summary!$A40)</f>
      </c>
      <c r="B40" s="13">
        <f>IF(Inventory_Summary!$A40="","",Inventory_Summary!$G40)</f>
      </c>
    </row>
    <row x14ac:dyDescent="0.25" r="41" customHeight="1" ht="17.25">
      <c r="A41" s="12">
        <f>IF(Inventory_Summary!$A41="","",Inventory_Summary!$A41)</f>
      </c>
      <c r="B41" s="13">
        <f>IF(Inventory_Summary!$A41="","",Inventory_Summary!$G41)</f>
      </c>
    </row>
    <row x14ac:dyDescent="0.25" r="42" customHeight="1" ht="17.25">
      <c r="A42" s="12">
        <f>IF(Inventory_Summary!$A42="","",Inventory_Summary!$A42)</f>
      </c>
      <c r="B42" s="13">
        <f>IF(Inventory_Summary!$A42="","",Inventory_Summary!$G42)</f>
      </c>
    </row>
    <row x14ac:dyDescent="0.25" r="43" customHeight="1" ht="17.25">
      <c r="A43" s="12">
        <f>IF(Inventory_Summary!$A43="","",Inventory_Summary!$A43)</f>
      </c>
      <c r="B43" s="13">
        <f>IF(Inventory_Summary!$A43="","",Inventory_Summary!$G43)</f>
      </c>
    </row>
    <row x14ac:dyDescent="0.25" r="44" customHeight="1" ht="17.25">
      <c r="A44" s="12">
        <f>IF(Inventory_Summary!$A44="","",Inventory_Summary!$A44)</f>
      </c>
      <c r="B44" s="13">
        <f>IF(Inventory_Summary!$A44="","",Inventory_Summary!$G44)</f>
      </c>
    </row>
    <row x14ac:dyDescent="0.25" r="45" customHeight="1" ht="17.25">
      <c r="A45" s="12">
        <f>IF(Inventory_Summary!$A45="","",Inventory_Summary!$A45)</f>
      </c>
      <c r="B45" s="13">
        <f>IF(Inventory_Summary!$A45="","",Inventory_Summary!$G45)</f>
      </c>
    </row>
    <row x14ac:dyDescent="0.25" r="46" customHeight="1" ht="17.25">
      <c r="A46" s="12">
        <f>IF(Inventory_Summary!$A46="","",Inventory_Summary!$A46)</f>
      </c>
      <c r="B46" s="13">
        <f>IF(Inventory_Summary!$A46="","",Inventory_Summary!$G46)</f>
      </c>
    </row>
    <row x14ac:dyDescent="0.25" r="47" customHeight="1" ht="17.25">
      <c r="A47" s="12">
        <f>IF(Inventory_Summary!$A47="","",Inventory_Summary!$A47)</f>
      </c>
      <c r="B47" s="13">
        <f>IF(Inventory_Summary!$A47="","",Inventory_Summary!$G47)</f>
      </c>
    </row>
    <row x14ac:dyDescent="0.25" r="48" customHeight="1" ht="17.25">
      <c r="A48" s="12">
        <f>IF(Inventory_Summary!$A48="","",Inventory_Summary!$A48)</f>
      </c>
      <c r="B48" s="13">
        <f>IF(Inventory_Summary!$A48="","",Inventory_Summary!$G48)</f>
      </c>
    </row>
    <row x14ac:dyDescent="0.25" r="49" customHeight="1" ht="17.25">
      <c r="A49" s="12">
        <f>IF(Inventory_Summary!$A49="","",Inventory_Summary!$A49)</f>
      </c>
      <c r="B49" s="13">
        <f>IF(Inventory_Summary!$A49="","",Inventory_Summary!$G49)</f>
      </c>
    </row>
    <row x14ac:dyDescent="0.25" r="50" customHeight="1" ht="17.25">
      <c r="A50" s="12">
        <f>IF(Inventory_Summary!$A50="","",Inventory_Summary!$A50)</f>
      </c>
      <c r="B50" s="13">
        <f>IF(Inventory_Summary!$A50="","",Inventory_Summary!$G50)</f>
      </c>
    </row>
    <row x14ac:dyDescent="0.25" r="51" customHeight="1" ht="17.25">
      <c r="A51" s="12">
        <f>IF(Inventory_Summary!$A51="","",Inventory_Summary!$A51)</f>
      </c>
      <c r="B51" s="13">
        <f>IF(Inventory_Summary!$A51="","",Inventory_Summary!$G51)</f>
      </c>
    </row>
    <row x14ac:dyDescent="0.25" r="52" customHeight="1" ht="17.25">
      <c r="A52" s="12">
        <f>IF(Inventory_Summary!$A52="","",Inventory_Summary!$A52)</f>
      </c>
      <c r="B52" s="13">
        <f>IF(Inventory_Summary!$A52="","",Inventory_Summary!$G52)</f>
      </c>
    </row>
    <row x14ac:dyDescent="0.25" r="53" customHeight="1" ht="17.25">
      <c r="A53" s="12">
        <f>IF(Inventory_Summary!$A53="","",Inventory_Summary!$A53)</f>
      </c>
      <c r="B53" s="13">
        <f>IF(Inventory_Summary!$A53="","",Inventory_Summary!$G53)</f>
      </c>
    </row>
    <row x14ac:dyDescent="0.25" r="54" customHeight="1" ht="17.25">
      <c r="A54" s="12">
        <f>IF(Inventory_Summary!$A54="","",Inventory_Summary!$A54)</f>
      </c>
      <c r="B54" s="13">
        <f>IF(Inventory_Summary!$A54="","",Inventory_Summary!$G54)</f>
      </c>
    </row>
    <row x14ac:dyDescent="0.25" r="55" customHeight="1" ht="17.25">
      <c r="A55" s="12">
        <f>IF(Inventory_Summary!$A55="","",Inventory_Summary!$A55)</f>
      </c>
      <c r="B55" s="13">
        <f>IF(Inventory_Summary!$A55="","",Inventory_Summary!$G55)</f>
      </c>
    </row>
    <row x14ac:dyDescent="0.25" r="56" customHeight="1" ht="17.25">
      <c r="A56" s="12">
        <f>IF(Inventory_Summary!$A56="","",Inventory_Summary!$A56)</f>
      </c>
      <c r="B56" s="13">
        <f>IF(Inventory_Summary!$A56="","",Inventory_Summary!$G56)</f>
      </c>
    </row>
    <row x14ac:dyDescent="0.25" r="57" customHeight="1" ht="17.25">
      <c r="A57" s="12">
        <f>IF(Inventory_Summary!$A57="","",Inventory_Summary!$A57)</f>
      </c>
      <c r="B57" s="13">
        <f>IF(Inventory_Summary!$A57="","",Inventory_Summary!$G57)</f>
      </c>
    </row>
    <row x14ac:dyDescent="0.25" r="58" customHeight="1" ht="17.25">
      <c r="A58" s="12">
        <f>IF(Inventory_Summary!$A58="","",Inventory_Summary!$A58)</f>
      </c>
      <c r="B58" s="13">
        <f>IF(Inventory_Summary!$A58="","",Inventory_Summary!$G58)</f>
      </c>
    </row>
    <row x14ac:dyDescent="0.25" r="59" customHeight="1" ht="17.25">
      <c r="A59" s="12">
        <f>IF(Inventory_Summary!$A59="","",Inventory_Summary!$A59)</f>
      </c>
      <c r="B59" s="13">
        <f>IF(Inventory_Summary!$A59="","",Inventory_Summary!$G59)</f>
      </c>
    </row>
    <row x14ac:dyDescent="0.25" r="60" customHeight="1" ht="17.25">
      <c r="A60" s="12">
        <f>IF(Inventory_Summary!$A60="","",Inventory_Summary!$A60)</f>
      </c>
      <c r="B60" s="13">
        <f>IF(Inventory_Summary!$A60="","",Inventory_Summary!$G60)</f>
      </c>
    </row>
    <row x14ac:dyDescent="0.25" r="61" customHeight="1" ht="17.25">
      <c r="A61" s="12">
        <f>IF(Inventory_Summary!$A61="","",Inventory_Summary!$A61)</f>
      </c>
      <c r="B61" s="13">
        <f>IF(Inventory_Summary!$A61="","",Inventory_Summary!$G61)</f>
      </c>
    </row>
    <row x14ac:dyDescent="0.25" r="62" customHeight="1" ht="17.25">
      <c r="A62" s="12">
        <f>IF(Inventory_Summary!$A62="","",Inventory_Summary!$A62)</f>
      </c>
      <c r="B62" s="13">
        <f>IF(Inventory_Summary!$A62="","",Inventory_Summary!$G62)</f>
      </c>
    </row>
    <row x14ac:dyDescent="0.25" r="63" customHeight="1" ht="17.25">
      <c r="A63" s="12">
        <f>IF(Inventory_Summary!$A63="","",Inventory_Summary!$A63)</f>
      </c>
      <c r="B63" s="13">
        <f>IF(Inventory_Summary!$A63="","",Inventory_Summary!$G63)</f>
      </c>
    </row>
    <row x14ac:dyDescent="0.25" r="64" customHeight="1" ht="17.25">
      <c r="A64" s="12">
        <f>IF(Inventory_Summary!$A64="","",Inventory_Summary!$A64)</f>
      </c>
      <c r="B64" s="13">
        <f>IF(Inventory_Summary!$A64="","",Inventory_Summary!$G64)</f>
      </c>
    </row>
    <row x14ac:dyDescent="0.25" r="65" customHeight="1" ht="17.25">
      <c r="A65" s="12">
        <f>IF(Inventory_Summary!$A65="","",Inventory_Summary!$A65)</f>
      </c>
      <c r="B65" s="13">
        <f>IF(Inventory_Summary!$A65="","",Inventory_Summary!$G65)</f>
      </c>
    </row>
    <row x14ac:dyDescent="0.25" r="66" customHeight="1" ht="17.25">
      <c r="A66" s="12">
        <f>IF(Inventory_Summary!$A66="","",Inventory_Summary!$A66)</f>
      </c>
      <c r="B66" s="13">
        <f>IF(Inventory_Summary!$A66="","",Inventory_Summary!$G66)</f>
      </c>
    </row>
    <row x14ac:dyDescent="0.25" r="67" customHeight="1" ht="17.25">
      <c r="A67" s="12">
        <f>IF(Inventory_Summary!$A67="","",Inventory_Summary!$A67)</f>
      </c>
      <c r="B67" s="13">
        <f>IF(Inventory_Summary!$A67="","",Inventory_Summary!$G67)</f>
      </c>
    </row>
    <row x14ac:dyDescent="0.25" r="68" customHeight="1" ht="17.25">
      <c r="A68" s="12">
        <f>IF(Inventory_Summary!$A68="","",Inventory_Summary!$A68)</f>
      </c>
      <c r="B68" s="13">
        <f>IF(Inventory_Summary!$A68="","",Inventory_Summary!$G68)</f>
      </c>
    </row>
    <row x14ac:dyDescent="0.25" r="69" customHeight="1" ht="17.25">
      <c r="A69" s="12">
        <f>IF(Inventory_Summary!$A69="","",Inventory_Summary!$A69)</f>
      </c>
      <c r="B69" s="13">
        <f>IF(Inventory_Summary!$A69="","",Inventory_Summary!$G69)</f>
      </c>
    </row>
    <row x14ac:dyDescent="0.25" r="70" customHeight="1" ht="17.25">
      <c r="A70" s="12">
        <f>IF(Inventory_Summary!$A70="","",Inventory_Summary!$A70)</f>
      </c>
      <c r="B70" s="13">
        <f>IF(Inventory_Summary!$A70="","",Inventory_Summary!$G70)</f>
      </c>
    </row>
    <row x14ac:dyDescent="0.25" r="71" customHeight="1" ht="17.25">
      <c r="A71" s="12">
        <f>IF(Inventory_Summary!$A71="","",Inventory_Summary!$A71)</f>
      </c>
      <c r="B71" s="13">
        <f>IF(Inventory_Summary!$A71="","",Inventory_Summary!$G71)</f>
      </c>
    </row>
    <row x14ac:dyDescent="0.25" r="72" customHeight="1" ht="17.25">
      <c r="A72" s="12">
        <f>IF(Inventory_Summary!$A72="","",Inventory_Summary!$A72)</f>
      </c>
      <c r="B72" s="13">
        <f>IF(Inventory_Summary!$A72="","",Inventory_Summary!$G72)</f>
      </c>
    </row>
    <row x14ac:dyDescent="0.25" r="73" customHeight="1" ht="17.25">
      <c r="A73" s="12">
        <f>IF(Inventory_Summary!$A73="","",Inventory_Summary!$A73)</f>
      </c>
      <c r="B73" s="13">
        <f>IF(Inventory_Summary!$A73="","",Inventory_Summary!$G73)</f>
      </c>
    </row>
    <row x14ac:dyDescent="0.25" r="74" customHeight="1" ht="17.25">
      <c r="A74" s="12">
        <f>IF(Inventory_Summary!$A74="","",Inventory_Summary!$A74)</f>
      </c>
      <c r="B74" s="13">
        <f>IF(Inventory_Summary!$A74="","",Inventory_Summary!$G74)</f>
      </c>
    </row>
    <row x14ac:dyDescent="0.25" r="75" customHeight="1" ht="17.25">
      <c r="A75" s="12">
        <f>IF(Inventory_Summary!$A75="","",Inventory_Summary!$A75)</f>
      </c>
      <c r="B75" s="13">
        <f>IF(Inventory_Summary!$A75="","",Inventory_Summary!$G75)</f>
      </c>
    </row>
    <row x14ac:dyDescent="0.25" r="76" customHeight="1" ht="17.25">
      <c r="A76" s="12">
        <f>IF(Inventory_Summary!$A76="","",Inventory_Summary!$A76)</f>
      </c>
      <c r="B76" s="13">
        <f>IF(Inventory_Summary!$A76="","",Inventory_Summary!$G76)</f>
      </c>
    </row>
    <row x14ac:dyDescent="0.25" r="77" customHeight="1" ht="17.25">
      <c r="A77" s="12">
        <f>IF(Inventory_Summary!$A77="","",Inventory_Summary!$A77)</f>
      </c>
      <c r="B77" s="13">
        <f>IF(Inventory_Summary!$A77="","",Inventory_Summary!$G77)</f>
      </c>
    </row>
    <row x14ac:dyDescent="0.25" r="78" customHeight="1" ht="17.25">
      <c r="A78" s="12">
        <f>IF(Inventory_Summary!$A78="","",Inventory_Summary!$A78)</f>
      </c>
      <c r="B78" s="13">
        <f>IF(Inventory_Summary!$A78="","",Inventory_Summary!$G78)</f>
      </c>
    </row>
    <row x14ac:dyDescent="0.25" r="79" customHeight="1" ht="17.25">
      <c r="A79" s="12">
        <f>IF(Inventory_Summary!$A79="","",Inventory_Summary!$A79)</f>
      </c>
      <c r="B79" s="13">
        <f>IF(Inventory_Summary!$A79="","",Inventory_Summary!$G79)</f>
      </c>
    </row>
    <row x14ac:dyDescent="0.25" r="80" customHeight="1" ht="17.25">
      <c r="A80" s="12">
        <f>IF(Inventory_Summary!$A80="","",Inventory_Summary!$A80)</f>
      </c>
      <c r="B80" s="13">
        <f>IF(Inventory_Summary!$A80="","",Inventory_Summary!$G80)</f>
      </c>
    </row>
    <row x14ac:dyDescent="0.25" r="81" customHeight="1" ht="17.25">
      <c r="A81" s="12">
        <f>IF(Inventory_Summary!$A81="","",Inventory_Summary!$A81)</f>
      </c>
      <c r="B81" s="13">
        <f>IF(Inventory_Summary!$A81="","",Inventory_Summary!$G81)</f>
      </c>
    </row>
    <row x14ac:dyDescent="0.25" r="82" customHeight="1" ht="17.25">
      <c r="A82" s="12">
        <f>IF(Inventory_Summary!$A82="","",Inventory_Summary!$A82)</f>
      </c>
      <c r="B82" s="13">
        <f>IF(Inventory_Summary!$A82="","",Inventory_Summary!$G82)</f>
      </c>
    </row>
    <row x14ac:dyDescent="0.25" r="83" customHeight="1" ht="17.25">
      <c r="A83" s="12">
        <f>IF(Inventory_Summary!$A83="","",Inventory_Summary!$A83)</f>
      </c>
      <c r="B83" s="13">
        <f>IF(Inventory_Summary!$A83="","",Inventory_Summary!$G83)</f>
      </c>
    </row>
    <row x14ac:dyDescent="0.25" r="84" customHeight="1" ht="17.25">
      <c r="A84" s="12">
        <f>IF(Inventory_Summary!$A84="","",Inventory_Summary!$A84)</f>
      </c>
      <c r="B84" s="13">
        <f>IF(Inventory_Summary!$A84="","",Inventory_Summary!$G84)</f>
      </c>
    </row>
    <row x14ac:dyDescent="0.25" r="85" customHeight="1" ht="17.25">
      <c r="A85" s="12">
        <f>IF(Inventory_Summary!$A85="","",Inventory_Summary!$A85)</f>
      </c>
      <c r="B85" s="13">
        <f>IF(Inventory_Summary!$A85="","",Inventory_Summary!$G85)</f>
      </c>
    </row>
    <row x14ac:dyDescent="0.25" r="86" customHeight="1" ht="17.25">
      <c r="A86" s="12">
        <f>IF(Inventory_Summary!$A86="","",Inventory_Summary!$A86)</f>
      </c>
      <c r="B86" s="13">
        <f>IF(Inventory_Summary!$A86="","",Inventory_Summary!$G86)</f>
      </c>
    </row>
    <row x14ac:dyDescent="0.25" r="87" customHeight="1" ht="17.25">
      <c r="A87" s="12">
        <f>IF(Inventory_Summary!$A87="","",Inventory_Summary!$A87)</f>
      </c>
      <c r="B87" s="13">
        <f>IF(Inventory_Summary!$A87="","",Inventory_Summary!$G87)</f>
      </c>
    </row>
    <row x14ac:dyDescent="0.25" r="88" customHeight="1" ht="17.25">
      <c r="A88" s="12">
        <f>IF(Inventory_Summary!$A88="","",Inventory_Summary!$A88)</f>
      </c>
      <c r="B88" s="13">
        <f>IF(Inventory_Summary!$A88="","",Inventory_Summary!$G88)</f>
      </c>
    </row>
    <row x14ac:dyDescent="0.25" r="89" customHeight="1" ht="17.25">
      <c r="A89" s="12">
        <f>IF(Inventory_Summary!$A89="","",Inventory_Summary!$A89)</f>
      </c>
      <c r="B89" s="13">
        <f>IF(Inventory_Summary!$A89="","",Inventory_Summary!$G89)</f>
      </c>
    </row>
    <row x14ac:dyDescent="0.25" r="90" customHeight="1" ht="17.25">
      <c r="A90" s="12">
        <f>IF(Inventory_Summary!$A90="","",Inventory_Summary!$A90)</f>
      </c>
      <c r="B90" s="13">
        <f>IF(Inventory_Summary!$A90="","",Inventory_Summary!$G90)</f>
      </c>
    </row>
    <row x14ac:dyDescent="0.25" r="91" customHeight="1" ht="17.25">
      <c r="A91" s="12">
        <f>IF(Inventory_Summary!$A91="","",Inventory_Summary!$A91)</f>
      </c>
      <c r="B91" s="13">
        <f>IF(Inventory_Summary!$A91="","",Inventory_Summary!$G91)</f>
      </c>
    </row>
    <row x14ac:dyDescent="0.25" r="92" customHeight="1" ht="17.25">
      <c r="A92" s="12">
        <f>IF(Inventory_Summary!$A92="","",Inventory_Summary!$A92)</f>
      </c>
      <c r="B92" s="13">
        <f>IF(Inventory_Summary!$A92="","",Inventory_Summary!$G92)</f>
      </c>
    </row>
    <row x14ac:dyDescent="0.25" r="93" customHeight="1" ht="17.25">
      <c r="A93" s="12">
        <f>IF(Inventory_Summary!$A93="","",Inventory_Summary!$A93)</f>
      </c>
      <c r="B93" s="13">
        <f>IF(Inventory_Summary!$A93="","",Inventory_Summary!$G93)</f>
      </c>
    </row>
    <row x14ac:dyDescent="0.25" r="94" customHeight="1" ht="17.25">
      <c r="A94" s="12">
        <f>IF(Inventory_Summary!$A94="","",Inventory_Summary!$A94)</f>
      </c>
      <c r="B94" s="13">
        <f>IF(Inventory_Summary!$A94="","",Inventory_Summary!$G94)</f>
      </c>
    </row>
    <row x14ac:dyDescent="0.25" r="95" customHeight="1" ht="17.25">
      <c r="A95" s="12">
        <f>IF(Inventory_Summary!$A95="","",Inventory_Summary!$A95)</f>
      </c>
      <c r="B95" s="13">
        <f>IF(Inventory_Summary!$A95="","",Inventory_Summary!$G95)</f>
      </c>
    </row>
    <row x14ac:dyDescent="0.25" r="96" customHeight="1" ht="17.25">
      <c r="A96" s="12">
        <f>IF(Inventory_Summary!$A96="","",Inventory_Summary!$A96)</f>
      </c>
      <c r="B96" s="13">
        <f>IF(Inventory_Summary!$A96="","",Inventory_Summary!$G96)</f>
      </c>
    </row>
    <row x14ac:dyDescent="0.25" r="97" customHeight="1" ht="17.25">
      <c r="A97" s="12">
        <f>IF(Inventory_Summary!$A97="","",Inventory_Summary!$A97)</f>
      </c>
      <c r="B97" s="13">
        <f>IF(Inventory_Summary!$A97="","",Inventory_Summary!$G97)</f>
      </c>
    </row>
    <row x14ac:dyDescent="0.25" r="98" customHeight="1" ht="17.25">
      <c r="A98" s="12">
        <f>IF(Inventory_Summary!$A98="","",Inventory_Summary!$A98)</f>
      </c>
      <c r="B98" s="13">
        <f>IF(Inventory_Summary!$A98="","",Inventory_Summary!$G98)</f>
      </c>
    </row>
    <row x14ac:dyDescent="0.25" r="99" customHeight="1" ht="17.25">
      <c r="A99" s="12">
        <f>IF(Inventory_Summary!$A99="","",Inventory_Summary!$A99)</f>
      </c>
      <c r="B99" s="13">
        <f>IF(Inventory_Summary!$A99="","",Inventory_Summary!$G99)</f>
      </c>
    </row>
    <row x14ac:dyDescent="0.25" r="100" customHeight="1" ht="17.25">
      <c r="A100" s="12">
        <f>IF(Inventory_Summary!$A100="","",Inventory_Summary!$A100)</f>
      </c>
      <c r="B100" s="13">
        <f>IF(Inventory_Summary!$A100="","",Inventory_Summary!$G100)</f>
      </c>
    </row>
    <row x14ac:dyDescent="0.25" r="101" customHeight="1" ht="17.25">
      <c r="A101" s="12">
        <f>IF(Inventory_Summary!$A101="","",Inventory_Summary!$A101)</f>
      </c>
      <c r="B101" s="13">
        <f>IF(Inventory_Summary!$A101="","",Inventory_Summary!$G101)</f>
      </c>
    </row>
    <row x14ac:dyDescent="0.25" r="102" customHeight="1" ht="17.25">
      <c r="A102" s="12">
        <f>IF(Inventory_Summary!$A102="","",Inventory_Summary!$A102)</f>
      </c>
      <c r="B102" s="13">
        <f>IF(Inventory_Summary!$A102="","",Inventory_Summary!$G102)</f>
      </c>
    </row>
    <row x14ac:dyDescent="0.25" r="103" customHeight="1" ht="17.25">
      <c r="A103" s="12">
        <f>IF(Inventory_Summary!$A103="","",Inventory_Summary!$A103)</f>
      </c>
      <c r="B103" s="13">
        <f>IF(Inventory_Summary!$A103="","",Inventory_Summary!$G103)</f>
      </c>
    </row>
    <row x14ac:dyDescent="0.25" r="104" customHeight="1" ht="17.25">
      <c r="A104" s="12">
        <f>IF(Inventory_Summary!$A104="","",Inventory_Summary!$A104)</f>
      </c>
      <c r="B104" s="13">
        <f>IF(Inventory_Summary!$A104="","",Inventory_Summary!$G104)</f>
      </c>
    </row>
    <row x14ac:dyDescent="0.25" r="105" customHeight="1" ht="17.25">
      <c r="A105" s="12">
        <f>IF(Inventory_Summary!$A105="","",Inventory_Summary!$A105)</f>
      </c>
      <c r="B105" s="13">
        <f>IF(Inventory_Summary!$A105="","",Inventory_Summary!$G105)</f>
      </c>
    </row>
    <row x14ac:dyDescent="0.25" r="106" customHeight="1" ht="17.25">
      <c r="A106" s="12">
        <f>IF(Inventory_Summary!$A106="","",Inventory_Summary!$A106)</f>
      </c>
      <c r="B106" s="13">
        <f>IF(Inventory_Summary!$A106="","",Inventory_Summary!$G106)</f>
      </c>
    </row>
    <row x14ac:dyDescent="0.25" r="107" customHeight="1" ht="17.25">
      <c r="A107" s="12">
        <f>IF(Inventory_Summary!$A107="","",Inventory_Summary!$A107)</f>
      </c>
      <c r="B107" s="13">
        <f>IF(Inventory_Summary!$A107="","",Inventory_Summary!$G107)</f>
      </c>
    </row>
    <row x14ac:dyDescent="0.25" r="108" customHeight="1" ht="17.25">
      <c r="A108" s="12">
        <f>IF(Inventory_Summary!$A108="","",Inventory_Summary!$A108)</f>
      </c>
      <c r="B108" s="13">
        <f>IF(Inventory_Summary!$A108="","",Inventory_Summary!$G108)</f>
      </c>
    </row>
    <row x14ac:dyDescent="0.25" r="109" customHeight="1" ht="17.25">
      <c r="A109" s="12">
        <f>IF(Inventory_Summary!$A109="","",Inventory_Summary!$A109)</f>
      </c>
      <c r="B109" s="13">
        <f>IF(Inventory_Summary!$A109="","",Inventory_Summary!$G109)</f>
      </c>
    </row>
    <row x14ac:dyDescent="0.25" r="110" customHeight="1" ht="17.25">
      <c r="A110" s="12">
        <f>IF(Inventory_Summary!$A110="","",Inventory_Summary!$A110)</f>
      </c>
      <c r="B110" s="13">
        <f>IF(Inventory_Summary!$A110="","",Inventory_Summary!$G110)</f>
      </c>
    </row>
    <row x14ac:dyDescent="0.25" r="111" customHeight="1" ht="17.25">
      <c r="A111" s="12">
        <f>IF(Inventory_Summary!$A111="","",Inventory_Summary!$A111)</f>
      </c>
      <c r="B111" s="13">
        <f>IF(Inventory_Summary!$A111="","",Inventory_Summary!$G111)</f>
      </c>
    </row>
    <row x14ac:dyDescent="0.25" r="112" customHeight="1" ht="17.25">
      <c r="A112" s="12">
        <f>IF(Inventory_Summary!$A112="","",Inventory_Summary!$A112)</f>
      </c>
      <c r="B112" s="13">
        <f>IF(Inventory_Summary!$A112="","",Inventory_Summary!$G112)</f>
      </c>
    </row>
    <row x14ac:dyDescent="0.25" r="113" customHeight="1" ht="17.25">
      <c r="A113" s="12">
        <f>IF(Inventory_Summary!$A113="","",Inventory_Summary!$A113)</f>
      </c>
      <c r="B113" s="13">
        <f>IF(Inventory_Summary!$A113="","",Inventory_Summary!$G113)</f>
      </c>
    </row>
    <row x14ac:dyDescent="0.25" r="114" customHeight="1" ht="17.25">
      <c r="A114" s="12">
        <f>IF(Inventory_Summary!$A114="","",Inventory_Summary!$A114)</f>
      </c>
      <c r="B114" s="13">
        <f>IF(Inventory_Summary!$A114="","",Inventory_Summary!$G114)</f>
      </c>
    </row>
    <row x14ac:dyDescent="0.25" r="115" customHeight="1" ht="17.25">
      <c r="A115" s="12">
        <f>IF(Inventory_Summary!$A115="","",Inventory_Summary!$A115)</f>
      </c>
      <c r="B115" s="13">
        <f>IF(Inventory_Summary!$A115="","",Inventory_Summary!$G115)</f>
      </c>
    </row>
    <row x14ac:dyDescent="0.25" r="116" customHeight="1" ht="17.25">
      <c r="A116" s="12">
        <f>IF(Inventory_Summary!$A116="","",Inventory_Summary!$A116)</f>
      </c>
      <c r="B116" s="13">
        <f>IF(Inventory_Summary!$A116="","",Inventory_Summary!$G116)</f>
      </c>
    </row>
    <row x14ac:dyDescent="0.25" r="117" customHeight="1" ht="17.25">
      <c r="A117" s="12">
        <f>IF(Inventory_Summary!$A117="","",Inventory_Summary!$A117)</f>
      </c>
      <c r="B117" s="13">
        <f>IF(Inventory_Summary!$A117="","",Inventory_Summary!$G117)</f>
      </c>
    </row>
    <row x14ac:dyDescent="0.25" r="118" customHeight="1" ht="17.25">
      <c r="A118" s="12">
        <f>IF(Inventory_Summary!$A118="","",Inventory_Summary!$A118)</f>
      </c>
      <c r="B118" s="13">
        <f>IF(Inventory_Summary!$A118="","",Inventory_Summary!$G118)</f>
      </c>
    </row>
    <row x14ac:dyDescent="0.25" r="119" customHeight="1" ht="17.25">
      <c r="A119" s="12">
        <f>IF(Inventory_Summary!$A119="","",Inventory_Summary!$A119)</f>
      </c>
      <c r="B119" s="13">
        <f>IF(Inventory_Summary!$A119="","",Inventory_Summary!$G119)</f>
      </c>
    </row>
    <row x14ac:dyDescent="0.25" r="120" customHeight="1" ht="17.25">
      <c r="A120" s="12">
        <f>IF(Inventory_Summary!$A120="","",Inventory_Summary!$A120)</f>
      </c>
      <c r="B120" s="13">
        <f>IF(Inventory_Summary!$A120="","",Inventory_Summary!$G120)</f>
      </c>
    </row>
    <row x14ac:dyDescent="0.25" r="121" customHeight="1" ht="17.25">
      <c r="A121" s="12">
        <f>IF(Inventory_Summary!$A121="","",Inventory_Summary!$A121)</f>
      </c>
      <c r="B121" s="13">
        <f>IF(Inventory_Summary!$A121="","",Inventory_Summary!$G121)</f>
      </c>
    </row>
    <row x14ac:dyDescent="0.25" r="122" customHeight="1" ht="17.25">
      <c r="A122" s="12">
        <f>IF(Inventory_Summary!$A122="","",Inventory_Summary!$A122)</f>
      </c>
      <c r="B122" s="13">
        <f>IF(Inventory_Summary!$A122="","",Inventory_Summary!$G122)</f>
      </c>
    </row>
    <row x14ac:dyDescent="0.25" r="123" customHeight="1" ht="17.25">
      <c r="A123" s="12">
        <f>IF(Inventory_Summary!$A123="","",Inventory_Summary!$A123)</f>
      </c>
      <c r="B123" s="13">
        <f>IF(Inventory_Summary!$A123="","",Inventory_Summary!$G123)</f>
      </c>
    </row>
    <row x14ac:dyDescent="0.25" r="124" customHeight="1" ht="17.25">
      <c r="A124" s="12">
        <f>IF(Inventory_Summary!$A124="","",Inventory_Summary!$A124)</f>
      </c>
      <c r="B124" s="13">
        <f>IF(Inventory_Summary!$A124="","",Inventory_Summary!$G124)</f>
      </c>
    </row>
    <row x14ac:dyDescent="0.25" r="125" customHeight="1" ht="17.25">
      <c r="A125" s="12">
        <f>IF(Inventory_Summary!$A125="","",Inventory_Summary!$A125)</f>
      </c>
      <c r="B125" s="13">
        <f>IF(Inventory_Summary!$A125="","",Inventory_Summary!$G125)</f>
      </c>
    </row>
    <row x14ac:dyDescent="0.25" r="126" customHeight="1" ht="17.25">
      <c r="A126" s="12">
        <f>IF(Inventory_Summary!$A126="","",Inventory_Summary!$A126)</f>
      </c>
      <c r="B126" s="13">
        <f>IF(Inventory_Summary!$A126="","",Inventory_Summary!$G126)</f>
      </c>
    </row>
    <row x14ac:dyDescent="0.25" r="127" customHeight="1" ht="17.25">
      <c r="A127" s="12">
        <f>IF(Inventory_Summary!$A127="","",Inventory_Summary!$A127)</f>
      </c>
      <c r="B127" s="13">
        <f>IF(Inventory_Summary!$A127="","",Inventory_Summary!$G127)</f>
      </c>
    </row>
    <row x14ac:dyDescent="0.25" r="128" customHeight="1" ht="17.25">
      <c r="A128" s="12">
        <f>IF(Inventory_Summary!$A128="","",Inventory_Summary!$A128)</f>
      </c>
      <c r="B128" s="13">
        <f>IF(Inventory_Summary!$A128="","",Inventory_Summary!$G128)</f>
      </c>
    </row>
    <row x14ac:dyDescent="0.25" r="129" customHeight="1" ht="17.25">
      <c r="A129" s="12">
        <f>IF(Inventory_Summary!$A129="","",Inventory_Summary!$A129)</f>
      </c>
      <c r="B129" s="13">
        <f>IF(Inventory_Summary!$A129="","",Inventory_Summary!$G129)</f>
      </c>
    </row>
    <row x14ac:dyDescent="0.25" r="130" customHeight="1" ht="17.25">
      <c r="A130" s="12">
        <f>IF(Inventory_Summary!$A130="","",Inventory_Summary!$A130)</f>
      </c>
      <c r="B130" s="13">
        <f>IF(Inventory_Summary!$A130="","",Inventory_Summary!$G130)</f>
      </c>
    </row>
    <row x14ac:dyDescent="0.25" r="131" customHeight="1" ht="17.25">
      <c r="A131" s="12">
        <f>IF(Inventory_Summary!$A131="","",Inventory_Summary!$A131)</f>
      </c>
      <c r="B131" s="13">
        <f>IF(Inventory_Summary!$A131="","",Inventory_Summary!$G131)</f>
      </c>
    </row>
    <row x14ac:dyDescent="0.25" r="132" customHeight="1" ht="17.25">
      <c r="A132" s="12">
        <f>IF(Inventory_Summary!$A132="","",Inventory_Summary!$A132)</f>
      </c>
      <c r="B132" s="13">
        <f>IF(Inventory_Summary!$A132="","",Inventory_Summary!$G132)</f>
      </c>
    </row>
    <row x14ac:dyDescent="0.25" r="133" customHeight="1" ht="17.25">
      <c r="A133" s="12">
        <f>IF(Inventory_Summary!$A133="","",Inventory_Summary!$A133)</f>
      </c>
      <c r="B133" s="13">
        <f>IF(Inventory_Summary!$A133="","",Inventory_Summary!$G133)</f>
      </c>
    </row>
    <row x14ac:dyDescent="0.25" r="134" customHeight="1" ht="17.25">
      <c r="A134" s="12">
        <f>IF(Inventory_Summary!$A134="","",Inventory_Summary!$A134)</f>
      </c>
      <c r="B134" s="13">
        <f>IF(Inventory_Summary!$A134="","",Inventory_Summary!$G134)</f>
      </c>
    </row>
    <row x14ac:dyDescent="0.25" r="135" customHeight="1" ht="17.25">
      <c r="A135" s="12">
        <f>IF(Inventory_Summary!$A135="","",Inventory_Summary!$A135)</f>
      </c>
      <c r="B135" s="13">
        <f>IF(Inventory_Summary!$A135="","",Inventory_Summary!$G135)</f>
      </c>
    </row>
    <row x14ac:dyDescent="0.25" r="136" customHeight="1" ht="17.25">
      <c r="A136" s="12">
        <f>IF(Inventory_Summary!$A136="","",Inventory_Summary!$A136)</f>
      </c>
      <c r="B136" s="13">
        <f>IF(Inventory_Summary!$A136="","",Inventory_Summary!$G136)</f>
      </c>
    </row>
    <row x14ac:dyDescent="0.25" r="137" customHeight="1" ht="17.25">
      <c r="A137" s="12">
        <f>IF(Inventory_Summary!$A137="","",Inventory_Summary!$A137)</f>
      </c>
      <c r="B137" s="13">
        <f>IF(Inventory_Summary!$A137="","",Inventory_Summary!$G137)</f>
      </c>
    </row>
    <row x14ac:dyDescent="0.25" r="138" customHeight="1" ht="17.25">
      <c r="A138" s="12">
        <f>IF(Inventory_Summary!$A138="","",Inventory_Summary!$A138)</f>
      </c>
      <c r="B138" s="13">
        <f>IF(Inventory_Summary!$A138="","",Inventory_Summary!$G138)</f>
      </c>
    </row>
    <row x14ac:dyDescent="0.25" r="139" customHeight="1" ht="17.25">
      <c r="A139" s="12">
        <f>IF(Inventory_Summary!$A139="","",Inventory_Summary!$A139)</f>
      </c>
      <c r="B139" s="13">
        <f>IF(Inventory_Summary!$A139="","",Inventory_Summary!$G139)</f>
      </c>
    </row>
    <row x14ac:dyDescent="0.25" r="140" customHeight="1" ht="17.25">
      <c r="A140" s="12">
        <f>IF(Inventory_Summary!$A140="","",Inventory_Summary!$A140)</f>
      </c>
      <c r="B140" s="13">
        <f>IF(Inventory_Summary!$A140="","",Inventory_Summary!$G140)</f>
      </c>
    </row>
    <row x14ac:dyDescent="0.25" r="141" customHeight="1" ht="17.25">
      <c r="A141" s="12">
        <f>IF(Inventory_Summary!$A141="","",Inventory_Summary!$A141)</f>
      </c>
      <c r="B141" s="13">
        <f>IF(Inventory_Summary!$A141="","",Inventory_Summary!$G141)</f>
      </c>
    </row>
    <row x14ac:dyDescent="0.25" r="142" customHeight="1" ht="17.25">
      <c r="A142" s="12">
        <f>IF(Inventory_Summary!$A142="","",Inventory_Summary!$A142)</f>
      </c>
      <c r="B142" s="13">
        <f>IF(Inventory_Summary!$A142="","",Inventory_Summary!$G142)</f>
      </c>
    </row>
    <row x14ac:dyDescent="0.25" r="143" customHeight="1" ht="17.25">
      <c r="A143" s="12">
        <f>IF(Inventory_Summary!$A143="","",Inventory_Summary!$A143)</f>
      </c>
      <c r="B143" s="13">
        <f>IF(Inventory_Summary!$A143="","",Inventory_Summary!$G143)</f>
      </c>
    </row>
    <row x14ac:dyDescent="0.25" r="144" customHeight="1" ht="17.25">
      <c r="A144" s="12">
        <f>IF(Inventory_Summary!$A144="","",Inventory_Summary!$A144)</f>
      </c>
      <c r="B144" s="13">
        <f>IF(Inventory_Summary!$A144="","",Inventory_Summary!$G144)</f>
      </c>
    </row>
    <row x14ac:dyDescent="0.25" r="145" customHeight="1" ht="17.25">
      <c r="A145" s="12">
        <f>IF(Inventory_Summary!$A145="","",Inventory_Summary!$A145)</f>
      </c>
      <c r="B145" s="13">
        <f>IF(Inventory_Summary!$A145="","",Inventory_Summary!$G145)</f>
      </c>
    </row>
    <row x14ac:dyDescent="0.25" r="146" customHeight="1" ht="17.25">
      <c r="A146" s="12">
        <f>IF(Inventory_Summary!$A146="","",Inventory_Summary!$A146)</f>
      </c>
      <c r="B146" s="13">
        <f>IF(Inventory_Summary!$A146="","",Inventory_Summary!$G146)</f>
      </c>
    </row>
    <row x14ac:dyDescent="0.25" r="147" customHeight="1" ht="17.25">
      <c r="A147" s="12">
        <f>IF(Inventory_Summary!$A147="","",Inventory_Summary!$A147)</f>
      </c>
      <c r="B147" s="13">
        <f>IF(Inventory_Summary!$A147="","",Inventory_Summary!$G147)</f>
      </c>
    </row>
    <row x14ac:dyDescent="0.25" r="148" customHeight="1" ht="17.25">
      <c r="A148" s="12">
        <f>IF(Inventory_Summary!$A148="","",Inventory_Summary!$A148)</f>
      </c>
      <c r="B148" s="13">
        <f>IF(Inventory_Summary!$A148="","",Inventory_Summary!$G148)</f>
      </c>
    </row>
    <row x14ac:dyDescent="0.25" r="149" customHeight="1" ht="17.25">
      <c r="A149" s="12">
        <f>IF(Inventory_Summary!$A149="","",Inventory_Summary!$A149)</f>
      </c>
      <c r="B149" s="13">
        <f>IF(Inventory_Summary!$A149="","",Inventory_Summary!$G149)</f>
      </c>
    </row>
    <row x14ac:dyDescent="0.25" r="150" customHeight="1" ht="17.25">
      <c r="A150" s="12">
        <f>IF(Inventory_Summary!$A150="","",Inventory_Summary!$A150)</f>
      </c>
      <c r="B150" s="13">
        <f>IF(Inventory_Summary!$A150="","",Inventory_Summary!$G150)</f>
      </c>
    </row>
    <row x14ac:dyDescent="0.25" r="151" customHeight="1" ht="17.25">
      <c r="A151" s="12">
        <f>IF(Inventory_Summary!$A151="","",Inventory_Summary!$A151)</f>
      </c>
      <c r="B151" s="13">
        <f>IF(Inventory_Summary!$A151="","",Inventory_Summary!$G151)</f>
      </c>
    </row>
    <row x14ac:dyDescent="0.25" r="152" customHeight="1" ht="17.25">
      <c r="A152" s="12">
        <f>IF(Inventory_Summary!$A152="","",Inventory_Summary!$A152)</f>
      </c>
      <c r="B152" s="13">
        <f>IF(Inventory_Summary!$A152="","",Inventory_Summary!$G152)</f>
      </c>
    </row>
    <row x14ac:dyDescent="0.25" r="153" customHeight="1" ht="17.25">
      <c r="A153" s="12">
        <f>IF(Inventory_Summary!$A153="","",Inventory_Summary!$A153)</f>
      </c>
      <c r="B153" s="13">
        <f>IF(Inventory_Summary!$A153="","",Inventory_Summary!$G153)</f>
      </c>
    </row>
    <row x14ac:dyDescent="0.25" r="154" customHeight="1" ht="17.25">
      <c r="A154" s="12">
        <f>IF(Inventory_Summary!$A154="","",Inventory_Summary!$A154)</f>
      </c>
      <c r="B154" s="13">
        <f>IF(Inventory_Summary!$A154="","",Inventory_Summary!$G154)</f>
      </c>
    </row>
    <row x14ac:dyDescent="0.25" r="155" customHeight="1" ht="17.25">
      <c r="A155" s="12">
        <f>IF(Inventory_Summary!$A155="","",Inventory_Summary!$A155)</f>
      </c>
      <c r="B155" s="13">
        <f>IF(Inventory_Summary!$A155="","",Inventory_Summary!$G155)</f>
      </c>
    </row>
    <row x14ac:dyDescent="0.25" r="156" customHeight="1" ht="17.25">
      <c r="A156" s="12">
        <f>IF(Inventory_Summary!$A156="","",Inventory_Summary!$A156)</f>
      </c>
      <c r="B156" s="13">
        <f>IF(Inventory_Summary!$A156="","",Inventory_Summary!$G156)</f>
      </c>
    </row>
    <row x14ac:dyDescent="0.25" r="157" customHeight="1" ht="17.25">
      <c r="A157" s="12">
        <f>IF(Inventory_Summary!$A157="","",Inventory_Summary!$A157)</f>
      </c>
      <c r="B157" s="13">
        <f>IF(Inventory_Summary!$A157="","",Inventory_Summary!$G157)</f>
      </c>
    </row>
    <row x14ac:dyDescent="0.25" r="158" customHeight="1" ht="17.25">
      <c r="A158" s="12">
        <f>IF(Inventory_Summary!$A158="","",Inventory_Summary!$A158)</f>
      </c>
      <c r="B158" s="13">
        <f>IF(Inventory_Summary!$A158="","",Inventory_Summary!$G158)</f>
      </c>
    </row>
    <row x14ac:dyDescent="0.25" r="159" customHeight="1" ht="17.25">
      <c r="A159" s="12">
        <f>IF(Inventory_Summary!$A159="","",Inventory_Summary!$A159)</f>
      </c>
      <c r="B159" s="13">
        <f>IF(Inventory_Summary!$A159="","",Inventory_Summary!$G159)</f>
      </c>
    </row>
    <row x14ac:dyDescent="0.25" r="160" customHeight="1" ht="17.25">
      <c r="A160" s="12">
        <f>IF(Inventory_Summary!$A160="","",Inventory_Summary!$A160)</f>
      </c>
      <c r="B160" s="13">
        <f>IF(Inventory_Summary!$A160="","",Inventory_Summary!$G160)</f>
      </c>
    </row>
    <row x14ac:dyDescent="0.25" r="161" customHeight="1" ht="17.25">
      <c r="A161" s="12">
        <f>IF(Inventory_Summary!$A161="","",Inventory_Summary!$A161)</f>
      </c>
      <c r="B161" s="13">
        <f>IF(Inventory_Summary!$A161="","",Inventory_Summary!$G161)</f>
      </c>
    </row>
    <row x14ac:dyDescent="0.25" r="162" customHeight="1" ht="17.25">
      <c r="A162" s="12">
        <f>IF(Inventory_Summary!$A162="","",Inventory_Summary!$A162)</f>
      </c>
      <c r="B162" s="13">
        <f>IF(Inventory_Summary!$A162="","",Inventory_Summary!$G162)</f>
      </c>
    </row>
    <row x14ac:dyDescent="0.25" r="163" customHeight="1" ht="17.25">
      <c r="A163" s="12">
        <f>IF(Inventory_Summary!$A163="","",Inventory_Summary!$A163)</f>
      </c>
      <c r="B163" s="13">
        <f>IF(Inventory_Summary!$A163="","",Inventory_Summary!$G163)</f>
      </c>
    </row>
    <row x14ac:dyDescent="0.25" r="164" customHeight="1" ht="17.25">
      <c r="A164" s="12">
        <f>IF(Inventory_Summary!$A164="","",Inventory_Summary!$A164)</f>
      </c>
      <c r="B164" s="13">
        <f>IF(Inventory_Summary!$A164="","",Inventory_Summary!$G164)</f>
      </c>
    </row>
    <row x14ac:dyDescent="0.25" r="165" customHeight="1" ht="17.25">
      <c r="A165" s="12">
        <f>IF(Inventory_Summary!$A165="","",Inventory_Summary!$A165)</f>
      </c>
      <c r="B165" s="13">
        <f>IF(Inventory_Summary!$A165="","",Inventory_Summary!$G165)</f>
      </c>
    </row>
    <row x14ac:dyDescent="0.25" r="166" customHeight="1" ht="17.25">
      <c r="A166" s="12">
        <f>IF(Inventory_Summary!$A166="","",Inventory_Summary!$A166)</f>
      </c>
      <c r="B166" s="13">
        <f>IF(Inventory_Summary!$A166="","",Inventory_Summary!$G166)</f>
      </c>
    </row>
    <row x14ac:dyDescent="0.25" r="167" customHeight="1" ht="17.25">
      <c r="A167" s="12">
        <f>IF(Inventory_Summary!$A167="","",Inventory_Summary!$A167)</f>
      </c>
      <c r="B167" s="13">
        <f>IF(Inventory_Summary!$A167="","",Inventory_Summary!$G167)</f>
      </c>
    </row>
    <row x14ac:dyDescent="0.25" r="168" customHeight="1" ht="17.25">
      <c r="A168" s="12">
        <f>IF(Inventory_Summary!$A168="","",Inventory_Summary!$A168)</f>
      </c>
      <c r="B168" s="13">
        <f>IF(Inventory_Summary!$A168="","",Inventory_Summary!$G168)</f>
      </c>
    </row>
    <row x14ac:dyDescent="0.25" r="169" customHeight="1" ht="17.25">
      <c r="A169" s="12">
        <f>IF(Inventory_Summary!$A169="","",Inventory_Summary!$A169)</f>
      </c>
      <c r="B169" s="13">
        <f>IF(Inventory_Summary!$A169="","",Inventory_Summary!$G169)</f>
      </c>
    </row>
    <row x14ac:dyDescent="0.25" r="170" customHeight="1" ht="17.25">
      <c r="A170" s="12">
        <f>IF(Inventory_Summary!$A170="","",Inventory_Summary!$A170)</f>
      </c>
      <c r="B170" s="13">
        <f>IF(Inventory_Summary!$A170="","",Inventory_Summary!$G170)</f>
      </c>
    </row>
    <row x14ac:dyDescent="0.25" r="171" customHeight="1" ht="17.25">
      <c r="A171" s="12">
        <f>IF(Inventory_Summary!$A171="","",Inventory_Summary!$A171)</f>
      </c>
      <c r="B171" s="13">
        <f>IF(Inventory_Summary!$A171="","",Inventory_Summary!$G171)</f>
      </c>
    </row>
    <row x14ac:dyDescent="0.25" r="172" customHeight="1" ht="17.25">
      <c r="A172" s="12">
        <f>IF(Inventory_Summary!$A172="","",Inventory_Summary!$A172)</f>
      </c>
      <c r="B172" s="13">
        <f>IF(Inventory_Summary!$A172="","",Inventory_Summary!$G172)</f>
      </c>
    </row>
    <row x14ac:dyDescent="0.25" r="173" customHeight="1" ht="17.25">
      <c r="A173" s="12">
        <f>IF(Inventory_Summary!$A173="","",Inventory_Summary!$A173)</f>
      </c>
      <c r="B173" s="13">
        <f>IF(Inventory_Summary!$A173="","",Inventory_Summary!$G173)</f>
      </c>
    </row>
    <row x14ac:dyDescent="0.25" r="174" customHeight="1" ht="17.25">
      <c r="A174" s="12">
        <f>IF(Inventory_Summary!$A174="","",Inventory_Summary!$A174)</f>
      </c>
      <c r="B174" s="13">
        <f>IF(Inventory_Summary!$A174="","",Inventory_Summary!$G174)</f>
      </c>
    </row>
    <row x14ac:dyDescent="0.25" r="175" customHeight="1" ht="17.25">
      <c r="A175" s="12">
        <f>IF(Inventory_Summary!$A175="","",Inventory_Summary!$A175)</f>
      </c>
      <c r="B175" s="13">
        <f>IF(Inventory_Summary!$A175="","",Inventory_Summary!$G175)</f>
      </c>
    </row>
    <row x14ac:dyDescent="0.25" r="176" customHeight="1" ht="17.25">
      <c r="A176" s="12">
        <f>IF(Inventory_Summary!$A176="","",Inventory_Summary!$A176)</f>
      </c>
      <c r="B176" s="13">
        <f>IF(Inventory_Summary!$A176="","",Inventory_Summary!$G176)</f>
      </c>
    </row>
    <row x14ac:dyDescent="0.25" r="177" customHeight="1" ht="17.25">
      <c r="A177" s="12">
        <f>IF(Inventory_Summary!$A177="","",Inventory_Summary!$A177)</f>
      </c>
      <c r="B177" s="13">
        <f>IF(Inventory_Summary!$A177="","",Inventory_Summary!$G177)</f>
      </c>
    </row>
    <row x14ac:dyDescent="0.25" r="178" customHeight="1" ht="17.25">
      <c r="A178" s="12">
        <f>IF(Inventory_Summary!$A178="","",Inventory_Summary!$A178)</f>
      </c>
      <c r="B178" s="13">
        <f>IF(Inventory_Summary!$A178="","",Inventory_Summary!$G178)</f>
      </c>
    </row>
    <row x14ac:dyDescent="0.25" r="179" customHeight="1" ht="17.25">
      <c r="A179" s="12">
        <f>IF(Inventory_Summary!$A179="","",Inventory_Summary!$A179)</f>
      </c>
      <c r="B179" s="13">
        <f>IF(Inventory_Summary!$A179="","",Inventory_Summary!$G179)</f>
      </c>
    </row>
    <row x14ac:dyDescent="0.25" r="180" customHeight="1" ht="17.25">
      <c r="A180" s="12">
        <f>IF(Inventory_Summary!$A180="","",Inventory_Summary!$A180)</f>
      </c>
      <c r="B180" s="13">
        <f>IF(Inventory_Summary!$A180="","",Inventory_Summary!$G180)</f>
      </c>
    </row>
    <row x14ac:dyDescent="0.25" r="181" customHeight="1" ht="17.25">
      <c r="A181" s="12">
        <f>IF(Inventory_Summary!$A181="","",Inventory_Summary!$A181)</f>
      </c>
      <c r="B181" s="13">
        <f>IF(Inventory_Summary!$A181="","",Inventory_Summary!$G181)</f>
      </c>
    </row>
    <row x14ac:dyDescent="0.25" r="182" customHeight="1" ht="17.25">
      <c r="A182" s="12">
        <f>IF(Inventory_Summary!$A182="","",Inventory_Summary!$A182)</f>
      </c>
      <c r="B182" s="13">
        <f>IF(Inventory_Summary!$A182="","",Inventory_Summary!$G182)</f>
      </c>
    </row>
    <row x14ac:dyDescent="0.25" r="183" customHeight="1" ht="17.25">
      <c r="A183" s="12">
        <f>IF(Inventory_Summary!$A183="","",Inventory_Summary!$A183)</f>
      </c>
      <c r="B183" s="13">
        <f>IF(Inventory_Summary!$A183="","",Inventory_Summary!$G183)</f>
      </c>
    </row>
    <row x14ac:dyDescent="0.25" r="184" customHeight="1" ht="17.25">
      <c r="A184" s="12">
        <f>IF(Inventory_Summary!$A184="","",Inventory_Summary!$A184)</f>
      </c>
      <c r="B184" s="13">
        <f>IF(Inventory_Summary!$A184="","",Inventory_Summary!$G184)</f>
      </c>
    </row>
    <row x14ac:dyDescent="0.25" r="185" customHeight="1" ht="17.25">
      <c r="A185" s="12">
        <f>IF(Inventory_Summary!$A185="","",Inventory_Summary!$A185)</f>
      </c>
      <c r="B185" s="13">
        <f>IF(Inventory_Summary!$A185="","",Inventory_Summary!$G185)</f>
      </c>
    </row>
    <row x14ac:dyDescent="0.25" r="186" customHeight="1" ht="17.25">
      <c r="A186" s="12">
        <f>IF(Inventory_Summary!$A186="","",Inventory_Summary!$A186)</f>
      </c>
      <c r="B186" s="13">
        <f>IF(Inventory_Summary!$A186="","",Inventory_Summary!$G186)</f>
      </c>
    </row>
    <row x14ac:dyDescent="0.25" r="187" customHeight="1" ht="17.25">
      <c r="A187" s="12">
        <f>IF(Inventory_Summary!$A187="","",Inventory_Summary!$A187)</f>
      </c>
      <c r="B187" s="13">
        <f>IF(Inventory_Summary!$A187="","",Inventory_Summary!$G187)</f>
      </c>
    </row>
    <row x14ac:dyDescent="0.25" r="188" customHeight="1" ht="17.25">
      <c r="A188" s="12">
        <f>IF(Inventory_Summary!$A188="","",Inventory_Summary!$A188)</f>
      </c>
      <c r="B188" s="13">
        <f>IF(Inventory_Summary!$A188="","",Inventory_Summary!$G188)</f>
      </c>
    </row>
    <row x14ac:dyDescent="0.25" r="189" customHeight="1" ht="17.25">
      <c r="A189" s="12">
        <f>IF(Inventory_Summary!$A189="","",Inventory_Summary!$A189)</f>
      </c>
      <c r="B189" s="13">
        <f>IF(Inventory_Summary!$A189="","",Inventory_Summary!$G189)</f>
      </c>
    </row>
    <row x14ac:dyDescent="0.25" r="190" customHeight="1" ht="17.25">
      <c r="A190" s="12">
        <f>IF(Inventory_Summary!$A190="","",Inventory_Summary!$A190)</f>
      </c>
      <c r="B190" s="13">
        <f>IF(Inventory_Summary!$A190="","",Inventory_Summary!$G190)</f>
      </c>
    </row>
    <row x14ac:dyDescent="0.25" r="191" customHeight="1" ht="17.25">
      <c r="A191" s="12">
        <f>IF(Inventory_Summary!$A191="","",Inventory_Summary!$A191)</f>
      </c>
      <c r="B191" s="13">
        <f>IF(Inventory_Summary!$A191="","",Inventory_Summary!$G191)</f>
      </c>
    </row>
    <row x14ac:dyDescent="0.25" r="192" customHeight="1" ht="17.25">
      <c r="A192" s="12">
        <f>IF(Inventory_Summary!$A192="","",Inventory_Summary!$A192)</f>
      </c>
      <c r="B192" s="13">
        <f>IF(Inventory_Summary!$A192="","",Inventory_Summary!$G192)</f>
      </c>
    </row>
    <row x14ac:dyDescent="0.25" r="193" customHeight="1" ht="17.25">
      <c r="A193" s="12">
        <f>IF(Inventory_Summary!$A193="","",Inventory_Summary!$A193)</f>
      </c>
      <c r="B193" s="13">
        <f>IF(Inventory_Summary!$A193="","",Inventory_Summary!$G193)</f>
      </c>
    </row>
    <row x14ac:dyDescent="0.25" r="194" customHeight="1" ht="17.25">
      <c r="A194" s="12">
        <f>IF(Inventory_Summary!$A194="","",Inventory_Summary!$A194)</f>
      </c>
      <c r="B194" s="13">
        <f>IF(Inventory_Summary!$A194="","",Inventory_Summary!$G194)</f>
      </c>
    </row>
    <row x14ac:dyDescent="0.25" r="195" customHeight="1" ht="17.25">
      <c r="A195" s="12">
        <f>IF(Inventory_Summary!$A195="","",Inventory_Summary!$A195)</f>
      </c>
      <c r="B195" s="13">
        <f>IF(Inventory_Summary!$A195="","",Inventory_Summary!$G195)</f>
      </c>
    </row>
    <row x14ac:dyDescent="0.25" r="196" customHeight="1" ht="17.25">
      <c r="A196" s="12">
        <f>IF(Inventory_Summary!$A196="","",Inventory_Summary!$A196)</f>
      </c>
      <c r="B196" s="13">
        <f>IF(Inventory_Summary!$A196="","",Inventory_Summary!$G196)</f>
      </c>
    </row>
    <row x14ac:dyDescent="0.25" r="197" customHeight="1" ht="17.25">
      <c r="A197" s="12">
        <f>IF(Inventory_Summary!$A197="","",Inventory_Summary!$A197)</f>
      </c>
      <c r="B197" s="13">
        <f>IF(Inventory_Summary!$A197="","",Inventory_Summary!$G197)</f>
      </c>
    </row>
    <row x14ac:dyDescent="0.25" r="198" customHeight="1" ht="17.25">
      <c r="A198" s="12">
        <f>IF(Inventory_Summary!$A198="","",Inventory_Summary!$A198)</f>
      </c>
      <c r="B198" s="13">
        <f>IF(Inventory_Summary!$A198="","",Inventory_Summary!$G198)</f>
      </c>
    </row>
    <row x14ac:dyDescent="0.25" r="199" customHeight="1" ht="17.25">
      <c r="A199" s="12">
        <f>IF(Inventory_Summary!$A199="","",Inventory_Summary!$A199)</f>
      </c>
      <c r="B199" s="13">
        <f>IF(Inventory_Summary!$A199="","",Inventory_Summary!$G199)</f>
      </c>
    </row>
    <row x14ac:dyDescent="0.25" r="200" customHeight="1" ht="17.25">
      <c r="A200" s="12">
        <f>IF(Inventory_Summary!$A200="","",Inventory_Summary!$A200)</f>
      </c>
      <c r="B200" s="13">
        <f>IF(Inventory_Summary!$A200="","",Inventory_Summary!$G200)</f>
      </c>
    </row>
    <row x14ac:dyDescent="0.25" r="201" customHeight="1" ht="17.25">
      <c r="A201" s="12">
        <f>IF(Inventory_Summary!$A201="","",Inventory_Summary!$A201)</f>
      </c>
      <c r="B201" s="13">
        <f>IF(Inventory_Summary!$A201="","",Inventory_Summary!$G201)</f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5"/>
  <sheetViews>
    <sheetView workbookViewId="0"/>
  </sheetViews>
  <sheetFormatPr defaultRowHeight="15" x14ac:dyDescent="0.25"/>
  <cols>
    <col min="1" max="1" style="21" width="2.005" customWidth="1" bestFit="1"/>
    <col min="2" max="2" style="21" width="32.005" customWidth="1" bestFit="1"/>
    <col min="3" max="3" style="21" width="2.005" customWidth="1" bestFit="1"/>
    <col min="4" max="4" style="21" width="32.005" customWidth="1" bestFit="1"/>
    <col min="5" max="5" style="21" width="2.005" customWidth="1" bestFit="1"/>
  </cols>
  <sheetData>
    <row x14ac:dyDescent="0.25" r="1" customHeight="1" ht="22">
      <c r="A1" s="22" t="s">
        <v>14</v>
      </c>
      <c r="B1" s="2"/>
      <c r="C1" s="2"/>
      <c r="D1" s="2"/>
      <c r="E1" s="2"/>
    </row>
    <row x14ac:dyDescent="0.25" r="2" customHeight="1" ht="17.25">
      <c r="A2" s="2"/>
      <c r="B2" s="23" t="s">
        <v>15</v>
      </c>
      <c r="C2" s="2"/>
      <c r="D2" s="23" t="s">
        <v>16</v>
      </c>
      <c r="E2" s="2"/>
    </row>
    <row x14ac:dyDescent="0.25" r="3" customHeight="1" ht="17.25">
      <c r="A3" s="2"/>
      <c r="B3" s="24">
        <f>IFERROR(INDEX(Items_Master!$B$2:$B$2001,1),"")</f>
      </c>
      <c r="C3" s="2"/>
      <c r="D3" s="24">
        <f>IFERROR(INDEX(Items_Master!$B$2:$B$2001,1),"")</f>
      </c>
      <c r="E3" s="2"/>
    </row>
    <row x14ac:dyDescent="0.25" r="4" customHeight="1" ht="17.25">
      <c r="A4" s="2"/>
      <c r="B4" s="25">
        <f>IFERROR(INDEX(Items_Master!$A$2:$A$2001,1),"")</f>
      </c>
      <c r="C4" s="2"/>
      <c r="D4" s="25">
        <f>IFERROR(INDEX(Items_Master!$A$2:$A$2001,1),"")</f>
      </c>
      <c r="E4" s="2"/>
    </row>
    <row x14ac:dyDescent="0.25" r="5" customHeight="1" ht="17.25">
      <c r="A5" s="2"/>
      <c r="B5" s="26">
        <f>IFERROR(INDEX(Items_Master!$L$2:$L$2001,1),"")</f>
      </c>
      <c r="C5" s="2"/>
      <c r="D5" s="26">
        <f>IFERROR(INDEX(Items_Master!$L$2:$L$2001,1),"")</f>
      </c>
      <c r="E5" s="2"/>
    </row>
    <row x14ac:dyDescent="0.25" r="6" customHeight="1" ht="17.25">
      <c r="A6" s="2"/>
      <c r="B6" s="24">
        <f>IFERROR(INDEX(Items_Master!$B$2:$B$2001,2),"")</f>
      </c>
      <c r="C6" s="2"/>
      <c r="D6" s="24">
        <f>IFERROR(INDEX(Items_Master!$B$2:$B$2001,2),"")</f>
      </c>
      <c r="E6" s="2"/>
    </row>
    <row x14ac:dyDescent="0.25" r="7" customHeight="1" ht="17.25">
      <c r="A7" s="2"/>
      <c r="B7" s="25">
        <f>IFERROR(INDEX(Items_Master!$A$2:$A$2001,2),"")</f>
      </c>
      <c r="C7" s="2"/>
      <c r="D7" s="25">
        <f>IFERROR(INDEX(Items_Master!$A$2:$A$2001,2),"")</f>
      </c>
      <c r="E7" s="2"/>
    </row>
    <row x14ac:dyDescent="0.25" r="8" customHeight="1" ht="17.25">
      <c r="A8" s="2"/>
      <c r="B8" s="26">
        <f>IFERROR(INDEX(Items_Master!$L$2:$L$2001,2),"")</f>
      </c>
      <c r="C8" s="2"/>
      <c r="D8" s="26">
        <f>IFERROR(INDEX(Items_Master!$L$2:$L$2001,2),"")</f>
      </c>
      <c r="E8" s="2"/>
    </row>
    <row x14ac:dyDescent="0.25" r="9" customHeight="1" ht="17.25">
      <c r="A9" s="2"/>
      <c r="B9" s="24">
        <f>IFERROR(INDEX(Items_Master!$B$2:$B$2001,3),"")</f>
      </c>
      <c r="C9" s="2"/>
      <c r="D9" s="24">
        <f>IFERROR(INDEX(Items_Master!$B$2:$B$2001,3),"")</f>
      </c>
      <c r="E9" s="2"/>
    </row>
    <row x14ac:dyDescent="0.25" r="10" customHeight="1" ht="17.25">
      <c r="A10" s="2"/>
      <c r="B10" s="25">
        <f>IFERROR(INDEX(Items_Master!$A$2:$A$2001,3),"")</f>
      </c>
      <c r="C10" s="2"/>
      <c r="D10" s="25">
        <f>IFERROR(INDEX(Items_Master!$A$2:$A$2001,3),"")</f>
      </c>
      <c r="E10" s="2"/>
    </row>
    <row x14ac:dyDescent="0.25" r="11" customHeight="1" ht="17.25">
      <c r="A11" s="2"/>
      <c r="B11" s="26">
        <f>IFERROR(INDEX(Items_Master!$L$2:$L$2001,3),"")</f>
      </c>
      <c r="C11" s="2"/>
      <c r="D11" s="26">
        <f>IFERROR(INDEX(Items_Master!$L$2:$L$2001,3),"")</f>
      </c>
      <c r="E11" s="2"/>
    </row>
    <row x14ac:dyDescent="0.25" r="12" customHeight="1" ht="17.25">
      <c r="A12" s="2"/>
      <c r="B12" s="24">
        <f>IFERROR(INDEX(Items_Master!$B$2:$B$2001,4),"")</f>
      </c>
      <c r="C12" s="2"/>
      <c r="D12" s="24">
        <f>IFERROR(INDEX(Items_Master!$B$2:$B$2001,4),"")</f>
      </c>
      <c r="E12" s="2"/>
    </row>
    <row x14ac:dyDescent="0.25" r="13" customHeight="1" ht="17.25">
      <c r="A13" s="2"/>
      <c r="B13" s="25">
        <f>IFERROR(INDEX(Items_Master!$A$2:$A$2001,4),"")</f>
      </c>
      <c r="C13" s="2"/>
      <c r="D13" s="25">
        <f>IFERROR(INDEX(Items_Master!$A$2:$A$2001,4),"")</f>
      </c>
      <c r="E13" s="2"/>
    </row>
    <row x14ac:dyDescent="0.25" r="14" customHeight="1" ht="17.25">
      <c r="A14" s="2"/>
      <c r="B14" s="26">
        <f>IFERROR(INDEX(Items_Master!$L$2:$L$2001,4),"")</f>
      </c>
      <c r="C14" s="2"/>
      <c r="D14" s="26">
        <f>IFERROR(INDEX(Items_Master!$L$2:$L$2001,4),"")</f>
      </c>
      <c r="E14" s="2"/>
    </row>
    <row x14ac:dyDescent="0.25" r="15" customHeight="1" ht="17.25">
      <c r="A15" s="2"/>
      <c r="B15" s="24">
        <f>IFERROR(INDEX(Items_Master!$B$2:$B$2001,5),"")</f>
      </c>
      <c r="C15" s="2"/>
      <c r="D15" s="24">
        <f>IFERROR(INDEX(Items_Master!$B$2:$B$2001,5),"")</f>
      </c>
      <c r="E15" s="2"/>
    </row>
    <row x14ac:dyDescent="0.25" r="16" customHeight="1" ht="17.25">
      <c r="A16" s="2"/>
      <c r="B16" s="25">
        <f>IFERROR(INDEX(Items_Master!$A$2:$A$2001,5),"")</f>
      </c>
      <c r="C16" s="2"/>
      <c r="D16" s="25">
        <f>IFERROR(INDEX(Items_Master!$A$2:$A$2001,5),"")</f>
      </c>
      <c r="E16" s="2"/>
    </row>
    <row x14ac:dyDescent="0.25" r="17" customHeight="1" ht="17.25">
      <c r="A17" s="2"/>
      <c r="B17" s="26">
        <f>IFERROR(INDEX(Items_Master!$L$2:$L$2001,5),"")</f>
      </c>
      <c r="C17" s="2"/>
      <c r="D17" s="26">
        <f>IFERROR(INDEX(Items_Master!$L$2:$L$2001,5),"")</f>
      </c>
      <c r="E17" s="2"/>
    </row>
    <row x14ac:dyDescent="0.25" r="18" customHeight="1" ht="17.25">
      <c r="A18" s="2"/>
      <c r="B18" s="24">
        <f>IFERROR(INDEX(Items_Master!$B$2:$B$2001,6),"")</f>
      </c>
      <c r="C18" s="2"/>
      <c r="D18" s="24">
        <f>IFERROR(INDEX(Items_Master!$B$2:$B$2001,6),"")</f>
      </c>
      <c r="E18" s="2"/>
    </row>
    <row x14ac:dyDescent="0.25" r="19" customHeight="1" ht="17.25">
      <c r="A19" s="2"/>
      <c r="B19" s="25">
        <f>IFERROR(INDEX(Items_Master!$A$2:$A$2001,6),"")</f>
      </c>
      <c r="C19" s="2"/>
      <c r="D19" s="25">
        <f>IFERROR(INDEX(Items_Master!$A$2:$A$2001,6),"")</f>
      </c>
      <c r="E19" s="2"/>
    </row>
    <row x14ac:dyDescent="0.25" r="20" customHeight="1" ht="17.25">
      <c r="A20" s="2"/>
      <c r="B20" s="26">
        <f>IFERROR(INDEX(Items_Master!$L$2:$L$2001,6),"")</f>
      </c>
      <c r="C20" s="2"/>
      <c r="D20" s="26">
        <f>IFERROR(INDEX(Items_Master!$L$2:$L$2001,6),"")</f>
      </c>
      <c r="E20" s="2"/>
    </row>
    <row x14ac:dyDescent="0.25" r="21" customHeight="1" ht="17.25">
      <c r="A21" s="2"/>
      <c r="B21" s="24">
        <f>IFERROR(INDEX(Items_Master!$B$2:$B$2001,7),"")</f>
      </c>
      <c r="C21" s="2"/>
      <c r="D21" s="24">
        <f>IFERROR(INDEX(Items_Master!$B$2:$B$2001,7),"")</f>
      </c>
      <c r="E21" s="2"/>
    </row>
    <row x14ac:dyDescent="0.25" r="22" customHeight="1" ht="17.25">
      <c r="A22" s="2"/>
      <c r="B22" s="25">
        <f>IFERROR(INDEX(Items_Master!$A$2:$A$2001,7),"")</f>
      </c>
      <c r="C22" s="2"/>
      <c r="D22" s="25">
        <f>IFERROR(INDEX(Items_Master!$A$2:$A$2001,7),"")</f>
      </c>
      <c r="E22" s="2"/>
    </row>
    <row x14ac:dyDescent="0.25" r="23" customHeight="1" ht="17.25">
      <c r="A23" s="2"/>
      <c r="B23" s="26">
        <f>IFERROR(INDEX(Items_Master!$L$2:$L$2001,7),"")</f>
      </c>
      <c r="C23" s="2"/>
      <c r="D23" s="26">
        <f>IFERROR(INDEX(Items_Master!$L$2:$L$2001,7),"")</f>
      </c>
      <c r="E23" s="2"/>
    </row>
    <row x14ac:dyDescent="0.25" r="24" customHeight="1" ht="17.25">
      <c r="A24" s="2"/>
      <c r="B24" s="24">
        <f>IFERROR(INDEX(Items_Master!$B$2:$B$2001,8),"")</f>
      </c>
      <c r="C24" s="2"/>
      <c r="D24" s="24">
        <f>IFERROR(INDEX(Items_Master!$B$2:$B$2001,8),"")</f>
      </c>
      <c r="E24" s="2"/>
    </row>
    <row x14ac:dyDescent="0.25" r="25" customHeight="1" ht="17.25">
      <c r="A25" s="2"/>
      <c r="B25" s="25">
        <f>IFERROR(INDEX(Items_Master!$A$2:$A$2001,8),"")</f>
      </c>
      <c r="C25" s="2"/>
      <c r="D25" s="25">
        <f>IFERROR(INDEX(Items_Master!$A$2:$A$2001,8),"")</f>
      </c>
      <c r="E25" s="2"/>
    </row>
    <row x14ac:dyDescent="0.25" r="26" customHeight="1" ht="17.25">
      <c r="A26" s="2"/>
      <c r="B26" s="26">
        <f>IFERROR(INDEX(Items_Master!$L$2:$L$2001,8),"")</f>
      </c>
      <c r="C26" s="2"/>
      <c r="D26" s="26">
        <f>IFERROR(INDEX(Items_Master!$L$2:$L$2001,8),"")</f>
      </c>
      <c r="E26" s="2"/>
    </row>
    <row x14ac:dyDescent="0.25" r="27" customHeight="1" ht="17.25">
      <c r="A27" s="2"/>
      <c r="B27" s="24">
        <f>IFERROR(INDEX(Items_Master!$B$2:$B$2001,9),"")</f>
      </c>
      <c r="C27" s="2"/>
      <c r="D27" s="24">
        <f>IFERROR(INDEX(Items_Master!$B$2:$B$2001,9),"")</f>
      </c>
      <c r="E27" s="2"/>
    </row>
    <row x14ac:dyDescent="0.25" r="28" customHeight="1" ht="17.25">
      <c r="A28" s="2"/>
      <c r="B28" s="25">
        <f>IFERROR(INDEX(Items_Master!$A$2:$A$2001,9),"")</f>
      </c>
      <c r="C28" s="2"/>
      <c r="D28" s="25">
        <f>IFERROR(INDEX(Items_Master!$A$2:$A$2001,9),"")</f>
      </c>
      <c r="E28" s="2"/>
    </row>
    <row x14ac:dyDescent="0.25" r="29" customHeight="1" ht="17.25">
      <c r="A29" s="2"/>
      <c r="B29" s="26">
        <f>IFERROR(INDEX(Items_Master!$L$2:$L$2001,9),"")</f>
      </c>
      <c r="C29" s="2"/>
      <c r="D29" s="26">
        <f>IFERROR(INDEX(Items_Master!$L$2:$L$2001,9),"")</f>
      </c>
      <c r="E29" s="2"/>
    </row>
    <row x14ac:dyDescent="0.25" r="30" customHeight="1" ht="17.25">
      <c r="A30" s="2"/>
      <c r="B30" s="24">
        <f>IFERROR(INDEX(Items_Master!$B$2:$B$2001,10),"")</f>
      </c>
      <c r="C30" s="2"/>
      <c r="D30" s="24">
        <f>IFERROR(INDEX(Items_Master!$B$2:$B$2001,10),"")</f>
      </c>
      <c r="E30" s="2"/>
    </row>
    <row x14ac:dyDescent="0.25" r="31" customHeight="1" ht="17.25">
      <c r="A31" s="2"/>
      <c r="B31" s="25">
        <f>IFERROR(INDEX(Items_Master!$A$2:$A$2001,10),"")</f>
      </c>
      <c r="C31" s="2"/>
      <c r="D31" s="25">
        <f>IFERROR(INDEX(Items_Master!$A$2:$A$2001,10),"")</f>
      </c>
      <c r="E31" s="2"/>
    </row>
    <row x14ac:dyDescent="0.25" r="32" customHeight="1" ht="17.25">
      <c r="A32" s="2"/>
      <c r="B32" s="26">
        <f>IFERROR(INDEX(Items_Master!$L$2:$L$2001,10),"")</f>
      </c>
      <c r="C32" s="2"/>
      <c r="D32" s="26">
        <f>IFERROR(INDEX(Items_Master!$L$2:$L$2001,10),"")</f>
      </c>
      <c r="E32" s="2"/>
    </row>
    <row x14ac:dyDescent="0.25" r="33" customHeight="1" ht="17.25">
      <c r="A33" s="2"/>
      <c r="B33" s="2"/>
      <c r="C33" s="2"/>
      <c r="D33" s="2"/>
      <c r="E33" s="2"/>
    </row>
    <row x14ac:dyDescent="0.25" r="34" customHeight="1" ht="17.25">
      <c r="A34" s="2"/>
      <c r="B34" s="2"/>
      <c r="C34" s="2"/>
      <c r="D34" s="2"/>
      <c r="E34" s="2"/>
    </row>
    <row x14ac:dyDescent="0.25" r="35" customHeight="1" ht="17.25">
      <c r="A35" s="27" t="s">
        <v>17</v>
      </c>
      <c r="B35" s="2"/>
      <c r="C35" s="2"/>
      <c r="D35" s="2"/>
      <c r="E35" s="2"/>
    </row>
  </sheetData>
  <mergeCells count="2">
    <mergeCell ref="A1:E1"/>
    <mergeCell ref="A35:E3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0"/>
  <sheetViews>
    <sheetView workbookViewId="0"/>
  </sheetViews>
  <sheetFormatPr defaultRowHeight="15" x14ac:dyDescent="0.25"/>
  <cols>
    <col min="1" max="1" style="20" width="30.005" customWidth="1" bestFit="1"/>
    <col min="2" max="2" style="21" width="20.005" customWidth="1" bestFit="1"/>
    <col min="3" max="3" style="21" width="24.005" customWidth="1" bestFit="1"/>
    <col min="4" max="4" style="21" width="14.005" customWidth="1" bestFit="1"/>
    <col min="5" max="5" style="21" width="16.005" customWidth="1" bestFit="1"/>
  </cols>
  <sheetData>
    <row x14ac:dyDescent="0.25" r="1" customHeight="1" ht="32">
      <c r="A1" s="1" t="s">
        <v>0</v>
      </c>
      <c r="B1" s="2"/>
      <c r="C1" s="2"/>
      <c r="D1" s="2"/>
      <c r="E1" s="2"/>
    </row>
    <row x14ac:dyDescent="0.25" r="2" customHeight="1" ht="8">
      <c r="A2" s="3"/>
      <c r="B2" s="2"/>
      <c r="C2" s="2"/>
      <c r="D2" s="2"/>
      <c r="E2" s="2"/>
    </row>
    <row x14ac:dyDescent="0.25" r="3" customHeight="1" ht="22">
      <c r="A3" s="4" t="s">
        <v>1</v>
      </c>
      <c r="B3" s="5">
        <f>COUNTA(Items_Master!$A$2:$A$2001)</f>
      </c>
      <c r="C3" s="2"/>
      <c r="D3" s="2"/>
      <c r="E3" s="2"/>
    </row>
    <row x14ac:dyDescent="0.25" r="4" customHeight="1" ht="22">
      <c r="A4" s="4" t="s">
        <v>2</v>
      </c>
      <c r="B4" s="5">
        <f>SUM(Inventory_Summary!$G$2:$G$201)</f>
      </c>
      <c r="C4" s="2"/>
      <c r="D4" s="2"/>
      <c r="E4" s="2"/>
    </row>
    <row x14ac:dyDescent="0.25" r="5" customHeight="1" ht="22">
      <c r="A5" s="4" t="s">
        <v>3</v>
      </c>
      <c r="B5" s="6">
        <f>SUM(Inventory_Summary!$L$2:$L$201)</f>
      </c>
      <c r="C5" s="2"/>
      <c r="D5" s="2"/>
      <c r="E5" s="2"/>
    </row>
    <row x14ac:dyDescent="0.25" r="6" customHeight="1" ht="22">
      <c r="A6" s="4" t="s">
        <v>4</v>
      </c>
      <c r="B6" s="6">
        <f>SUM(Inventory_Summary!$M$2:$M$201)</f>
      </c>
      <c r="C6" s="2"/>
      <c r="D6" s="2"/>
      <c r="E6" s="2"/>
    </row>
    <row x14ac:dyDescent="0.25" r="7" customHeight="1" ht="22">
      <c r="A7" s="4" t="s">
        <v>5</v>
      </c>
      <c r="B7" s="5">
        <f>COUNTIF(Inventory_Summary!$I$2:$I$201,"LOW")</f>
      </c>
      <c r="C7" s="2"/>
      <c r="D7" s="2"/>
      <c r="E7" s="2"/>
    </row>
    <row x14ac:dyDescent="0.25" r="8" customHeight="1" ht="10">
      <c r="A8" s="3"/>
      <c r="B8" s="2"/>
      <c r="C8" s="2"/>
      <c r="D8" s="2"/>
      <c r="E8" s="2"/>
    </row>
    <row x14ac:dyDescent="0.25" r="9" customHeight="1" ht="8">
      <c r="A9" s="3"/>
      <c r="B9" s="2"/>
      <c r="C9" s="2"/>
      <c r="D9" s="2"/>
      <c r="E9" s="2"/>
    </row>
    <row x14ac:dyDescent="0.25" r="10" customHeight="1" ht="24">
      <c r="A10" s="7" t="s">
        <v>6</v>
      </c>
      <c r="B10" s="2"/>
      <c r="C10" s="2"/>
      <c r="D10" s="2"/>
      <c r="E10" s="2"/>
    </row>
    <row x14ac:dyDescent="0.25" r="11" customHeight="1" ht="20" customFormat="1" s="8">
      <c r="A11" s="9" t="s">
        <v>7</v>
      </c>
      <c r="B11" s="10" t="s">
        <v>8</v>
      </c>
      <c r="C11" s="10" t="s">
        <v>9</v>
      </c>
      <c r="D11" s="10" t="s">
        <v>10</v>
      </c>
      <c r="E11" s="10" t="s">
        <v>11</v>
      </c>
    </row>
    <row x14ac:dyDescent="0.25" r="12" customHeight="1" ht="18">
      <c r="A12" s="11">
        <v>1</v>
      </c>
      <c r="B12" s="12">
        <f>IFERROR(INDEX(Inventory_Summary!$A$2:$A$201,MATCH(LARGE(Inventory_Summary!$N$2:$N$201,1),Inventory_Summary!$N$2:$N$201,0)),"")</f>
      </c>
      <c r="C12" s="12">
        <f>IF($B12="","",VLOOKUP($B12,Inventory_Summary!$A:$N,2,FALSE))</f>
      </c>
      <c r="D12" s="13">
        <f>IF($B12="","",VLOOKUP($B12,Inventory_Summary!$A:$N,14,FALSE))</f>
      </c>
      <c r="E12" s="13">
        <f>IF($B12="","",VLOOKUP($B12,Inventory_Summary!$A:$N,7,FALSE))</f>
      </c>
    </row>
    <row x14ac:dyDescent="0.25" r="13" customHeight="1" ht="18">
      <c r="A13" s="14">
        <v>2</v>
      </c>
      <c r="B13" s="15">
        <f>IFERROR(INDEX(Inventory_Summary!$A$2:$A$201,MATCH(LARGE(Inventory_Summary!$N$2:$N$201,2),Inventory_Summary!$N$2:$N$201,0)),"")</f>
      </c>
      <c r="C13" s="15">
        <f>IF($B13="","",VLOOKUP($B13,Inventory_Summary!$A:$N,2,FALSE))</f>
      </c>
      <c r="D13" s="16">
        <f>IF($B13="","",VLOOKUP($B13,Inventory_Summary!$A:$N,14,FALSE))</f>
      </c>
      <c r="E13" s="16">
        <f>IF($B13="","",VLOOKUP($B13,Inventory_Summary!$A:$N,7,FALSE))</f>
      </c>
    </row>
    <row x14ac:dyDescent="0.25" r="14" customHeight="1" ht="18">
      <c r="A14" s="11">
        <v>3</v>
      </c>
      <c r="B14" s="12">
        <f>IFERROR(INDEX(Inventory_Summary!$A$2:$A$201,MATCH(LARGE(Inventory_Summary!$N$2:$N$201,3),Inventory_Summary!$N$2:$N$201,0)),"")</f>
      </c>
      <c r="C14" s="12">
        <f>IF($B14="","",VLOOKUP($B14,Inventory_Summary!$A:$N,2,FALSE))</f>
      </c>
      <c r="D14" s="13">
        <f>IF($B14="","",VLOOKUP($B14,Inventory_Summary!$A:$N,14,FALSE))</f>
      </c>
      <c r="E14" s="13">
        <f>IF($B14="","",VLOOKUP($B14,Inventory_Summary!$A:$N,7,FALSE))</f>
      </c>
    </row>
    <row x14ac:dyDescent="0.25" r="15" customHeight="1" ht="18">
      <c r="A15" s="14">
        <v>4</v>
      </c>
      <c r="B15" s="15">
        <f>IFERROR(INDEX(Inventory_Summary!$A$2:$A$201,MATCH(LARGE(Inventory_Summary!$N$2:$N$201,4),Inventory_Summary!$N$2:$N$201,0)),"")</f>
      </c>
      <c r="C15" s="15">
        <f>IF($B15="","",VLOOKUP($B15,Inventory_Summary!$A:$N,2,FALSE))</f>
      </c>
      <c r="D15" s="16">
        <f>IF($B15="","",VLOOKUP($B15,Inventory_Summary!$A:$N,14,FALSE))</f>
      </c>
      <c r="E15" s="16">
        <f>IF($B15="","",VLOOKUP($B15,Inventory_Summary!$A:$N,7,FALSE))</f>
      </c>
    </row>
    <row x14ac:dyDescent="0.25" r="16" customHeight="1" ht="18">
      <c r="A16" s="11">
        <v>5</v>
      </c>
      <c r="B16" s="12">
        <f>IFERROR(INDEX(Inventory_Summary!$A$2:$A$201,MATCH(LARGE(Inventory_Summary!$N$2:$N$201,5),Inventory_Summary!$N$2:$N$201,0)),"")</f>
      </c>
      <c r="C16" s="12">
        <f>IF($B16="","",VLOOKUP($B16,Inventory_Summary!$A:$N,2,FALSE))</f>
      </c>
      <c r="D16" s="13">
        <f>IF($B16="","",VLOOKUP($B16,Inventory_Summary!$A:$N,14,FALSE))</f>
      </c>
      <c r="E16" s="13">
        <f>IF($B16="","",VLOOKUP($B16,Inventory_Summary!$A:$N,7,FALSE))</f>
      </c>
    </row>
    <row x14ac:dyDescent="0.25" r="17" customHeight="1" ht="17.25">
      <c r="A17" s="3"/>
      <c r="B17" s="2"/>
      <c r="C17" s="2"/>
      <c r="D17" s="2"/>
      <c r="E17" s="2"/>
    </row>
    <row x14ac:dyDescent="0.25" r="18" customHeight="1" ht="10">
      <c r="A18" s="3"/>
      <c r="B18" s="2"/>
      <c r="C18" s="2"/>
      <c r="D18" s="2"/>
      <c r="E18" s="2"/>
    </row>
    <row x14ac:dyDescent="0.25" r="19" customHeight="1" ht="20">
      <c r="A19" s="17" t="s">
        <v>12</v>
      </c>
      <c r="B19" s="2"/>
      <c r="C19" s="2"/>
      <c r="D19" s="2"/>
      <c r="E19" s="2"/>
    </row>
    <row x14ac:dyDescent="0.25" r="20" customHeight="1" ht="52" customFormat="1" s="8">
      <c r="A20" s="18" t="s">
        <v>13</v>
      </c>
      <c r="B20" s="19"/>
      <c r="C20" s="19"/>
      <c r="D20" s="19"/>
      <c r="E20" s="19"/>
    </row>
  </sheetData>
  <mergeCells count="4">
    <mergeCell ref="A1:E1"/>
    <mergeCell ref="A10:E10"/>
    <mergeCell ref="A19:E19"/>
    <mergeCell ref="A20:E20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7</vt:i4>
      </vt:variant>
    </vt:vector>
  </HeadingPairs>
  <TitlesOfParts>
    <vt:vector baseType="lpstr" size="7">
      <vt:lpstr>Items_Master</vt:lpstr>
      <vt:lpstr>Transactions</vt:lpstr>
      <vt:lpstr>Inventory_Summary</vt:lpstr>
      <vt:lpstr>SKU_Finder</vt:lpstr>
      <vt:lpstr>Graph</vt:lpstr>
      <vt:lpstr>Labels_5161</vt:lpstr>
      <vt:lpstr>Dashboard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2026-03-05T19:53:26.118Z</dcterms:created>
  <dcterms:modified xsi:type="dcterms:W3CDTF">2026-03-05T19:53:26.118Z</dcterms:modified>
</cp:coreProperties>
</file>